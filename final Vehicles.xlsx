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energize123.sharepoint.com/sites/Accounting/Shared Documents/Accounting/Vehicles 2026/"/>
    </mc:Choice>
  </mc:AlternateContent>
  <xr:revisionPtr revIDLastSave="11786" documentId="13_ncr:1_{FAA8BF1A-B5B9-4388-BC13-B2C49457E043}" xr6:coauthVersionLast="47" xr6:coauthVersionMax="47" xr10:uidLastSave="{4D0F8DEC-36C9-498A-AF6F-DE458EA2AB36}"/>
  <bookViews>
    <workbookView xWindow="-108" yWindow="-108" windowWidth="23256" windowHeight="13896" xr2:uid="{00000000-000D-0000-FFFF-FFFF00000000}"/>
  </bookViews>
  <sheets>
    <sheet name="Vehicles" sheetId="1" r:id="rId1"/>
    <sheet name="وثائق عامة" sheetId="5" r:id="rId2"/>
    <sheet name="Acciden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1" l="1"/>
  <c r="AT10" i="1"/>
  <c r="AT13" i="1"/>
  <c r="AT20" i="1"/>
  <c r="AT40" i="1"/>
  <c r="AT44" i="1"/>
  <c r="AT94" i="1"/>
  <c r="AT100" i="1"/>
  <c r="AT127" i="1"/>
  <c r="AT156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40" i="1"/>
  <c r="AT243" i="1"/>
  <c r="AT245" i="1"/>
  <c r="AT246" i="1"/>
  <c r="AT254" i="1"/>
  <c r="AT276" i="1"/>
  <c r="AT277" i="1"/>
  <c r="AT289" i="1"/>
  <c r="AT290" i="1"/>
  <c r="AT313" i="1"/>
  <c r="AT317" i="1"/>
  <c r="AT324" i="1"/>
  <c r="AT328" i="1"/>
  <c r="AT329" i="1"/>
  <c r="AT330" i="1"/>
  <c r="AT331" i="1"/>
  <c r="AT332" i="1"/>
  <c r="AQ29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4" i="1"/>
  <c r="AN25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6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90" i="1"/>
  <c r="AN29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72" i="1"/>
  <c r="AK278" i="1"/>
  <c r="AK279" i="1"/>
  <c r="AK280" i="1"/>
  <c r="AK281" i="1"/>
  <c r="AK282" i="1"/>
  <c r="AK283" i="1"/>
  <c r="AK284" i="1"/>
  <c r="AK285" i="1"/>
  <c r="AK287" i="1"/>
  <c r="AK290" i="1"/>
  <c r="AK292" i="1"/>
  <c r="AK293" i="1"/>
  <c r="AK294" i="1"/>
  <c r="AK299" i="1"/>
  <c r="AK300" i="1"/>
  <c r="AK301" i="1"/>
  <c r="AK305" i="1"/>
  <c r="AK306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3" i="1"/>
  <c r="W294" i="1"/>
  <c r="W317" i="1"/>
  <c r="W318" i="1"/>
  <c r="W323" i="1"/>
  <c r="W324" i="1"/>
  <c r="W326" i="1"/>
  <c r="W328" i="1"/>
  <c r="W329" i="1"/>
  <c r="W333" i="1"/>
  <c r="T3" i="1"/>
  <c r="T5" i="1"/>
  <c r="T7" i="1"/>
  <c r="T8" i="1"/>
  <c r="T9" i="1"/>
  <c r="T10" i="1"/>
  <c r="T11" i="1"/>
  <c r="T12" i="1"/>
  <c r="T13" i="1"/>
  <c r="T14" i="1"/>
  <c r="T15" i="1"/>
  <c r="T16" i="1"/>
  <c r="T17" i="1"/>
  <c r="T18" i="1"/>
  <c r="T20" i="1"/>
  <c r="T21" i="1"/>
  <c r="T22" i="1"/>
  <c r="T23" i="1"/>
  <c r="T24" i="1"/>
  <c r="T25" i="1"/>
  <c r="T26" i="1"/>
  <c r="T27" i="1"/>
  <c r="T28" i="1"/>
  <c r="T30" i="1"/>
  <c r="T34" i="1"/>
  <c r="T36" i="1"/>
  <c r="T39" i="1"/>
  <c r="T41" i="1"/>
  <c r="T42" i="1"/>
  <c r="T43" i="1"/>
  <c r="T45" i="1"/>
  <c r="T46" i="1"/>
  <c r="T47" i="1"/>
  <c r="T49" i="1"/>
  <c r="T50" i="1"/>
  <c r="T52" i="1"/>
  <c r="T54" i="1"/>
  <c r="T55" i="1"/>
  <c r="T56" i="1"/>
  <c r="T59" i="1"/>
  <c r="T62" i="1"/>
  <c r="T63" i="1"/>
  <c r="T66" i="1"/>
  <c r="T67" i="1"/>
  <c r="T70" i="1"/>
  <c r="T71" i="1"/>
  <c r="T72" i="1"/>
  <c r="T74" i="1"/>
  <c r="T75" i="1"/>
  <c r="T76" i="1"/>
  <c r="T78" i="1"/>
  <c r="T80" i="1"/>
  <c r="T81" i="1"/>
  <c r="T85" i="1"/>
  <c r="T87" i="1"/>
  <c r="T88" i="1"/>
  <c r="T89" i="1"/>
  <c r="T90" i="1"/>
  <c r="T91" i="1"/>
  <c r="T92" i="1"/>
  <c r="T95" i="1"/>
  <c r="T98" i="1"/>
  <c r="T99" i="1"/>
  <c r="T100" i="1"/>
  <c r="T101" i="1"/>
  <c r="T103" i="1"/>
  <c r="T104" i="1"/>
  <c r="T106" i="1"/>
  <c r="T108" i="1"/>
  <c r="T110" i="1"/>
  <c r="T111" i="1"/>
  <c r="T114" i="1"/>
  <c r="T115" i="1"/>
  <c r="T116" i="1"/>
  <c r="T117" i="1"/>
  <c r="T118" i="1"/>
  <c r="T119" i="1"/>
  <c r="T120" i="1"/>
  <c r="T122" i="1"/>
  <c r="T123" i="1"/>
  <c r="T125" i="1"/>
  <c r="T127" i="1"/>
  <c r="T128" i="1"/>
  <c r="T129" i="1"/>
  <c r="T130" i="1"/>
  <c r="T132" i="1"/>
  <c r="T135" i="1"/>
  <c r="T136" i="1"/>
  <c r="T138" i="1"/>
  <c r="T139" i="1"/>
  <c r="T140" i="1"/>
  <c r="T141" i="1"/>
  <c r="T142" i="1"/>
  <c r="T143" i="1"/>
  <c r="T144" i="1"/>
  <c r="T145" i="1"/>
  <c r="T146" i="1"/>
  <c r="T148" i="1"/>
  <c r="T153" i="1"/>
  <c r="T154" i="1"/>
  <c r="T155" i="1"/>
  <c r="T158" i="1"/>
  <c r="T160" i="1"/>
  <c r="T161" i="1"/>
  <c r="T162" i="1"/>
  <c r="T163" i="1"/>
  <c r="T164" i="1"/>
  <c r="T165" i="1"/>
  <c r="T166" i="1"/>
  <c r="T167" i="1"/>
  <c r="T168" i="1"/>
  <c r="T169" i="1"/>
  <c r="T170" i="1"/>
  <c r="T172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3" i="1"/>
  <c r="T194" i="1"/>
  <c r="T195" i="1"/>
  <c r="T196" i="1"/>
  <c r="T197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2" i="1"/>
  <c r="T273" i="1"/>
  <c r="T274" i="1"/>
  <c r="T275" i="1"/>
  <c r="T276" i="1"/>
  <c r="T277" i="1"/>
  <c r="T284" i="1"/>
  <c r="T287" i="1"/>
  <c r="T288" i="1"/>
  <c r="T289" i="1"/>
  <c r="T292" i="1"/>
  <c r="T293" i="1"/>
  <c r="T294" i="1"/>
  <c r="T305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U1" i="1"/>
  <c r="V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L1" i="1"/>
  <c r="AM1" i="1"/>
  <c r="AO1" i="1"/>
  <c r="AU1" i="1"/>
  <c r="T1" i="1" l="1"/>
  <c r="AR179" i="1"/>
  <c r="AR180" i="1"/>
  <c r="AR178" i="1"/>
  <c r="AR254" i="1"/>
  <c r="AR246" i="1"/>
  <c r="AR245" i="1"/>
  <c r="AR243" i="1"/>
  <c r="AR240" i="1"/>
  <c r="AR236" i="1"/>
  <c r="AR235" i="1"/>
  <c r="AR234" i="1"/>
  <c r="AR233" i="1"/>
  <c r="AR232" i="1"/>
  <c r="AR230" i="1"/>
  <c r="AR226" i="1"/>
  <c r="AR219" i="1"/>
  <c r="AR231" i="1"/>
  <c r="AR229" i="1"/>
  <c r="AR228" i="1"/>
  <c r="AR227" i="1"/>
  <c r="AR225" i="1"/>
  <c r="AR224" i="1"/>
  <c r="AR223" i="1"/>
  <c r="AR222" i="1"/>
  <c r="AR221" i="1"/>
  <c r="AR220" i="1"/>
  <c r="AR277" i="1"/>
  <c r="AR289" i="1"/>
  <c r="AR276" i="1"/>
  <c r="AP281" i="1"/>
  <c r="AQ281" i="1" s="1"/>
  <c r="AR197" i="1"/>
  <c r="AR196" i="1"/>
  <c r="AR195" i="1"/>
  <c r="AR194" i="1"/>
  <c r="AR193" i="1"/>
  <c r="AR192" i="1"/>
  <c r="AR191" i="1"/>
  <c r="AR190" i="1"/>
  <c r="AR189" i="1"/>
  <c r="AR188" i="1"/>
  <c r="AR187" i="1"/>
  <c r="AR186" i="1"/>
  <c r="AR184" i="1"/>
  <c r="AR183" i="1"/>
  <c r="AR182" i="1"/>
  <c r="AR181" i="1"/>
  <c r="AR177" i="1"/>
  <c r="AR176" i="1"/>
  <c r="AR175" i="1"/>
  <c r="AR174" i="1"/>
  <c r="AR173" i="1"/>
  <c r="AR172" i="1"/>
  <c r="AR171" i="1"/>
  <c r="AR170" i="1"/>
  <c r="AR169" i="1"/>
  <c r="AR168" i="1"/>
  <c r="AR167" i="1"/>
  <c r="AR166" i="1"/>
  <c r="AR165" i="1"/>
  <c r="AR164" i="1"/>
  <c r="AR163" i="1"/>
  <c r="AR162" i="1"/>
  <c r="AR161" i="1"/>
  <c r="AR160" i="1"/>
  <c r="AR159" i="1"/>
  <c r="AR158" i="1"/>
  <c r="E4" i="5"/>
  <c r="AR156" i="1"/>
  <c r="AR127" i="1"/>
  <c r="AR100" i="1"/>
  <c r="AR94" i="1"/>
  <c r="AR44" i="1"/>
  <c r="AR40" i="1"/>
  <c r="AR20" i="1"/>
  <c r="AR13" i="1"/>
  <c r="AR10" i="1"/>
  <c r="AR3" i="1"/>
  <c r="AR313" i="1"/>
  <c r="AR330" i="1"/>
  <c r="AP328" i="1" l="1"/>
  <c r="AQ328" i="1" s="1"/>
  <c r="AP313" i="1"/>
  <c r="AQ313" i="1" s="1"/>
  <c r="AR324" i="1"/>
  <c r="AP324" i="1"/>
  <c r="AQ324" i="1" s="1"/>
  <c r="AR290" i="1"/>
  <c r="AP290" i="1"/>
  <c r="AQ290" i="1" s="1"/>
  <c r="AP334" i="1"/>
  <c r="AQ334" i="1" s="1"/>
  <c r="AP333" i="1"/>
  <c r="AQ333" i="1" s="1"/>
  <c r="AR332" i="1"/>
  <c r="AP332" i="1"/>
  <c r="AQ332" i="1" s="1"/>
  <c r="AR331" i="1"/>
  <c r="AP331" i="1"/>
  <c r="AQ331" i="1" s="1"/>
  <c r="AP326" i="1"/>
  <c r="AQ326" i="1" s="1"/>
  <c r="AP330" i="1"/>
  <c r="AQ330" i="1" s="1"/>
  <c r="AR329" i="1"/>
  <c r="AP329" i="1"/>
  <c r="AQ329" i="1" s="1"/>
  <c r="AP317" i="1"/>
  <c r="AQ317" i="1" s="1"/>
  <c r="AS323" i="1"/>
  <c r="AT323" i="1" s="1"/>
  <c r="AP323" i="1"/>
  <c r="AQ323" i="1" s="1"/>
  <c r="AS318" i="1"/>
  <c r="AT318" i="1" s="1"/>
  <c r="AS306" i="1"/>
  <c r="AT306" i="1" s="1"/>
  <c r="AS303" i="1"/>
  <c r="AT303" i="1" s="1"/>
  <c r="AS300" i="1"/>
  <c r="AT300" i="1" s="1"/>
  <c r="AS298" i="1"/>
  <c r="AT298" i="1" s="1"/>
  <c r="AS297" i="1"/>
  <c r="AT297" i="1" s="1"/>
  <c r="AS295" i="1"/>
  <c r="AT295" i="1" s="1"/>
  <c r="AS294" i="1"/>
  <c r="AT294" i="1" s="1"/>
  <c r="AS293" i="1"/>
  <c r="AT293" i="1" s="1"/>
  <c r="AS292" i="1"/>
  <c r="AT292" i="1" s="1"/>
  <c r="AS291" i="1"/>
  <c r="AT291" i="1" s="1"/>
  <c r="AS288" i="1"/>
  <c r="AT288" i="1" s="1"/>
  <c r="AS287" i="1"/>
  <c r="AT287" i="1" s="1"/>
  <c r="AS286" i="1"/>
  <c r="AT286" i="1" s="1"/>
  <c r="AS284" i="1"/>
  <c r="AT284" i="1" s="1"/>
  <c r="AS265" i="1"/>
  <c r="AT265" i="1" s="1"/>
  <c r="AS264" i="1"/>
  <c r="AT264" i="1" s="1"/>
  <c r="AS263" i="1"/>
  <c r="AT263" i="1" s="1"/>
  <c r="AS262" i="1"/>
  <c r="AT262" i="1" s="1"/>
  <c r="AS261" i="1"/>
  <c r="AT261" i="1" s="1"/>
  <c r="AS260" i="1"/>
  <c r="AT260" i="1" s="1"/>
  <c r="AS259" i="1"/>
  <c r="AT259" i="1" s="1"/>
  <c r="AS258" i="1"/>
  <c r="AT258" i="1" s="1"/>
  <c r="AS257" i="1"/>
  <c r="AT257" i="1" s="1"/>
  <c r="AS256" i="1"/>
  <c r="AT256" i="1" s="1"/>
  <c r="AS255" i="1"/>
  <c r="AT255" i="1" s="1"/>
  <c r="AS253" i="1"/>
  <c r="AT253" i="1" s="1"/>
  <c r="AS252" i="1"/>
  <c r="AT252" i="1" s="1"/>
  <c r="AS251" i="1"/>
  <c r="AT251" i="1" s="1"/>
  <c r="AS250" i="1"/>
  <c r="AT250" i="1" s="1"/>
  <c r="AS249" i="1"/>
  <c r="AT249" i="1" s="1"/>
  <c r="AS248" i="1"/>
  <c r="AT248" i="1" s="1"/>
  <c r="AS247" i="1"/>
  <c r="AT247" i="1" s="1"/>
  <c r="AS244" i="1"/>
  <c r="AT244" i="1" s="1"/>
  <c r="AS242" i="1"/>
  <c r="AT242" i="1" s="1"/>
  <c r="AS241" i="1"/>
  <c r="AT241" i="1" s="1"/>
  <c r="AS239" i="1"/>
  <c r="AT239" i="1" s="1"/>
  <c r="AS238" i="1"/>
  <c r="AT238" i="1" s="1"/>
  <c r="AS237" i="1"/>
  <c r="AT237" i="1" s="1"/>
  <c r="AS208" i="1"/>
  <c r="AT208" i="1" s="1"/>
  <c r="AS207" i="1"/>
  <c r="AT207" i="1" s="1"/>
  <c r="AS206" i="1"/>
  <c r="AT206" i="1" s="1"/>
  <c r="AS205" i="1"/>
  <c r="AT205" i="1" s="1"/>
  <c r="AS204" i="1"/>
  <c r="AT204" i="1" s="1"/>
  <c r="AS203" i="1"/>
  <c r="AT203" i="1" s="1"/>
  <c r="AS202" i="1"/>
  <c r="AT202" i="1" s="1"/>
  <c r="AS201" i="1"/>
  <c r="AT201" i="1" s="1"/>
  <c r="AS200" i="1"/>
  <c r="AT200" i="1" s="1"/>
  <c r="AS199" i="1"/>
  <c r="AT199" i="1" s="1"/>
  <c r="AS185" i="1"/>
  <c r="AT185" i="1" s="1"/>
  <c r="AS157" i="1"/>
  <c r="AT157" i="1" s="1"/>
  <c r="AS155" i="1"/>
  <c r="AT155" i="1" s="1"/>
  <c r="AS154" i="1"/>
  <c r="AT154" i="1" s="1"/>
  <c r="AS153" i="1"/>
  <c r="AT153" i="1" s="1"/>
  <c r="AS152" i="1"/>
  <c r="AT152" i="1" s="1"/>
  <c r="AS151" i="1"/>
  <c r="AT151" i="1" s="1"/>
  <c r="AS150" i="1"/>
  <c r="AT150" i="1" s="1"/>
  <c r="AS149" i="1"/>
  <c r="AT149" i="1" s="1"/>
  <c r="AS148" i="1"/>
  <c r="AT148" i="1" s="1"/>
  <c r="AS147" i="1"/>
  <c r="AT147" i="1" s="1"/>
  <c r="AS146" i="1"/>
  <c r="AT146" i="1" s="1"/>
  <c r="AS145" i="1"/>
  <c r="AT145" i="1" s="1"/>
  <c r="AS144" i="1"/>
  <c r="AT144" i="1" s="1"/>
  <c r="AS143" i="1"/>
  <c r="AT143" i="1" s="1"/>
  <c r="AS142" i="1"/>
  <c r="AT142" i="1" s="1"/>
  <c r="AS141" i="1"/>
  <c r="AT141" i="1" s="1"/>
  <c r="AS140" i="1"/>
  <c r="AT140" i="1" s="1"/>
  <c r="AS139" i="1"/>
  <c r="AT139" i="1" s="1"/>
  <c r="AS138" i="1"/>
  <c r="AT138" i="1" s="1"/>
  <c r="AS137" i="1"/>
  <c r="AT137" i="1" s="1"/>
  <c r="AS136" i="1"/>
  <c r="AT136" i="1" s="1"/>
  <c r="AS135" i="1"/>
  <c r="AT135" i="1" s="1"/>
  <c r="AS134" i="1"/>
  <c r="AT134" i="1" s="1"/>
  <c r="AS133" i="1"/>
  <c r="AT133" i="1" s="1"/>
  <c r="AS132" i="1"/>
  <c r="AT132" i="1" s="1"/>
  <c r="AS131" i="1"/>
  <c r="AT131" i="1" s="1"/>
  <c r="AS130" i="1"/>
  <c r="AT130" i="1" s="1"/>
  <c r="AS129" i="1"/>
  <c r="AT129" i="1" s="1"/>
  <c r="AS128" i="1"/>
  <c r="AT128" i="1" s="1"/>
  <c r="AS126" i="1"/>
  <c r="AT126" i="1" s="1"/>
  <c r="AS125" i="1"/>
  <c r="AT125" i="1" s="1"/>
  <c r="AS124" i="1"/>
  <c r="AT124" i="1" s="1"/>
  <c r="AS123" i="1"/>
  <c r="AT123" i="1" s="1"/>
  <c r="AS122" i="1"/>
  <c r="AT122" i="1" s="1"/>
  <c r="AS121" i="1"/>
  <c r="AT121" i="1" s="1"/>
  <c r="AS120" i="1"/>
  <c r="AT120" i="1" s="1"/>
  <c r="AS119" i="1"/>
  <c r="AT119" i="1" s="1"/>
  <c r="AS118" i="1"/>
  <c r="AT118" i="1" s="1"/>
  <c r="AS117" i="1"/>
  <c r="AT117" i="1" s="1"/>
  <c r="AS116" i="1"/>
  <c r="AT116" i="1" s="1"/>
  <c r="AS115" i="1"/>
  <c r="AT115" i="1" s="1"/>
  <c r="AS114" i="1"/>
  <c r="AT114" i="1" s="1"/>
  <c r="AS113" i="1"/>
  <c r="AT113" i="1" s="1"/>
  <c r="AS112" i="1"/>
  <c r="AT112" i="1" s="1"/>
  <c r="AS111" i="1"/>
  <c r="AT111" i="1" s="1"/>
  <c r="AS110" i="1"/>
  <c r="AT110" i="1" s="1"/>
  <c r="AS109" i="1"/>
  <c r="AT109" i="1" s="1"/>
  <c r="AS108" i="1"/>
  <c r="AT108" i="1" s="1"/>
  <c r="AS107" i="1"/>
  <c r="AT107" i="1" s="1"/>
  <c r="AS106" i="1"/>
  <c r="AT106" i="1" s="1"/>
  <c r="AS105" i="1"/>
  <c r="AT105" i="1" s="1"/>
  <c r="AS104" i="1"/>
  <c r="AT104" i="1" s="1"/>
  <c r="AS103" i="1"/>
  <c r="AT103" i="1" s="1"/>
  <c r="AS102" i="1"/>
  <c r="AT102" i="1" s="1"/>
  <c r="AS101" i="1"/>
  <c r="AT101" i="1" s="1"/>
  <c r="AS99" i="1"/>
  <c r="AT99" i="1" s="1"/>
  <c r="AS98" i="1"/>
  <c r="AT98" i="1" s="1"/>
  <c r="AS97" i="1"/>
  <c r="AT97" i="1" s="1"/>
  <c r="AS96" i="1"/>
  <c r="AT96" i="1" s="1"/>
  <c r="AS95" i="1"/>
  <c r="AT95" i="1" s="1"/>
  <c r="AS93" i="1"/>
  <c r="AT93" i="1" s="1"/>
  <c r="AS92" i="1"/>
  <c r="AT92" i="1" s="1"/>
  <c r="AS91" i="1"/>
  <c r="AT91" i="1" s="1"/>
  <c r="AS90" i="1"/>
  <c r="AT90" i="1" s="1"/>
  <c r="AS89" i="1"/>
  <c r="AT89" i="1" s="1"/>
  <c r="AS88" i="1"/>
  <c r="AT88" i="1" s="1"/>
  <c r="AS87" i="1"/>
  <c r="AT87" i="1" s="1"/>
  <c r="AS86" i="1"/>
  <c r="AT86" i="1" s="1"/>
  <c r="AS85" i="1"/>
  <c r="AT85" i="1" s="1"/>
  <c r="AS84" i="1"/>
  <c r="AT84" i="1" s="1"/>
  <c r="AS83" i="1"/>
  <c r="AT83" i="1" s="1"/>
  <c r="AS82" i="1"/>
  <c r="AT82" i="1" s="1"/>
  <c r="AS81" i="1"/>
  <c r="AT81" i="1" s="1"/>
  <c r="AS80" i="1"/>
  <c r="AT80" i="1" s="1"/>
  <c r="AS79" i="1"/>
  <c r="AT79" i="1" s="1"/>
  <c r="AS78" i="1"/>
  <c r="AT78" i="1" s="1"/>
  <c r="AS77" i="1"/>
  <c r="AT77" i="1" s="1"/>
  <c r="AS76" i="1"/>
  <c r="AT76" i="1" s="1"/>
  <c r="AS75" i="1"/>
  <c r="AT75" i="1" s="1"/>
  <c r="AS74" i="1"/>
  <c r="AT74" i="1" s="1"/>
  <c r="AS73" i="1"/>
  <c r="AT73" i="1" s="1"/>
  <c r="AS72" i="1"/>
  <c r="AT72" i="1" s="1"/>
  <c r="AS71" i="1"/>
  <c r="AT71" i="1" s="1"/>
  <c r="AS70" i="1"/>
  <c r="AT70" i="1" s="1"/>
  <c r="AS69" i="1"/>
  <c r="AT69" i="1" s="1"/>
  <c r="AS68" i="1"/>
  <c r="AT68" i="1" s="1"/>
  <c r="AS67" i="1"/>
  <c r="AT67" i="1" s="1"/>
  <c r="AS66" i="1"/>
  <c r="AT66" i="1" s="1"/>
  <c r="AS65" i="1"/>
  <c r="AT65" i="1" s="1"/>
  <c r="AS64" i="1"/>
  <c r="AT64" i="1" s="1"/>
  <c r="AS63" i="1"/>
  <c r="AT63" i="1" s="1"/>
  <c r="AS62" i="1"/>
  <c r="AT62" i="1" s="1"/>
  <c r="AS61" i="1"/>
  <c r="AT61" i="1" s="1"/>
  <c r="AS60" i="1"/>
  <c r="AT60" i="1" s="1"/>
  <c r="AS59" i="1"/>
  <c r="AT59" i="1" s="1"/>
  <c r="AS58" i="1"/>
  <c r="AT58" i="1" s="1"/>
  <c r="AS57" i="1"/>
  <c r="AT57" i="1" s="1"/>
  <c r="AS56" i="1"/>
  <c r="AT56" i="1" s="1"/>
  <c r="AS55" i="1"/>
  <c r="AT55" i="1" s="1"/>
  <c r="AS54" i="1"/>
  <c r="AT54" i="1" s="1"/>
  <c r="AS53" i="1"/>
  <c r="AT53" i="1" s="1"/>
  <c r="AS52" i="1"/>
  <c r="AT52" i="1" s="1"/>
  <c r="AS51" i="1"/>
  <c r="AT51" i="1" s="1"/>
  <c r="AS50" i="1"/>
  <c r="AT50" i="1" s="1"/>
  <c r="AS49" i="1"/>
  <c r="AT49" i="1" s="1"/>
  <c r="AS48" i="1"/>
  <c r="AT48" i="1" s="1"/>
  <c r="AS47" i="1"/>
  <c r="AT47" i="1" s="1"/>
  <c r="AS46" i="1"/>
  <c r="AT46" i="1" s="1"/>
  <c r="AS45" i="1"/>
  <c r="AT45" i="1" s="1"/>
  <c r="AS43" i="1"/>
  <c r="AT43" i="1" s="1"/>
  <c r="AS42" i="1"/>
  <c r="AT42" i="1" s="1"/>
  <c r="AS41" i="1"/>
  <c r="AT41" i="1" s="1"/>
  <c r="AS39" i="1"/>
  <c r="AT39" i="1" s="1"/>
  <c r="AS38" i="1"/>
  <c r="AT38" i="1" s="1"/>
  <c r="AS37" i="1"/>
  <c r="AT37" i="1" s="1"/>
  <c r="AS36" i="1"/>
  <c r="AT36" i="1" s="1"/>
  <c r="AS35" i="1"/>
  <c r="AT35" i="1" s="1"/>
  <c r="AS34" i="1"/>
  <c r="AT34" i="1" s="1"/>
  <c r="AS33" i="1"/>
  <c r="AT33" i="1" s="1"/>
  <c r="AS32" i="1"/>
  <c r="AT32" i="1" s="1"/>
  <c r="AS31" i="1"/>
  <c r="AT31" i="1" s="1"/>
  <c r="AS30" i="1"/>
  <c r="AT30" i="1" s="1"/>
  <c r="AS29" i="1"/>
  <c r="AT29" i="1" s="1"/>
  <c r="AS28" i="1"/>
  <c r="AT28" i="1" s="1"/>
  <c r="AS27" i="1"/>
  <c r="AT27" i="1" s="1"/>
  <c r="AS26" i="1"/>
  <c r="AT26" i="1" s="1"/>
  <c r="AS25" i="1"/>
  <c r="AT25" i="1" s="1"/>
  <c r="AS24" i="1"/>
  <c r="AT24" i="1" s="1"/>
  <c r="AS23" i="1"/>
  <c r="AT23" i="1" s="1"/>
  <c r="AS22" i="1"/>
  <c r="AT22" i="1" s="1"/>
  <c r="AS21" i="1"/>
  <c r="AT21" i="1" s="1"/>
  <c r="AS19" i="1"/>
  <c r="AT19" i="1" s="1"/>
  <c r="AS18" i="1"/>
  <c r="AT18" i="1" s="1"/>
  <c r="AS17" i="1"/>
  <c r="AT17" i="1" s="1"/>
  <c r="AS16" i="1"/>
  <c r="AT16" i="1" s="1"/>
  <c r="AS15" i="1"/>
  <c r="AT15" i="1" s="1"/>
  <c r="AS14" i="1"/>
  <c r="AT14" i="1" s="1"/>
  <c r="AS12" i="1"/>
  <c r="AT12" i="1" s="1"/>
  <c r="AS11" i="1"/>
  <c r="AT11" i="1" s="1"/>
  <c r="AS9" i="1"/>
  <c r="AT9" i="1" s="1"/>
  <c r="AS8" i="1"/>
  <c r="AT8" i="1" s="1"/>
  <c r="AS7" i="1"/>
  <c r="AT7" i="1" s="1"/>
  <c r="AS6" i="1"/>
  <c r="AT6" i="1" s="1"/>
  <c r="AS5" i="1"/>
  <c r="AT5" i="1" s="1"/>
  <c r="AS4" i="1"/>
  <c r="AT4" i="1" s="1"/>
  <c r="AP318" i="1"/>
  <c r="AQ318" i="1" s="1"/>
  <c r="AP306" i="1"/>
  <c r="AQ306" i="1" s="1"/>
  <c r="AP305" i="1"/>
  <c r="AQ305" i="1" s="1"/>
  <c r="AP304" i="1"/>
  <c r="AQ304" i="1" s="1"/>
  <c r="AP303" i="1"/>
  <c r="AQ303" i="1" s="1"/>
  <c r="AP302" i="1"/>
  <c r="AQ302" i="1" s="1"/>
  <c r="AP301" i="1"/>
  <c r="AQ301" i="1" s="1"/>
  <c r="AP300" i="1"/>
  <c r="AQ300" i="1" s="1"/>
  <c r="AP299" i="1"/>
  <c r="AQ299" i="1" s="1"/>
  <c r="AP298" i="1"/>
  <c r="AQ298" i="1" s="1"/>
  <c r="AP297" i="1"/>
  <c r="AQ297" i="1" s="1"/>
  <c r="AP296" i="1"/>
  <c r="AQ296" i="1" s="1"/>
  <c r="AP295" i="1"/>
  <c r="AQ295" i="1" s="1"/>
  <c r="AP294" i="1"/>
  <c r="AQ294" i="1" s="1"/>
  <c r="AP293" i="1"/>
  <c r="AQ293" i="1" s="1"/>
  <c r="AP291" i="1"/>
  <c r="AQ291" i="1" s="1"/>
  <c r="AP289" i="1"/>
  <c r="AQ289" i="1" s="1"/>
  <c r="AP288" i="1"/>
  <c r="AQ288" i="1" s="1"/>
  <c r="AP287" i="1"/>
  <c r="AQ287" i="1" s="1"/>
  <c r="AP286" i="1"/>
  <c r="AQ286" i="1" s="1"/>
  <c r="AP284" i="1"/>
  <c r="AQ284" i="1" s="1"/>
  <c r="AP280" i="1"/>
  <c r="AQ280" i="1" s="1"/>
  <c r="AP279" i="1"/>
  <c r="AQ279" i="1" s="1"/>
  <c r="AP278" i="1"/>
  <c r="AQ278" i="1" s="1"/>
  <c r="AP277" i="1"/>
  <c r="AQ277" i="1" s="1"/>
  <c r="AP276" i="1"/>
  <c r="AQ276" i="1" s="1"/>
  <c r="AP275" i="1"/>
  <c r="AQ275" i="1" s="1"/>
  <c r="AP274" i="1"/>
  <c r="AQ274" i="1" s="1"/>
  <c r="AP273" i="1"/>
  <c r="AQ273" i="1" s="1"/>
  <c r="AP272" i="1"/>
  <c r="AQ272" i="1" s="1"/>
  <c r="AP271" i="1"/>
  <c r="AQ271" i="1" s="1"/>
  <c r="AP270" i="1"/>
  <c r="AQ270" i="1" s="1"/>
  <c r="AP269" i="1"/>
  <c r="AQ269" i="1" s="1"/>
  <c r="AP268" i="1"/>
  <c r="AQ268" i="1" s="1"/>
  <c r="AP267" i="1"/>
  <c r="AQ267" i="1" s="1"/>
  <c r="AP266" i="1"/>
  <c r="AQ266" i="1" s="1"/>
  <c r="AP265" i="1"/>
  <c r="AQ265" i="1" s="1"/>
  <c r="AP264" i="1"/>
  <c r="AQ264" i="1" s="1"/>
  <c r="AP263" i="1"/>
  <c r="AQ263" i="1" s="1"/>
  <c r="AP262" i="1"/>
  <c r="AQ262" i="1" s="1"/>
  <c r="AP261" i="1"/>
  <c r="AQ261" i="1" s="1"/>
  <c r="AP260" i="1"/>
  <c r="AQ260" i="1" s="1"/>
  <c r="AP259" i="1"/>
  <c r="AQ259" i="1" s="1"/>
  <c r="AP258" i="1"/>
  <c r="AQ258" i="1" s="1"/>
  <c r="AP257" i="1"/>
  <c r="AQ257" i="1" s="1"/>
  <c r="AP256" i="1"/>
  <c r="AQ256" i="1" s="1"/>
  <c r="AP255" i="1"/>
  <c r="AQ255" i="1" s="1"/>
  <c r="AP254" i="1"/>
  <c r="AQ254" i="1" s="1"/>
  <c r="AP253" i="1"/>
  <c r="AQ253" i="1" s="1"/>
  <c r="AP252" i="1"/>
  <c r="AQ252" i="1" s="1"/>
  <c r="AP251" i="1"/>
  <c r="AQ251" i="1" s="1"/>
  <c r="AP250" i="1"/>
  <c r="AQ250" i="1" s="1"/>
  <c r="AP249" i="1"/>
  <c r="AQ249" i="1" s="1"/>
  <c r="AP248" i="1"/>
  <c r="AQ248" i="1" s="1"/>
  <c r="AP247" i="1"/>
  <c r="AQ247" i="1" s="1"/>
  <c r="AP246" i="1"/>
  <c r="AQ246" i="1" s="1"/>
  <c r="AP245" i="1"/>
  <c r="AQ245" i="1" s="1"/>
  <c r="AP244" i="1"/>
  <c r="AQ244" i="1" s="1"/>
  <c r="AP243" i="1"/>
  <c r="AQ243" i="1" s="1"/>
  <c r="AP242" i="1"/>
  <c r="AQ242" i="1" s="1"/>
  <c r="AP241" i="1"/>
  <c r="AQ241" i="1" s="1"/>
  <c r="AP240" i="1"/>
  <c r="AQ240" i="1" s="1"/>
  <c r="AP239" i="1"/>
  <c r="AQ239" i="1" s="1"/>
  <c r="AP238" i="1"/>
  <c r="AQ238" i="1" s="1"/>
  <c r="AP237" i="1"/>
  <c r="AQ237" i="1" s="1"/>
  <c r="AP236" i="1"/>
  <c r="AQ236" i="1" s="1"/>
  <c r="AP235" i="1"/>
  <c r="AQ235" i="1" s="1"/>
  <c r="AP234" i="1"/>
  <c r="AQ234" i="1" s="1"/>
  <c r="AP233" i="1"/>
  <c r="AQ233" i="1" s="1"/>
  <c r="AP232" i="1"/>
  <c r="AQ232" i="1" s="1"/>
  <c r="AP231" i="1"/>
  <c r="AQ231" i="1" s="1"/>
  <c r="AP230" i="1"/>
  <c r="AQ230" i="1" s="1"/>
  <c r="AP229" i="1"/>
  <c r="AQ229" i="1" s="1"/>
  <c r="AP228" i="1"/>
  <c r="AQ228" i="1" s="1"/>
  <c r="AP227" i="1"/>
  <c r="AQ227" i="1" s="1"/>
  <c r="AP226" i="1"/>
  <c r="AQ226" i="1" s="1"/>
  <c r="AP225" i="1"/>
  <c r="AQ225" i="1" s="1"/>
  <c r="AP224" i="1"/>
  <c r="AQ224" i="1" s="1"/>
  <c r="AP223" i="1"/>
  <c r="AQ223" i="1" s="1"/>
  <c r="AP222" i="1"/>
  <c r="AQ222" i="1" s="1"/>
  <c r="AP221" i="1"/>
  <c r="AQ221" i="1" s="1"/>
  <c r="AP220" i="1"/>
  <c r="AQ220" i="1" s="1"/>
  <c r="AP219" i="1"/>
  <c r="AQ219" i="1" s="1"/>
  <c r="AP218" i="1"/>
  <c r="AQ218" i="1" s="1"/>
  <c r="AP217" i="1"/>
  <c r="AQ217" i="1" s="1"/>
  <c r="AP216" i="1"/>
  <c r="AQ216" i="1" s="1"/>
  <c r="AP215" i="1"/>
  <c r="AQ215" i="1" s="1"/>
  <c r="AP214" i="1"/>
  <c r="AQ214" i="1" s="1"/>
  <c r="AP213" i="1"/>
  <c r="AQ213" i="1" s="1"/>
  <c r="AP212" i="1"/>
  <c r="AQ212" i="1" s="1"/>
  <c r="AP211" i="1"/>
  <c r="AQ211" i="1" s="1"/>
  <c r="AP210" i="1"/>
  <c r="AQ210" i="1" s="1"/>
  <c r="AP209" i="1"/>
  <c r="AQ209" i="1" s="1"/>
  <c r="AP208" i="1"/>
  <c r="AQ208" i="1" s="1"/>
  <c r="AP207" i="1"/>
  <c r="AQ207" i="1" s="1"/>
  <c r="AP206" i="1"/>
  <c r="AQ206" i="1" s="1"/>
  <c r="AP205" i="1"/>
  <c r="AQ205" i="1" s="1"/>
  <c r="AP204" i="1"/>
  <c r="AQ204" i="1" s="1"/>
  <c r="AP203" i="1"/>
  <c r="AQ203" i="1" s="1"/>
  <c r="AP202" i="1"/>
  <c r="AQ202" i="1" s="1"/>
  <c r="AP201" i="1"/>
  <c r="AQ201" i="1" s="1"/>
  <c r="AP200" i="1"/>
  <c r="AQ200" i="1" s="1"/>
  <c r="AP199" i="1"/>
  <c r="AQ199" i="1" s="1"/>
  <c r="AP198" i="1"/>
  <c r="AQ198" i="1" s="1"/>
  <c r="AP197" i="1"/>
  <c r="AQ197" i="1" s="1"/>
  <c r="AP196" i="1"/>
  <c r="AQ196" i="1" s="1"/>
  <c r="AP195" i="1"/>
  <c r="AQ195" i="1" s="1"/>
  <c r="AP194" i="1"/>
  <c r="AQ194" i="1" s="1"/>
  <c r="AP193" i="1"/>
  <c r="AQ193" i="1" s="1"/>
  <c r="AP192" i="1"/>
  <c r="AQ192" i="1" s="1"/>
  <c r="AP191" i="1"/>
  <c r="AQ191" i="1" s="1"/>
  <c r="AP190" i="1"/>
  <c r="AQ190" i="1" s="1"/>
  <c r="AP189" i="1"/>
  <c r="AQ189" i="1" s="1"/>
  <c r="AP188" i="1"/>
  <c r="AQ188" i="1" s="1"/>
  <c r="AP187" i="1"/>
  <c r="AQ187" i="1" s="1"/>
  <c r="AP186" i="1"/>
  <c r="AQ186" i="1" s="1"/>
  <c r="AP185" i="1"/>
  <c r="AQ185" i="1" s="1"/>
  <c r="AP184" i="1"/>
  <c r="AQ184" i="1" s="1"/>
  <c r="AP183" i="1"/>
  <c r="AQ183" i="1" s="1"/>
  <c r="AP182" i="1"/>
  <c r="AQ182" i="1" s="1"/>
  <c r="AP181" i="1"/>
  <c r="AQ181" i="1" s="1"/>
  <c r="AP180" i="1"/>
  <c r="AQ180" i="1" s="1"/>
  <c r="AP179" i="1"/>
  <c r="AQ179" i="1" s="1"/>
  <c r="AP178" i="1"/>
  <c r="AQ178" i="1" s="1"/>
  <c r="AP177" i="1"/>
  <c r="AQ177" i="1" s="1"/>
  <c r="AP176" i="1"/>
  <c r="AQ176" i="1" s="1"/>
  <c r="AP175" i="1"/>
  <c r="AQ175" i="1" s="1"/>
  <c r="AP174" i="1"/>
  <c r="AQ174" i="1" s="1"/>
  <c r="AP173" i="1"/>
  <c r="AQ173" i="1" s="1"/>
  <c r="AP172" i="1"/>
  <c r="AQ172" i="1" s="1"/>
  <c r="AP171" i="1"/>
  <c r="AQ171" i="1" s="1"/>
  <c r="AP170" i="1"/>
  <c r="AQ170" i="1" s="1"/>
  <c r="AP169" i="1"/>
  <c r="AQ169" i="1" s="1"/>
  <c r="AP168" i="1"/>
  <c r="AQ168" i="1" s="1"/>
  <c r="AP167" i="1"/>
  <c r="AQ167" i="1" s="1"/>
  <c r="AP166" i="1"/>
  <c r="AQ166" i="1" s="1"/>
  <c r="AP165" i="1"/>
  <c r="AQ165" i="1" s="1"/>
  <c r="AP164" i="1"/>
  <c r="AQ164" i="1" s="1"/>
  <c r="AP163" i="1"/>
  <c r="AQ163" i="1" s="1"/>
  <c r="AP162" i="1"/>
  <c r="AQ162" i="1" s="1"/>
  <c r="AP161" i="1"/>
  <c r="AQ161" i="1" s="1"/>
  <c r="AP160" i="1"/>
  <c r="AQ160" i="1" s="1"/>
  <c r="AP159" i="1"/>
  <c r="AQ159" i="1" s="1"/>
  <c r="AP158" i="1"/>
  <c r="AQ158" i="1" s="1"/>
  <c r="AP157" i="1"/>
  <c r="AQ157" i="1" s="1"/>
  <c r="AP156" i="1"/>
  <c r="AQ156" i="1" s="1"/>
  <c r="AP155" i="1"/>
  <c r="AQ155" i="1" s="1"/>
  <c r="AP154" i="1"/>
  <c r="AQ154" i="1" s="1"/>
  <c r="AP153" i="1"/>
  <c r="AQ153" i="1" s="1"/>
  <c r="AP152" i="1"/>
  <c r="AQ152" i="1" s="1"/>
  <c r="AP151" i="1"/>
  <c r="AQ151" i="1" s="1"/>
  <c r="AP150" i="1"/>
  <c r="AQ150" i="1" s="1"/>
  <c r="AP149" i="1"/>
  <c r="AQ149" i="1" s="1"/>
  <c r="AP148" i="1"/>
  <c r="AQ148" i="1" s="1"/>
  <c r="AP147" i="1"/>
  <c r="AQ147" i="1" s="1"/>
  <c r="AP146" i="1"/>
  <c r="AQ146" i="1" s="1"/>
  <c r="AP145" i="1"/>
  <c r="AQ145" i="1" s="1"/>
  <c r="AP144" i="1"/>
  <c r="AQ144" i="1" s="1"/>
  <c r="AP143" i="1"/>
  <c r="AQ143" i="1" s="1"/>
  <c r="AP142" i="1"/>
  <c r="AQ142" i="1" s="1"/>
  <c r="AP141" i="1"/>
  <c r="AQ141" i="1" s="1"/>
  <c r="AP140" i="1"/>
  <c r="AQ140" i="1" s="1"/>
  <c r="AP139" i="1"/>
  <c r="AQ139" i="1" s="1"/>
  <c r="AP138" i="1"/>
  <c r="AQ138" i="1" s="1"/>
  <c r="AP137" i="1"/>
  <c r="AQ137" i="1" s="1"/>
  <c r="AP136" i="1"/>
  <c r="AQ136" i="1" s="1"/>
  <c r="AP135" i="1"/>
  <c r="AQ135" i="1" s="1"/>
  <c r="AP134" i="1"/>
  <c r="AQ134" i="1" s="1"/>
  <c r="AP133" i="1"/>
  <c r="AQ133" i="1" s="1"/>
  <c r="AP132" i="1"/>
  <c r="AQ132" i="1" s="1"/>
  <c r="AP131" i="1"/>
  <c r="AQ131" i="1" s="1"/>
  <c r="AP130" i="1"/>
  <c r="AQ130" i="1" s="1"/>
  <c r="AP129" i="1"/>
  <c r="AQ129" i="1" s="1"/>
  <c r="AP128" i="1"/>
  <c r="AQ128" i="1" s="1"/>
  <c r="AP127" i="1"/>
  <c r="AQ127" i="1" s="1"/>
  <c r="AP126" i="1"/>
  <c r="AQ126" i="1" s="1"/>
  <c r="AP125" i="1"/>
  <c r="AQ125" i="1" s="1"/>
  <c r="AP124" i="1"/>
  <c r="AQ124" i="1" s="1"/>
  <c r="AP123" i="1"/>
  <c r="AQ123" i="1" s="1"/>
  <c r="AP122" i="1"/>
  <c r="AQ122" i="1" s="1"/>
  <c r="AP121" i="1"/>
  <c r="AQ121" i="1" s="1"/>
  <c r="AP120" i="1"/>
  <c r="AQ120" i="1" s="1"/>
  <c r="AP119" i="1"/>
  <c r="AQ119" i="1" s="1"/>
  <c r="AP118" i="1"/>
  <c r="AQ118" i="1" s="1"/>
  <c r="AP117" i="1"/>
  <c r="AQ117" i="1" s="1"/>
  <c r="AP116" i="1"/>
  <c r="AQ116" i="1" s="1"/>
  <c r="AP115" i="1"/>
  <c r="AQ115" i="1" s="1"/>
  <c r="AP114" i="1"/>
  <c r="AQ114" i="1" s="1"/>
  <c r="AP113" i="1"/>
  <c r="AQ113" i="1" s="1"/>
  <c r="AP112" i="1"/>
  <c r="AQ112" i="1" s="1"/>
  <c r="AP111" i="1"/>
  <c r="AQ111" i="1" s="1"/>
  <c r="AP110" i="1"/>
  <c r="AQ110" i="1" s="1"/>
  <c r="AP109" i="1"/>
  <c r="AQ109" i="1" s="1"/>
  <c r="AP108" i="1"/>
  <c r="AQ108" i="1" s="1"/>
  <c r="AP107" i="1"/>
  <c r="AQ107" i="1" s="1"/>
  <c r="AP106" i="1"/>
  <c r="AQ106" i="1" s="1"/>
  <c r="AP105" i="1"/>
  <c r="AQ105" i="1" s="1"/>
  <c r="AP104" i="1"/>
  <c r="AQ104" i="1" s="1"/>
  <c r="AP103" i="1"/>
  <c r="AQ103" i="1" s="1"/>
  <c r="AP102" i="1"/>
  <c r="AQ102" i="1" s="1"/>
  <c r="AP101" i="1"/>
  <c r="AQ101" i="1" s="1"/>
  <c r="AP100" i="1"/>
  <c r="AQ100" i="1" s="1"/>
  <c r="AP99" i="1"/>
  <c r="AQ99" i="1" s="1"/>
  <c r="AP98" i="1"/>
  <c r="AQ98" i="1" s="1"/>
  <c r="AP97" i="1"/>
  <c r="AQ97" i="1" s="1"/>
  <c r="AP96" i="1"/>
  <c r="AQ96" i="1" s="1"/>
  <c r="AP95" i="1"/>
  <c r="AQ95" i="1" s="1"/>
  <c r="AP94" i="1"/>
  <c r="AQ94" i="1" s="1"/>
  <c r="AP93" i="1"/>
  <c r="AQ93" i="1" s="1"/>
  <c r="AP92" i="1"/>
  <c r="AQ92" i="1" s="1"/>
  <c r="AP91" i="1"/>
  <c r="AQ91" i="1" s="1"/>
  <c r="AP90" i="1"/>
  <c r="AQ90" i="1" s="1"/>
  <c r="AP89" i="1"/>
  <c r="AQ89" i="1" s="1"/>
  <c r="AP88" i="1"/>
  <c r="AQ88" i="1" s="1"/>
  <c r="AP87" i="1"/>
  <c r="AQ87" i="1" s="1"/>
  <c r="AP86" i="1"/>
  <c r="AQ86" i="1" s="1"/>
  <c r="AP85" i="1"/>
  <c r="AQ85" i="1" s="1"/>
  <c r="AP84" i="1"/>
  <c r="AQ84" i="1" s="1"/>
  <c r="AP83" i="1"/>
  <c r="AQ83" i="1" s="1"/>
  <c r="AP82" i="1"/>
  <c r="AQ82" i="1" s="1"/>
  <c r="AP81" i="1"/>
  <c r="AQ81" i="1" s="1"/>
  <c r="AP80" i="1"/>
  <c r="AQ80" i="1" s="1"/>
  <c r="AP79" i="1"/>
  <c r="AQ79" i="1" s="1"/>
  <c r="AP78" i="1"/>
  <c r="AQ78" i="1" s="1"/>
  <c r="AP77" i="1"/>
  <c r="AQ77" i="1" s="1"/>
  <c r="AP76" i="1"/>
  <c r="AQ76" i="1" s="1"/>
  <c r="AP75" i="1"/>
  <c r="AQ75" i="1" s="1"/>
  <c r="AP74" i="1"/>
  <c r="AQ74" i="1" s="1"/>
  <c r="AP73" i="1"/>
  <c r="AQ73" i="1" s="1"/>
  <c r="AP72" i="1"/>
  <c r="AQ72" i="1" s="1"/>
  <c r="AP71" i="1"/>
  <c r="AQ71" i="1" s="1"/>
  <c r="AP70" i="1"/>
  <c r="AQ70" i="1" s="1"/>
  <c r="AP69" i="1"/>
  <c r="AQ69" i="1" s="1"/>
  <c r="AP68" i="1"/>
  <c r="AQ68" i="1" s="1"/>
  <c r="AP67" i="1"/>
  <c r="AQ67" i="1" s="1"/>
  <c r="AP66" i="1"/>
  <c r="AQ66" i="1" s="1"/>
  <c r="AP65" i="1"/>
  <c r="AQ65" i="1" s="1"/>
  <c r="AP64" i="1"/>
  <c r="AQ64" i="1" s="1"/>
  <c r="AP63" i="1"/>
  <c r="AQ63" i="1" s="1"/>
  <c r="AP62" i="1"/>
  <c r="AQ62" i="1" s="1"/>
  <c r="AP61" i="1"/>
  <c r="AQ61" i="1" s="1"/>
  <c r="AP60" i="1"/>
  <c r="AQ60" i="1" s="1"/>
  <c r="AP59" i="1"/>
  <c r="AQ59" i="1" s="1"/>
  <c r="AP58" i="1"/>
  <c r="AQ58" i="1" s="1"/>
  <c r="AP57" i="1"/>
  <c r="AQ57" i="1" s="1"/>
  <c r="AP56" i="1"/>
  <c r="AQ56" i="1" s="1"/>
  <c r="AP55" i="1"/>
  <c r="AQ55" i="1" s="1"/>
  <c r="AP54" i="1"/>
  <c r="AQ54" i="1" s="1"/>
  <c r="AP53" i="1"/>
  <c r="AQ53" i="1" s="1"/>
  <c r="AP52" i="1"/>
  <c r="AQ52" i="1" s="1"/>
  <c r="AP51" i="1"/>
  <c r="AQ51" i="1" s="1"/>
  <c r="AP50" i="1"/>
  <c r="AQ50" i="1" s="1"/>
  <c r="AP49" i="1"/>
  <c r="AQ49" i="1" s="1"/>
  <c r="AP48" i="1"/>
  <c r="AQ48" i="1" s="1"/>
  <c r="AP47" i="1"/>
  <c r="AQ47" i="1" s="1"/>
  <c r="AP46" i="1"/>
  <c r="AQ46" i="1" s="1"/>
  <c r="AP45" i="1"/>
  <c r="AQ45" i="1" s="1"/>
  <c r="AP44" i="1"/>
  <c r="AQ44" i="1" s="1"/>
  <c r="AP43" i="1"/>
  <c r="AQ43" i="1" s="1"/>
  <c r="AP42" i="1"/>
  <c r="AQ42" i="1" s="1"/>
  <c r="AP41" i="1"/>
  <c r="AQ41" i="1" s="1"/>
  <c r="AP40" i="1"/>
  <c r="AQ40" i="1" s="1"/>
  <c r="AP39" i="1"/>
  <c r="AQ39" i="1" s="1"/>
  <c r="AP38" i="1"/>
  <c r="AQ38" i="1" s="1"/>
  <c r="AP37" i="1"/>
  <c r="AQ37" i="1" s="1"/>
  <c r="AP36" i="1"/>
  <c r="AQ36" i="1" s="1"/>
  <c r="AP35" i="1"/>
  <c r="AQ35" i="1" s="1"/>
  <c r="AP34" i="1"/>
  <c r="AQ34" i="1" s="1"/>
  <c r="AP33" i="1"/>
  <c r="AQ33" i="1" s="1"/>
  <c r="AP32" i="1"/>
  <c r="AQ32" i="1" s="1"/>
  <c r="AP31" i="1"/>
  <c r="AQ31" i="1" s="1"/>
  <c r="AP30" i="1"/>
  <c r="AQ30" i="1" s="1"/>
  <c r="AP29" i="1"/>
  <c r="AQ29" i="1" s="1"/>
  <c r="AP28" i="1"/>
  <c r="AQ28" i="1" s="1"/>
  <c r="AP27" i="1"/>
  <c r="AQ27" i="1" s="1"/>
  <c r="AP26" i="1"/>
  <c r="AQ26" i="1" s="1"/>
  <c r="AP25" i="1"/>
  <c r="AQ25" i="1" s="1"/>
  <c r="AP24" i="1"/>
  <c r="AQ24" i="1" s="1"/>
  <c r="AP23" i="1"/>
  <c r="AQ23" i="1" s="1"/>
  <c r="AP22" i="1"/>
  <c r="AQ22" i="1" s="1"/>
  <c r="AP21" i="1"/>
  <c r="AQ21" i="1" s="1"/>
  <c r="AP20" i="1"/>
  <c r="AQ20" i="1" s="1"/>
  <c r="AP19" i="1"/>
  <c r="AQ19" i="1" s="1"/>
  <c r="AP18" i="1"/>
  <c r="AQ18" i="1" s="1"/>
  <c r="AP17" i="1"/>
  <c r="AQ17" i="1" s="1"/>
  <c r="AP16" i="1"/>
  <c r="AQ16" i="1" s="1"/>
  <c r="AP15" i="1"/>
  <c r="AQ15" i="1" s="1"/>
  <c r="AP14" i="1"/>
  <c r="AQ14" i="1" s="1"/>
  <c r="AP13" i="1"/>
  <c r="AQ13" i="1" s="1"/>
  <c r="AP12" i="1"/>
  <c r="AQ12" i="1" s="1"/>
  <c r="AP11" i="1"/>
  <c r="AQ11" i="1" s="1"/>
  <c r="AP10" i="1"/>
  <c r="AQ10" i="1" s="1"/>
  <c r="AP9" i="1"/>
  <c r="AQ9" i="1" s="1"/>
  <c r="AP8" i="1"/>
  <c r="AQ8" i="1" s="1"/>
  <c r="AP7" i="1"/>
  <c r="AQ7" i="1" s="1"/>
  <c r="AP6" i="1"/>
  <c r="AQ6" i="1" s="1"/>
  <c r="AP5" i="1"/>
  <c r="AQ5" i="1" s="1"/>
  <c r="AP4" i="1"/>
  <c r="AQ4" i="1" s="1"/>
  <c r="AP3" i="1"/>
  <c r="AQ3" i="1" s="1"/>
  <c r="AP1" i="1" l="1"/>
  <c r="AS1" i="1"/>
  <c r="AK1" i="1"/>
  <c r="AQ1" i="1" l="1"/>
  <c r="W1" i="1"/>
  <c r="AN1" i="1"/>
  <c r="E3" i="5"/>
  <c r="E2" i="5"/>
  <c r="A1" i="1" l="1"/>
  <c r="AR317" i="1"/>
  <c r="AR1" i="1" s="1"/>
  <c r="AT1" i="1"/>
  <c r="B1" i="1" l="1"/>
  <c r="C1" i="1" l="1"/>
</calcChain>
</file>

<file path=xl/sharedStrings.xml><?xml version="1.0" encoding="utf-8"?>
<sst xmlns="http://schemas.openxmlformats.org/spreadsheetml/2006/main" count="9592" uniqueCount="2011">
  <si>
    <t>القطاع</t>
  </si>
  <si>
    <t>نوع التسجيل</t>
  </si>
  <si>
    <t>ماركة المركبة</t>
  </si>
  <si>
    <t>طراز المركبة</t>
  </si>
  <si>
    <t>الموديل</t>
  </si>
  <si>
    <t>اللون</t>
  </si>
  <si>
    <t>رقم اللوحة</t>
  </si>
  <si>
    <t>رقم الهيكل</t>
  </si>
  <si>
    <t>الرقم التسلسلي</t>
  </si>
  <si>
    <t>رقم وثيقة التأمين</t>
  </si>
  <si>
    <t>الملاحظات</t>
  </si>
  <si>
    <t>شركة التأمين</t>
  </si>
  <si>
    <t>نوع التأمين</t>
  </si>
  <si>
    <t>قيمة التأمين</t>
  </si>
  <si>
    <t>المالك</t>
  </si>
  <si>
    <t>-</t>
  </si>
  <si>
    <t>الإتحاد</t>
  </si>
  <si>
    <t>شركة تنشيط الخدمات اللوجستية</t>
  </si>
  <si>
    <t>P/10001/I/GA/FG/26/02</t>
  </si>
  <si>
    <t>النقل الخفيف</t>
  </si>
  <si>
    <t>دراجة آلية</t>
  </si>
  <si>
    <t>بجي</t>
  </si>
  <si>
    <t>دراجة نارية</t>
  </si>
  <si>
    <t>احمر</t>
  </si>
  <si>
    <t>ح أ  3502</t>
  </si>
  <si>
    <t>MD2A21BX0PWC42113</t>
  </si>
  <si>
    <t>P-W01-26-311-004248</t>
  </si>
  <si>
    <t>الولاء</t>
  </si>
  <si>
    <t>طرف ثالث / ضد الغير</t>
  </si>
  <si>
    <t>ح أ  3503</t>
  </si>
  <si>
    <t>MD2A21BX2PWC42114</t>
  </si>
  <si>
    <t>ح أ  3504</t>
  </si>
  <si>
    <t>MD2A21BX4PWC42115</t>
  </si>
  <si>
    <t>ح أ  3505</t>
  </si>
  <si>
    <t>MD2A21BX6PWC42116</t>
  </si>
  <si>
    <t>ح أ  3506</t>
  </si>
  <si>
    <t>MD2A21BX6PWC42133</t>
  </si>
  <si>
    <t>ح أ  3507</t>
  </si>
  <si>
    <t>MD2A21BX8PWC42134</t>
  </si>
  <si>
    <t>ح أ  3550</t>
  </si>
  <si>
    <t>MD2A21BX7PWC42111</t>
  </si>
  <si>
    <t>ح أ  3554</t>
  </si>
  <si>
    <t>MD2A21BXXPWC42135</t>
  </si>
  <si>
    <t>بجاج</t>
  </si>
  <si>
    <t>ر ع  852</t>
  </si>
  <si>
    <t>MD2A21BX1PWB41288</t>
  </si>
  <si>
    <t>ر ع  853</t>
  </si>
  <si>
    <t>MD2A21BX8PWB41286</t>
  </si>
  <si>
    <t>ر ع  854</t>
  </si>
  <si>
    <t>MD2A21BX1PWB41291</t>
  </si>
  <si>
    <t>ر ع  855</t>
  </si>
  <si>
    <t>MD2A21BX5PWB41293</t>
  </si>
  <si>
    <t>ر ع  856</t>
  </si>
  <si>
    <t>MD2A21BX3PWB41292</t>
  </si>
  <si>
    <t>ر ع  857</t>
  </si>
  <si>
    <t>MD2A21BXXPWB41290</t>
  </si>
  <si>
    <t>ر ع  858</t>
  </si>
  <si>
    <t>MD2A21BXXPWB41287</t>
  </si>
  <si>
    <t>ر ع  875</t>
  </si>
  <si>
    <t>MD2A21BX4PWB41284</t>
  </si>
  <si>
    <t>ر ع  884</t>
  </si>
  <si>
    <t>MD2A21BX6PWB41285</t>
  </si>
  <si>
    <t>ر ع  944</t>
  </si>
  <si>
    <t>MD2A21BX3PWB41289</t>
  </si>
  <si>
    <t>اسود</t>
  </si>
  <si>
    <t>ط أ  9668</t>
  </si>
  <si>
    <t>MD2A21BX0PWG46142</t>
  </si>
  <si>
    <t>بجاج بوكسر</t>
  </si>
  <si>
    <t>ق أ  4457</t>
  </si>
  <si>
    <t>MD2A21BX3RWJ48565</t>
  </si>
  <si>
    <t>ق أ  4548</t>
  </si>
  <si>
    <t>MD2A21BX5RWJ48566</t>
  </si>
  <si>
    <t>ق أ  4700</t>
  </si>
  <si>
    <t>MD2A21BX8RWJ48593</t>
  </si>
  <si>
    <t>ق أ  4701</t>
  </si>
  <si>
    <t>MD2A21BX6RWJ48592</t>
  </si>
  <si>
    <t>ق أ  4702</t>
  </si>
  <si>
    <t>MD2A21BX4RWJ48591</t>
  </si>
  <si>
    <t>ق أ  4703</t>
  </si>
  <si>
    <t>MD2A21BX2RWJ48590</t>
  </si>
  <si>
    <t>ق أ  4704</t>
  </si>
  <si>
    <t>MD2A21BX6RWJ48589</t>
  </si>
  <si>
    <t>ق أ  4705</t>
  </si>
  <si>
    <t>MD2A21BX4RWJ48588</t>
  </si>
  <si>
    <t>ق أ  4706</t>
  </si>
  <si>
    <t>MD2A21BX0RWJ48586</t>
  </si>
  <si>
    <t>ق أ  4707</t>
  </si>
  <si>
    <t>MD2A21BX9RWJ48585</t>
  </si>
  <si>
    <t>ق أ  4708</t>
  </si>
  <si>
    <t>MD2A21BX7RWJ48584</t>
  </si>
  <si>
    <t>ق أ  4709</t>
  </si>
  <si>
    <t>MD2A21BX5RWJ48583</t>
  </si>
  <si>
    <t>ق أ  4710</t>
  </si>
  <si>
    <t>MD2A21BX3RWJ48582</t>
  </si>
  <si>
    <t>ق أ  4711</t>
  </si>
  <si>
    <t>MD2A21BX1RWJ48581</t>
  </si>
  <si>
    <t>ق أ  4712</t>
  </si>
  <si>
    <t>MD2A21BXXRWJ48580</t>
  </si>
  <si>
    <t>ق أ  4713</t>
  </si>
  <si>
    <t>MD2A21BX3RWJ48579</t>
  </si>
  <si>
    <t>ق أ  4714</t>
  </si>
  <si>
    <t>MD2A21BX1RWJ48578</t>
  </si>
  <si>
    <t>ق أ  4715</t>
  </si>
  <si>
    <t>MD2A21BXXRWJ48577</t>
  </si>
  <si>
    <t>ق أ  4717</t>
  </si>
  <si>
    <t>MD2A21BX6RWJ48575</t>
  </si>
  <si>
    <t>ق أ  4718</t>
  </si>
  <si>
    <t>MD2A21BX4RWJ48574</t>
  </si>
  <si>
    <t>ق أ  4719</t>
  </si>
  <si>
    <t>MD2A21BX2RWJ48573</t>
  </si>
  <si>
    <t>ق أ  4722</t>
  </si>
  <si>
    <t>MD2A21BX7RWJ48570</t>
  </si>
  <si>
    <t>ق أ  4723</t>
  </si>
  <si>
    <t>MD2A21BX0RWJ48569</t>
  </si>
  <si>
    <t>ق أ  4724</t>
  </si>
  <si>
    <t>MD2A21BX9RWJ48568</t>
  </si>
  <si>
    <t>ق أ  4725</t>
  </si>
  <si>
    <t>MD2A21BX7RWJ48567</t>
  </si>
  <si>
    <t>ق أ  4726</t>
  </si>
  <si>
    <t>MD2A21BXXRWJ48594</t>
  </si>
  <si>
    <t>ق أ  4727</t>
  </si>
  <si>
    <t>MD2A21BX2RWJ48587</t>
  </si>
  <si>
    <t>ل أ  1036</t>
  </si>
  <si>
    <t>MD2A21BXXPWG46164</t>
  </si>
  <si>
    <t>ل أ  1064</t>
  </si>
  <si>
    <t>MD2A21BX6PWG45769</t>
  </si>
  <si>
    <t>ل أ  1065</t>
  </si>
  <si>
    <t>MD2A21BX4PWG45768</t>
  </si>
  <si>
    <t>ل أ  1069</t>
  </si>
  <si>
    <t>MD2A21BX0PWG46416</t>
  </si>
  <si>
    <t>ل أ  1071</t>
  </si>
  <si>
    <t>MD2A21BX6PWG46100</t>
  </si>
  <si>
    <t>ل أ  1073</t>
  </si>
  <si>
    <t>MD2A21BX3PWG46099</t>
  </si>
  <si>
    <t>ل أ  1074</t>
  </si>
  <si>
    <t>MD2A21BX1PWG46098</t>
  </si>
  <si>
    <t>ل أ  1078</t>
  </si>
  <si>
    <t>MD2A21BX2PWG46417</t>
  </si>
  <si>
    <t>ل أ  1079</t>
  </si>
  <si>
    <t>MD2A21BX7PWG46414</t>
  </si>
  <si>
    <t>ل أ  1080</t>
  </si>
  <si>
    <t>MD2A21BX4PWG45771</t>
  </si>
  <si>
    <t>ل أ  1081</t>
  </si>
  <si>
    <t>MD2A21BX2PWG45770</t>
  </si>
  <si>
    <t>ل أ  1082</t>
  </si>
  <si>
    <t>MD2A21BX8PWG46101</t>
  </si>
  <si>
    <t>ل أ  1083</t>
  </si>
  <si>
    <t>MD2A21BX8PWG45773</t>
  </si>
  <si>
    <t>ل أ  1084</t>
  </si>
  <si>
    <t>MD2A21BX6PWG45772</t>
  </si>
  <si>
    <t>ل أ  1085</t>
  </si>
  <si>
    <t>MD2A21BX9PWG46415</t>
  </si>
  <si>
    <t>ل أ  1145</t>
  </si>
  <si>
    <t>MD2A21BX8PWG46132</t>
  </si>
  <si>
    <t>ل أ  1367</t>
  </si>
  <si>
    <t>MD2A21BX3PWG46345</t>
  </si>
  <si>
    <t>ل أ  1368</t>
  </si>
  <si>
    <t>MD2A21BX5PWG46332</t>
  </si>
  <si>
    <t>ل أ  1371</t>
  </si>
  <si>
    <t>MD2A21BX9PWG46334</t>
  </si>
  <si>
    <t>ل أ  1372</t>
  </si>
  <si>
    <t>MD2A21BX2PWG46336</t>
  </si>
  <si>
    <t>ل أ  1373</t>
  </si>
  <si>
    <t>MD2A21BX4PWG46337</t>
  </si>
  <si>
    <t>ل أ  1374</t>
  </si>
  <si>
    <t>MD2A21BX1PWG46330</t>
  </si>
  <si>
    <t>ل أ  1395</t>
  </si>
  <si>
    <t>MD2A21BX0PWG46349</t>
  </si>
  <si>
    <t>ل أ  1396</t>
  </si>
  <si>
    <t>MD2A21BX9PWG46348</t>
  </si>
  <si>
    <t>ل أ  1398</t>
  </si>
  <si>
    <t>MD2A21BX5PWG46346</t>
  </si>
  <si>
    <t>ل أ  1399</t>
  </si>
  <si>
    <t>MD2A21BX1PWG46344</t>
  </si>
  <si>
    <t>ل أ  1607</t>
  </si>
  <si>
    <t>MD2A21BXXPWG46133</t>
  </si>
  <si>
    <t>ل أ  1609</t>
  </si>
  <si>
    <t>MD2A21BX7PWG46140</t>
  </si>
  <si>
    <t>ل أ  1610</t>
  </si>
  <si>
    <t>MD2A21BX2PWG46157</t>
  </si>
  <si>
    <t>ل أ  1613</t>
  </si>
  <si>
    <t>MD2A21BX9PWG46155</t>
  </si>
  <si>
    <t>ل أ  1614</t>
  </si>
  <si>
    <t>MD2A21BX7PWG46154</t>
  </si>
  <si>
    <t>ل أ  1617</t>
  </si>
  <si>
    <t>MD2A21BX5PWG46153</t>
  </si>
  <si>
    <t>ل أ  1618</t>
  </si>
  <si>
    <t>MD2A21BX3PWG46152</t>
  </si>
  <si>
    <t>ل أ  1619</t>
  </si>
  <si>
    <t>MD2A21BX9PWG46169</t>
  </si>
  <si>
    <t>ل أ  1620</t>
  </si>
  <si>
    <t>MD2A21BX7PWG46168</t>
  </si>
  <si>
    <t>ل أ  1621</t>
  </si>
  <si>
    <t>MD2A21BX5PWG46167</t>
  </si>
  <si>
    <t>ل أ  1622</t>
  </si>
  <si>
    <t>MD2A21BX3PWG46166</t>
  </si>
  <si>
    <t>ل أ  1623</t>
  </si>
  <si>
    <t>MD2A21BX1PWG46165</t>
  </si>
  <si>
    <t>ل أ  1640</t>
  </si>
  <si>
    <t>MD2A21BX9PWG46222</t>
  </si>
  <si>
    <t>ل أ  1641</t>
  </si>
  <si>
    <t>MD2A21BX7PWG46221</t>
  </si>
  <si>
    <t>ل أ  1642</t>
  </si>
  <si>
    <t>MD2A21BX5PWG46220</t>
  </si>
  <si>
    <t>ل أ  1643</t>
  </si>
  <si>
    <t>MD2A21BX9PWG46219</t>
  </si>
  <si>
    <t>ل أ  1644</t>
  </si>
  <si>
    <t>MD2A21BX7PWG46218</t>
  </si>
  <si>
    <t>ل أ  1645</t>
  </si>
  <si>
    <t>MD2A21BX6PWG46145</t>
  </si>
  <si>
    <t>ل أ  1646</t>
  </si>
  <si>
    <t>MD2A21BX4PWG46144</t>
  </si>
  <si>
    <t>ل أ  1647</t>
  </si>
  <si>
    <t>MD2A21BX0PWG46223</t>
  </si>
  <si>
    <t>ل أ  1648</t>
  </si>
  <si>
    <t>MD2A21BX2PWG46143</t>
  </si>
  <si>
    <t>ل أ  1649</t>
  </si>
  <si>
    <t>MD2A21BX9PWG46141</t>
  </si>
  <si>
    <t>ل أ  1932</t>
  </si>
  <si>
    <t>MD2A21BX4PWG46418</t>
  </si>
  <si>
    <t>ل أ  1933</t>
  </si>
  <si>
    <t>MD2A21BX6PWG46419</t>
  </si>
  <si>
    <t>ل أ  1934</t>
  </si>
  <si>
    <t>MD2A21BX1PWG46327</t>
  </si>
  <si>
    <t>ل أ  1935</t>
  </si>
  <si>
    <t>MD2A21BXXPWG46326</t>
  </si>
  <si>
    <t>ل أ  1936</t>
  </si>
  <si>
    <t>MD2A21BX5PWG46329</t>
  </si>
  <si>
    <t>ل أ  1937</t>
  </si>
  <si>
    <t>MD2A21BX3PWG46328</t>
  </si>
  <si>
    <t>ل أ  1938</t>
  </si>
  <si>
    <t>MD2A21BX3PWG46331</t>
  </si>
  <si>
    <t>ل أ  4550</t>
  </si>
  <si>
    <t>MD2A21BX4RWJ48476</t>
  </si>
  <si>
    <t>ل أ  4552</t>
  </si>
  <si>
    <t>MD2A21BX7RWJ48441</t>
  </si>
  <si>
    <t>ل أ  4553</t>
  </si>
  <si>
    <t>MD2A21BX4RWJ48445</t>
  </si>
  <si>
    <t>ل أ  4556</t>
  </si>
  <si>
    <t>MD2A21BX6RWJ48446</t>
  </si>
  <si>
    <t>ل أ  4557</t>
  </si>
  <si>
    <t>MD2A21BX8RWJ48447</t>
  </si>
  <si>
    <t>ل أ  4558</t>
  </si>
  <si>
    <t>MD2A21BXXRWJ48448</t>
  </si>
  <si>
    <t>ل أ  4559</t>
  </si>
  <si>
    <t>MD2A21BX1RWJ48449</t>
  </si>
  <si>
    <t>ل أ  4560</t>
  </si>
  <si>
    <t>MD2A21BX8RWJ48450</t>
  </si>
  <si>
    <t>ل أ  4561</t>
  </si>
  <si>
    <t>MD2A21BXXRWJ48451</t>
  </si>
  <si>
    <t>ل أ  4562</t>
  </si>
  <si>
    <t>MD2A21BX1RWJ48452</t>
  </si>
  <si>
    <t>ل أ  4563</t>
  </si>
  <si>
    <t>MD2A21BX3RWJ48453</t>
  </si>
  <si>
    <t>ل أ  4564</t>
  </si>
  <si>
    <t>MD2A21BX5RWJ48454</t>
  </si>
  <si>
    <t>ل أ  4565</t>
  </si>
  <si>
    <t>MD2A21BX7RWJ48455</t>
  </si>
  <si>
    <t>ل أ  4566</t>
  </si>
  <si>
    <t>MD2A21BX9RWJ48456</t>
  </si>
  <si>
    <t>ل أ  4575</t>
  </si>
  <si>
    <t>MD2A21BX0RWJ48457</t>
  </si>
  <si>
    <t>ل أ  4576</t>
  </si>
  <si>
    <t>MD2A21BX2RWJ48458</t>
  </si>
  <si>
    <t>ل أ  4577</t>
  </si>
  <si>
    <t>MD2A21BX4RWJ48459</t>
  </si>
  <si>
    <t>ل أ  4578</t>
  </si>
  <si>
    <t>MD2A21BX0RWJ48460</t>
  </si>
  <si>
    <t>ل أ  4579</t>
  </si>
  <si>
    <t>MD2A21BX2RWJ48461</t>
  </si>
  <si>
    <t>ل أ  4580</t>
  </si>
  <si>
    <t>MD2A21BX4RWJ48462</t>
  </si>
  <si>
    <t>ل أ  4581</t>
  </si>
  <si>
    <t>MD2A21BX6RWJ48463</t>
  </si>
  <si>
    <t>ل أ  4582</t>
  </si>
  <si>
    <t>MD2A21BX8RWJ48464</t>
  </si>
  <si>
    <t>ل أ  4583</t>
  </si>
  <si>
    <t>MD2A21BXXRWJ48465</t>
  </si>
  <si>
    <t>ل أ  4584</t>
  </si>
  <si>
    <t>MD2A21BX1RWJ48466</t>
  </si>
  <si>
    <t>ل أ  4650</t>
  </si>
  <si>
    <t>MD2A21BXXRWJ48496</t>
  </si>
  <si>
    <t>ل أ  4651</t>
  </si>
  <si>
    <t>MD2A21BX6RWJ48494</t>
  </si>
  <si>
    <t>ل أ  4653</t>
  </si>
  <si>
    <t>MD2A21BX2RWJ48492</t>
  </si>
  <si>
    <t>ل أ  4654</t>
  </si>
  <si>
    <t>MD2A21BX0RWJ48491</t>
  </si>
  <si>
    <t>ل أ  4655</t>
  </si>
  <si>
    <t>MD2A21BX9RWJ48490</t>
  </si>
  <si>
    <t>ل أ  4656</t>
  </si>
  <si>
    <t>MD2A21BX2RWJ48489</t>
  </si>
  <si>
    <t>ل أ  4657</t>
  </si>
  <si>
    <t>MD2A21BX0RWJ48488</t>
  </si>
  <si>
    <t>ل أ  4658</t>
  </si>
  <si>
    <t>MD2A21BX9RWJ48487</t>
  </si>
  <si>
    <t>ل أ  4659</t>
  </si>
  <si>
    <t>MD2A21BX7RWJ48486</t>
  </si>
  <si>
    <t>ل أ  4660</t>
  </si>
  <si>
    <t>MD2A21BX5RWJ48485</t>
  </si>
  <si>
    <t>ل أ  4661</t>
  </si>
  <si>
    <t>MD2A21BX3RWJ48484</t>
  </si>
  <si>
    <t>ل أ  4664</t>
  </si>
  <si>
    <t>MD2A21BX8RWJ48481</t>
  </si>
  <si>
    <t>ل أ  4665</t>
  </si>
  <si>
    <t>MD2A21BX6RWJ48480</t>
  </si>
  <si>
    <t>ل أ  4667</t>
  </si>
  <si>
    <t>MD2A21BXXRWJ48479</t>
  </si>
  <si>
    <t>ل أ  4669</t>
  </si>
  <si>
    <t>MD2A21BX9RWJ48442</t>
  </si>
  <si>
    <t>ل أ  4670</t>
  </si>
  <si>
    <t>MD2A21BX9RWJ48439</t>
  </si>
  <si>
    <t>ل أ  4688</t>
  </si>
  <si>
    <t>MD2A21BX5RWJ48440</t>
  </si>
  <si>
    <t>ل أ  4689</t>
  </si>
  <si>
    <t>MD2A21BX5RWJ48437</t>
  </si>
  <si>
    <t>ل أ  4690</t>
  </si>
  <si>
    <t>MD2A21BX7RWJ48438</t>
  </si>
  <si>
    <t>ل أ  4691</t>
  </si>
  <si>
    <t>MD2A21BXXRWJ48434</t>
  </si>
  <si>
    <t>ل أ  4716</t>
  </si>
  <si>
    <t>MD2A21BX2RWJ48475</t>
  </si>
  <si>
    <t>ل أ  4717</t>
  </si>
  <si>
    <t>MD2A21BX0RWJ48474</t>
  </si>
  <si>
    <t>ل أ  4718</t>
  </si>
  <si>
    <t>MD2A21BX9RWJ48473</t>
  </si>
  <si>
    <t>ل أ  4719</t>
  </si>
  <si>
    <t>MD2A21BX7RWJ48472</t>
  </si>
  <si>
    <t>ل أ  4720</t>
  </si>
  <si>
    <t>MD2A21BX5RWJ48471</t>
  </si>
  <si>
    <t>ل أ  4721</t>
  </si>
  <si>
    <t>MD2A21BX3RWJ48470</t>
  </si>
  <si>
    <t>ل أ  4741</t>
  </si>
  <si>
    <t>MD2A21BX7RWJ48469</t>
  </si>
  <si>
    <t>ل أ  4742</t>
  </si>
  <si>
    <t>MD2A21BX5RWJ48468</t>
  </si>
  <si>
    <t>ل أ  4743</t>
  </si>
  <si>
    <t>MD2A21BX3RWJ48467</t>
  </si>
  <si>
    <t>ل أ  4745</t>
  </si>
  <si>
    <t>MD2A21BX8RWJ48495</t>
  </si>
  <si>
    <t>ط أ  6214</t>
  </si>
  <si>
    <t>MD2A21BX0RWJ47972</t>
  </si>
  <si>
    <t>ل أ  5489</t>
  </si>
  <si>
    <t>MD2A21BX3RWJ48016</t>
  </si>
  <si>
    <t>ط أ  6201</t>
  </si>
  <si>
    <t>MD2A21BX8RWJ47976</t>
  </si>
  <si>
    <t>ل أ  5487</t>
  </si>
  <si>
    <t>MD2A21BXXRWJ48014</t>
  </si>
  <si>
    <t>ل أ  5480</t>
  </si>
  <si>
    <t>MD2A21BX3RWK41229</t>
  </si>
  <si>
    <t>ل أ  5479</t>
  </si>
  <si>
    <t>MD2A21BXXRWJ49289</t>
  </si>
  <si>
    <t>ل أ  5472</t>
  </si>
  <si>
    <t>MD2A21BX2RWJ49304</t>
  </si>
  <si>
    <t>ط أ  6209</t>
  </si>
  <si>
    <t>MD2A21BX9RWJ48635</t>
  </si>
  <si>
    <t>ل أ  5474</t>
  </si>
  <si>
    <t>MD2A21BX9RWJ49302</t>
  </si>
  <si>
    <t>ح أ  9806</t>
  </si>
  <si>
    <t>MD2A21BX2RWE86753</t>
  </si>
  <si>
    <t>ط أ  6203</t>
  </si>
  <si>
    <t>MD2A21BX9RWJ47971</t>
  </si>
  <si>
    <t>ط أ  6202</t>
  </si>
  <si>
    <t>MD2A21BX8RWJ48030</t>
  </si>
  <si>
    <t>ح أ  9791</t>
  </si>
  <si>
    <t>MD2A21BX2RWE86719</t>
  </si>
  <si>
    <t>ح أ  9807</t>
  </si>
  <si>
    <t>MD2A21BX6RWE86755</t>
  </si>
  <si>
    <t>ح أ  9790</t>
  </si>
  <si>
    <t>MD2A21BX6RWE86738</t>
  </si>
  <si>
    <t>ل أ  5469</t>
  </si>
  <si>
    <t>MD2A21BX1RWJ48063</t>
  </si>
  <si>
    <t>ل أ  5481</t>
  </si>
  <si>
    <t>MD2A21BX8RWJ49288</t>
  </si>
  <si>
    <t>ط أ  6212</t>
  </si>
  <si>
    <t>MD2A21BX0RWJ48667</t>
  </si>
  <si>
    <t>ل أ  5488</t>
  </si>
  <si>
    <t>MD2A21BX1RWJ48015</t>
  </si>
  <si>
    <t>ح أ  9799</t>
  </si>
  <si>
    <t>MD2A21BX8RWE86756</t>
  </si>
  <si>
    <t>ص ب  7908</t>
  </si>
  <si>
    <t>MD2A21BX9SWG49467</t>
  </si>
  <si>
    <t>ص ب  7916</t>
  </si>
  <si>
    <t>MD2A21BX0SWG49485</t>
  </si>
  <si>
    <t>ص ب  7918</t>
  </si>
  <si>
    <t>MD2A21BX4SWG49487</t>
  </si>
  <si>
    <t>أ ب  3499</t>
  </si>
  <si>
    <t>MD2A21BX9RWA43029</t>
  </si>
  <si>
    <t>د أ  3013</t>
  </si>
  <si>
    <t>MD2A21BX0RWK42483</t>
  </si>
  <si>
    <t>د أ  8329</t>
  </si>
  <si>
    <t>MD2A21BX9RWL44560</t>
  </si>
  <si>
    <t>د أ  8332</t>
  </si>
  <si>
    <t>MD2A21BX5RWL44815</t>
  </si>
  <si>
    <t>د أ  8436</t>
  </si>
  <si>
    <t>MD2A21BX4RWL44806</t>
  </si>
  <si>
    <t>د أ  8545</t>
  </si>
  <si>
    <t>MD2A21BX7RWL44802</t>
  </si>
  <si>
    <t>د أ  8546</t>
  </si>
  <si>
    <t>MD2A21BX6RWL44807</t>
  </si>
  <si>
    <t>د أ  8636</t>
  </si>
  <si>
    <t>MD2A21BX3RWL44568</t>
  </si>
  <si>
    <t>ط أ  5875</t>
  </si>
  <si>
    <t>MD2A21BX2PWG45820</t>
  </si>
  <si>
    <t>ط أ  5880</t>
  </si>
  <si>
    <t>MD2A21BX9PWG45815</t>
  </si>
  <si>
    <t>ط أ  5886</t>
  </si>
  <si>
    <t>MD2A21BX1PWG45789</t>
  </si>
  <si>
    <t>ط أ  5956</t>
  </si>
  <si>
    <t>MD2A21BX6RWE86268</t>
  </si>
  <si>
    <t>ط أ  5973</t>
  </si>
  <si>
    <t>MD2A21BX5RWE86164</t>
  </si>
  <si>
    <t>ق أ  1189</t>
  </si>
  <si>
    <t>MD2A21BX8RWJ49565</t>
  </si>
  <si>
    <t>ق أ  1221</t>
  </si>
  <si>
    <t>MD2A21BX8RWJ49646</t>
  </si>
  <si>
    <t>ق أ  5229</t>
  </si>
  <si>
    <t>MD2A21BX0RWJ48345</t>
  </si>
  <si>
    <t>ل أ  1294</t>
  </si>
  <si>
    <t>MD2A21BX2PWG45798</t>
  </si>
  <si>
    <t>مستر دليم</t>
  </si>
  <si>
    <t>هوندا</t>
  </si>
  <si>
    <t>ط أ  6003</t>
  </si>
  <si>
    <t>JH2SC68X0EK000037</t>
  </si>
  <si>
    <t>نقل عام</t>
  </si>
  <si>
    <t>سوزوكي</t>
  </si>
  <si>
    <t>فان</t>
  </si>
  <si>
    <t>ابيض</t>
  </si>
  <si>
    <t>أ س ل 5546</t>
  </si>
  <si>
    <t>MA3DT0H55P0B77193</t>
  </si>
  <si>
    <t>P-W01-26-312-004251</t>
  </si>
  <si>
    <t>شامل</t>
  </si>
  <si>
    <t>أ س ل 5542</t>
  </si>
  <si>
    <t>MA3DT0H52P0B83114</t>
  </si>
  <si>
    <t>أ س ل 5547</t>
  </si>
  <si>
    <t>MA3DT0H55P0B77730</t>
  </si>
  <si>
    <t>أ س ل 5541</t>
  </si>
  <si>
    <t>MA3DT0H56P0B82726</t>
  </si>
  <si>
    <t>أ س ل 5549</t>
  </si>
  <si>
    <t>MA3DT0H57P0B78412</t>
  </si>
  <si>
    <t>أ س ل 5543</t>
  </si>
  <si>
    <t>MA3DT0H50P0B83242</t>
  </si>
  <si>
    <t>أ س ل 5544</t>
  </si>
  <si>
    <t>MA3DT0H56P0B83021</t>
  </si>
  <si>
    <t>أ س ل 5545</t>
  </si>
  <si>
    <t>MA3DT0H54P0B83079</t>
  </si>
  <si>
    <t>أ س ل 5550</t>
  </si>
  <si>
    <t>MA3DT0H5XP0B77089</t>
  </si>
  <si>
    <t>أ س ل 5548</t>
  </si>
  <si>
    <t>MA3DT0H56P0B78188</t>
  </si>
  <si>
    <t>النقل الثقيل</t>
  </si>
  <si>
    <t>سينو</t>
  </si>
  <si>
    <t>رأس</t>
  </si>
  <si>
    <t>أ س ي 7358</t>
  </si>
  <si>
    <t>LZZ1CCVD8RJ319727</t>
  </si>
  <si>
    <t>P0426-SME-IJAR-00040899</t>
  </si>
  <si>
    <t>تكافل الراجحي</t>
  </si>
  <si>
    <t>شركة الراجحي المصرفية للأستثمار</t>
  </si>
  <si>
    <t>أ س ي 7360</t>
  </si>
  <si>
    <t>LZZ1CCVD8RJ319730</t>
  </si>
  <si>
    <t>أ س ي 7356</t>
  </si>
  <si>
    <t>LZZ1CCVD1RJ319729</t>
  </si>
  <si>
    <t>أ س ي 7364</t>
  </si>
  <si>
    <t>LZZ1CCVD5RJ319734</t>
  </si>
  <si>
    <t>أ س ي 7359</t>
  </si>
  <si>
    <t>LZZ1CCVD6RJ319726</t>
  </si>
  <si>
    <t>أ س ي 7357</t>
  </si>
  <si>
    <t>LZZ1CCVDXRJ319728</t>
  </si>
  <si>
    <t>أ س ي 7363</t>
  </si>
  <si>
    <t>LZZ1CCVD3RJ319733</t>
  </si>
  <si>
    <t>أ س ي 7361</t>
  </si>
  <si>
    <t>LZZ1CCVDXRJ319731</t>
  </si>
  <si>
    <t>أ س ي 7365</t>
  </si>
  <si>
    <t>LZZ1CCVD7RJ319735</t>
  </si>
  <si>
    <t>أ س ي 7362</t>
  </si>
  <si>
    <t>LZZ1CCVD1RJ319732</t>
  </si>
  <si>
    <t>سي ان اتش تي</t>
  </si>
  <si>
    <t>HOWO-N</t>
  </si>
  <si>
    <t>أ ص ي 5774</t>
  </si>
  <si>
    <t>LZZ1CCVD4SJ335770</t>
  </si>
  <si>
    <t>P/10001/I/MT/MCC/25/63/R01</t>
  </si>
  <si>
    <t>راس شاحنة</t>
  </si>
  <si>
    <t>أ ص ر 5009</t>
  </si>
  <si>
    <t>LZZ1CCVD1RJ352987</t>
  </si>
  <si>
    <t>أ ص ر 5011</t>
  </si>
  <si>
    <t>LZZ1CCVDXRJ352986</t>
  </si>
  <si>
    <t>أ ص ر 1080</t>
  </si>
  <si>
    <t>LZZ1CCVD3RJ353008</t>
  </si>
  <si>
    <t>أ ص ر 1083</t>
  </si>
  <si>
    <t>LZZ1CCVD0RJ353015</t>
  </si>
  <si>
    <t>أ ص ر 5007</t>
  </si>
  <si>
    <t>LZZ1CCVD5RJ352989</t>
  </si>
  <si>
    <t>أ ص ر 1082</t>
  </si>
  <si>
    <t>LZZ1CCVD8RJ353005</t>
  </si>
  <si>
    <t>أ ص ي 5773</t>
  </si>
  <si>
    <t>LZZ1CCVD6SJ335771</t>
  </si>
  <si>
    <t>أ ص ر 5010</t>
  </si>
  <si>
    <t>LZZ1CCVD5RJ352992</t>
  </si>
  <si>
    <t>أ ص ر 5916</t>
  </si>
  <si>
    <t>LZZ1CCVD3RJ352988</t>
  </si>
  <si>
    <t>أ ص ر 5803</t>
  </si>
  <si>
    <t>LZZ1CCVD1RJ352990</t>
  </si>
  <si>
    <t>أ ص ي 5799</t>
  </si>
  <si>
    <t>LZZ1CCVD8SJ335769</t>
  </si>
  <si>
    <t>أ ص ر 1081</t>
  </si>
  <si>
    <t>LZZ1CCVDXRJ353006</t>
  </si>
  <si>
    <t>أ ص م 8199</t>
  </si>
  <si>
    <t>LZZ1CCVD4SJ344730</t>
  </si>
  <si>
    <t>SMC/6058960-32</t>
  </si>
  <si>
    <t>ميد غلف</t>
  </si>
  <si>
    <t xml:space="preserve">شركة تنشيط المستقبل </t>
  </si>
  <si>
    <t>أ ص س 2707</t>
  </si>
  <si>
    <t>LZZ1CCVD6SJ344728</t>
  </si>
  <si>
    <t>SMC/6058960-26</t>
  </si>
  <si>
    <t>أ ص س 2706</t>
  </si>
  <si>
    <t>LZZ1CCVD4SJ344727</t>
  </si>
  <si>
    <t>SMC/6058960-25</t>
  </si>
  <si>
    <t>أ ص م 8197</t>
  </si>
  <si>
    <t>LZZ1CCVD3SJ343987</t>
  </si>
  <si>
    <t>SMC/6058960-30</t>
  </si>
  <si>
    <t>أ ص م 8198</t>
  </si>
  <si>
    <t>LZZ1CCVD2SJ344726</t>
  </si>
  <si>
    <t>SMC/6058960-31</t>
  </si>
  <si>
    <t>مرسيدس</t>
  </si>
  <si>
    <t>راس تريلا</t>
  </si>
  <si>
    <t>أ ص ي 5029</t>
  </si>
  <si>
    <t>W1T9634031C033578</t>
  </si>
  <si>
    <t>SMC/6058960-5</t>
  </si>
  <si>
    <t>شاحنة</t>
  </si>
  <si>
    <t>أ ط ح 3451</t>
  </si>
  <si>
    <t>W1T9634031C033260</t>
  </si>
  <si>
    <t>SMC/6058960-20</t>
  </si>
  <si>
    <t>أ ص ي 5606</t>
  </si>
  <si>
    <t>W1T96340310528094</t>
  </si>
  <si>
    <t>SMC/6058960-18</t>
  </si>
  <si>
    <t>أ ص س 2709</t>
  </si>
  <si>
    <t>LZZ1CCVD8SJ344732</t>
  </si>
  <si>
    <t>SMC/6058960-28</t>
  </si>
  <si>
    <t>أ ط ح 3452</t>
  </si>
  <si>
    <t>W1T96340310544153</t>
  </si>
  <si>
    <t>SMC/6058960-19</t>
  </si>
  <si>
    <t>أ ص ي 5741</t>
  </si>
  <si>
    <t>W1T96340310525679</t>
  </si>
  <si>
    <t>SMC/6058960-15</t>
  </si>
  <si>
    <t>أ ص م 8196</t>
  </si>
  <si>
    <t>LZZ1CCVD5SJ343988</t>
  </si>
  <si>
    <t>SMC/6058960-29</t>
  </si>
  <si>
    <t>أ ص ي 5034</t>
  </si>
  <si>
    <t>W1T96340610562352</t>
  </si>
  <si>
    <t>SMC/6058960-10</t>
  </si>
  <si>
    <t>أ ص س 2708</t>
  </si>
  <si>
    <t>LZZ1CCVD6SJ344731</t>
  </si>
  <si>
    <t>SMC/6058960-27</t>
  </si>
  <si>
    <t>أ ص م 8201</t>
  </si>
  <si>
    <t>LZZ1CCVD8SJ344729</t>
  </si>
  <si>
    <t>SMC/6058960-34</t>
  </si>
  <si>
    <t>أ ط ح 3447</t>
  </si>
  <si>
    <t>W1T9634031C033356</t>
  </si>
  <si>
    <t>SMC/6058960-22</t>
  </si>
  <si>
    <t>أ ص ي 5032</t>
  </si>
  <si>
    <t>W1T96340310528096</t>
  </si>
  <si>
    <t>SMC/6058960-8</t>
  </si>
  <si>
    <t>أ ص ي 5742</t>
  </si>
  <si>
    <t>W1T96340310526595</t>
  </si>
  <si>
    <t>SMC/6058960-17</t>
  </si>
  <si>
    <t>أ ص ي 5028</t>
  </si>
  <si>
    <t>W1T96340610561068</t>
  </si>
  <si>
    <t>SMC/6058960-4</t>
  </si>
  <si>
    <t>أ ص ي 5035</t>
  </si>
  <si>
    <t>W1T96340310526599</t>
  </si>
  <si>
    <t>SMC/6058960-11</t>
  </si>
  <si>
    <t>أ ص ي 5743</t>
  </si>
  <si>
    <t>W1T96340310526791</t>
  </si>
  <si>
    <t>SMC/6058960-14</t>
  </si>
  <si>
    <t>أ ص ي 5739</t>
  </si>
  <si>
    <t>W1T96340310525680</t>
  </si>
  <si>
    <t>SMC/6058960-13</t>
  </si>
  <si>
    <t>أ ص م 8200</t>
  </si>
  <si>
    <t>LZZ1CCVD7SJ343989</t>
  </si>
  <si>
    <t>SMC/6058960-33</t>
  </si>
  <si>
    <t>أ ص ي 5096</t>
  </si>
  <si>
    <t>W1T96340310526597</t>
  </si>
  <si>
    <t>SMC/6058960-1</t>
  </si>
  <si>
    <t>أ ص ي 5031</t>
  </si>
  <si>
    <t>W1T96340610561312</t>
  </si>
  <si>
    <t>SMC/6058960-7</t>
  </si>
  <si>
    <t>أ ط ح 3449</t>
  </si>
  <si>
    <t>W1T96340310521731</t>
  </si>
  <si>
    <t>SMC/6058960-23</t>
  </si>
  <si>
    <t>أ ص ي 5027</t>
  </si>
  <si>
    <t>W1T96340610562006</t>
  </si>
  <si>
    <t>SMC/6058960-3</t>
  </si>
  <si>
    <t>أ ص ي 5744</t>
  </si>
  <si>
    <t>W1T96340310527672</t>
  </si>
  <si>
    <t>SMC/6058960-16</t>
  </si>
  <si>
    <t>أ ص ي 5030</t>
  </si>
  <si>
    <t>W1T9634031C033579</t>
  </si>
  <si>
    <t>SMC/6058960-6</t>
  </si>
  <si>
    <t>أ ص ي 5033</t>
  </si>
  <si>
    <t>W1T96340310526596</t>
  </si>
  <si>
    <t>SMC/6058960-9</t>
  </si>
  <si>
    <t>أ ط ح 3448</t>
  </si>
  <si>
    <t>W1T96340310540067</t>
  </si>
  <si>
    <t>SMC/6058960-24</t>
  </si>
  <si>
    <t>أ ص ي 5097</t>
  </si>
  <si>
    <t>W1T96340310526601</t>
  </si>
  <si>
    <t>SMC/6058960-2</t>
  </si>
  <si>
    <t>أ ط ح 3450</t>
  </si>
  <si>
    <t>W1T96340310546250</t>
  </si>
  <si>
    <t>SMC/6058960-21</t>
  </si>
  <si>
    <t>أ ص ي 5036</t>
  </si>
  <si>
    <t>W1T96340310528095</t>
  </si>
  <si>
    <t>SMC/6058960-12</t>
  </si>
  <si>
    <t>خاص</t>
  </si>
  <si>
    <t>كيا</t>
  </si>
  <si>
    <t>بيجاس</t>
  </si>
  <si>
    <t>بيج</t>
  </si>
  <si>
    <t>ر ع ح 5576</t>
  </si>
  <si>
    <t>LJD0AA294P0238750</t>
  </si>
  <si>
    <t>P/11101/I/MT/MCC/26/20/R02</t>
  </si>
  <si>
    <t>شركة الجبر لتأجير السيارات</t>
  </si>
  <si>
    <t>رصاصي</t>
  </si>
  <si>
    <t>ر ط ص 4941</t>
  </si>
  <si>
    <t>LJD0AA290P0228474</t>
  </si>
  <si>
    <t>ر ط ص 4942</t>
  </si>
  <si>
    <t>LJD0AA290P0228488</t>
  </si>
  <si>
    <t>ر ط ص 4943</t>
  </si>
  <si>
    <t>LJD0AA290P0228491</t>
  </si>
  <si>
    <t>ر ع ح 5574</t>
  </si>
  <si>
    <t>LJD0AA291P0238754</t>
  </si>
  <si>
    <t>ر ع ح 5575</t>
  </si>
  <si>
    <t>LJD0AA296P0238751</t>
  </si>
  <si>
    <t>ر ع ح 5580</t>
  </si>
  <si>
    <t>LJD0AA298P0238752</t>
  </si>
  <si>
    <t>ر ع ح 5581</t>
  </si>
  <si>
    <t>LJD0AA29XP0238753</t>
  </si>
  <si>
    <t>ر ع ح 5584</t>
  </si>
  <si>
    <t>LJD0AA290P0238860</t>
  </si>
  <si>
    <t>ر ع ح 5578</t>
  </si>
  <si>
    <t>LJD0AA298P0238749</t>
  </si>
  <si>
    <t>تويوتا</t>
  </si>
  <si>
    <t>يارس</t>
  </si>
  <si>
    <t>برتقالي</t>
  </si>
  <si>
    <t>ر ي ع 1097</t>
  </si>
  <si>
    <t>MR2BE9B34R0095917</t>
  </si>
  <si>
    <t>س أ ص 8594</t>
  </si>
  <si>
    <t>MR2BE9B33T0120135</t>
  </si>
  <si>
    <t>ر ي د 5046</t>
  </si>
  <si>
    <t>MR2BE9B39R0107866</t>
  </si>
  <si>
    <t>ر م ص 6745</t>
  </si>
  <si>
    <t>MR2BE9B38R0092275</t>
  </si>
  <si>
    <t>ر م ص 6764</t>
  </si>
  <si>
    <t>MR2BE9B37R0092056</t>
  </si>
  <si>
    <t>فضي</t>
  </si>
  <si>
    <t>ر و ط 8731</t>
  </si>
  <si>
    <t>MR2BE9B39R0074917</t>
  </si>
  <si>
    <t>كورولا</t>
  </si>
  <si>
    <t>رصاصي فاتح</t>
  </si>
  <si>
    <t>ر ص ي 5107</t>
  </si>
  <si>
    <t>RKLB30BE9P0015778</t>
  </si>
  <si>
    <t>ر ص ي 5418</t>
  </si>
  <si>
    <t>RKLB30BE6P4000163</t>
  </si>
  <si>
    <t>د م ر 9112</t>
  </si>
  <si>
    <t>RKLB20BE5P2026395</t>
  </si>
  <si>
    <t>مازدا</t>
  </si>
  <si>
    <t>سي اكس 03</t>
  </si>
  <si>
    <t>رمادي</t>
  </si>
  <si>
    <t>ر ب ي 8967</t>
  </si>
  <si>
    <t>JM7DMAW78N0206521</t>
  </si>
  <si>
    <t>بي ام دبليو</t>
  </si>
  <si>
    <t>730 ال اي</t>
  </si>
  <si>
    <t>د ن ه 7151</t>
  </si>
  <si>
    <t>WBA7T0A03MCE94895</t>
  </si>
  <si>
    <t>نقل خاص</t>
  </si>
  <si>
    <t>ايسوزو</t>
  </si>
  <si>
    <t>بكب غمارتين</t>
  </si>
  <si>
    <t>ب د ح 9639</t>
  </si>
  <si>
    <t>MPAEL3312HT001526</t>
  </si>
  <si>
    <t>بكب</t>
  </si>
  <si>
    <t>أ ي أ 7334</t>
  </si>
  <si>
    <t>MR0EX12G0F2352737</t>
  </si>
  <si>
    <t>ماكسوس</t>
  </si>
  <si>
    <t>T60</t>
  </si>
  <si>
    <t>ب ق ب 1586</t>
  </si>
  <si>
    <t>LSFAM11A2RA102096</t>
  </si>
  <si>
    <t>مان</t>
  </si>
  <si>
    <t>1611 ب ق ب</t>
  </si>
  <si>
    <t>WMAH06ZZ95M414839</t>
  </si>
  <si>
    <t>MTS/35951680-25-1</t>
  </si>
  <si>
    <t>فيات</t>
  </si>
  <si>
    <t>فان بضاعة</t>
  </si>
  <si>
    <t>ب ر ل 4550</t>
  </si>
  <si>
    <t>ZFCVFEAR4K6P41328</t>
  </si>
  <si>
    <t>شاحنه</t>
  </si>
  <si>
    <t>أ س ط 4148</t>
  </si>
  <si>
    <t>JAMLP34G487P19153</t>
  </si>
  <si>
    <t>ل أ  1612</t>
  </si>
  <si>
    <t>MD2A21BX0PWG46156</t>
  </si>
  <si>
    <t>ل أ  4551</t>
  </si>
  <si>
    <t>MD2A21BX6RWJ48477</t>
  </si>
  <si>
    <t>ل أ  4652</t>
  </si>
  <si>
    <t>MD2A21BX4RWJ48493</t>
  </si>
  <si>
    <t>ح أ  3551</t>
  </si>
  <si>
    <t>MD2A21BX9PWC42112</t>
  </si>
  <si>
    <t>ق أ  4721</t>
  </si>
  <si>
    <t>MD2A21BX9RWJ48571</t>
  </si>
  <si>
    <t>ل أ  1397</t>
  </si>
  <si>
    <t>MD2A21BX7PWG46347</t>
  </si>
  <si>
    <t>ل أ  4692</t>
  </si>
  <si>
    <t>MD2A21BX8RWJ48433</t>
  </si>
  <si>
    <t>ل أ  1369</t>
  </si>
  <si>
    <t>MD2A21BX7PWG46333</t>
  </si>
  <si>
    <t>ق أ  4716</t>
  </si>
  <si>
    <t>MD2A21BX8RWJ48576</t>
  </si>
  <si>
    <t>ل أ  1370</t>
  </si>
  <si>
    <t>MD2A21BX0PWG46335</t>
  </si>
  <si>
    <t>ق أ  4720</t>
  </si>
  <si>
    <t>MD2A21BX0RWJ48572</t>
  </si>
  <si>
    <t>ل أ  4662</t>
  </si>
  <si>
    <t>MD2A21BX1RWJ48483</t>
  </si>
  <si>
    <t>ل أ  4663</t>
  </si>
  <si>
    <t>MD2A21BXXRWJ48482</t>
  </si>
  <si>
    <t>ل أ  4668</t>
  </si>
  <si>
    <t>MD2A21BX8RWJ48478</t>
  </si>
  <si>
    <t>بدون استمارة</t>
  </si>
  <si>
    <t>ح أ  3552</t>
  </si>
  <si>
    <t>P0426-SME-IJAR-00040893</t>
  </si>
  <si>
    <t>P0426-SME-IJAR-00040901</t>
  </si>
  <si>
    <t>P0426-SME-IJAR-00040900</t>
  </si>
  <si>
    <t>P0426-SME-IJAR-00040898</t>
  </si>
  <si>
    <t>P0426-SME-IJAR-00040897</t>
  </si>
  <si>
    <t>P0426-SME-IJAR-00040896</t>
  </si>
  <si>
    <t>P0426-SME-IJAR-00040895</t>
  </si>
  <si>
    <t>P0426-SME-IJAR-00040894</t>
  </si>
  <si>
    <t>P0426-SME-IJAR-00040903</t>
  </si>
  <si>
    <t xml:space="preserve">رقم السيارة </t>
  </si>
  <si>
    <t>النوع</t>
  </si>
  <si>
    <t>سجل المالك</t>
  </si>
  <si>
    <t>اسم طرف الحادث</t>
  </si>
  <si>
    <t>رقم الهوية</t>
  </si>
  <si>
    <t>نسبة الخطأ</t>
  </si>
  <si>
    <t>تاريخ الحادث</t>
  </si>
  <si>
    <t>مباشرة الحادث</t>
  </si>
  <si>
    <t>رقم الحادث</t>
  </si>
  <si>
    <t>رقم التقرير / التقدير</t>
  </si>
  <si>
    <t xml:space="preserve"> الشركة المطالبة </t>
  </si>
  <si>
    <t>رقم المطالبة</t>
  </si>
  <si>
    <t>ملاحظات المطالبة</t>
  </si>
  <si>
    <t>قيمة التقدير</t>
  </si>
  <si>
    <t>المتوقع تحصيلة</t>
  </si>
  <si>
    <t>الحالة</t>
  </si>
  <si>
    <t>تريلا / سينو تراك</t>
  </si>
  <si>
    <t>تنشيط الخدمات اللوجستية / بنك الراجحي</t>
  </si>
  <si>
    <t>نور الدين احمد</t>
  </si>
  <si>
    <t>Najm</t>
  </si>
  <si>
    <t>JB26052577</t>
  </si>
  <si>
    <t>DA2905251632</t>
  </si>
  <si>
    <t>المتكاملة</t>
  </si>
  <si>
    <t>wait</t>
  </si>
  <si>
    <t>تريلا / مرسيدس</t>
  </si>
  <si>
    <t>تنشيط المستقبل</t>
  </si>
  <si>
    <t>عاطف عباسي</t>
  </si>
  <si>
    <t>المرور</t>
  </si>
  <si>
    <t>DA0709255423</t>
  </si>
  <si>
    <t>الجزيرة تكافل</t>
  </si>
  <si>
    <t>ملاكي / تيوتا يارس</t>
  </si>
  <si>
    <t>قسط / بأسم محمود كمال</t>
  </si>
  <si>
    <t>محمد احمد عبدالفتاح البسوسي</t>
  </si>
  <si>
    <t>YN11092513</t>
  </si>
  <si>
    <t>شركة ملاذ للتامين التعاوني</t>
  </si>
  <si>
    <t>تنشيط الخدمات اللوجستية</t>
  </si>
  <si>
    <t>ميشال مولا</t>
  </si>
  <si>
    <t>RD2809251842</t>
  </si>
  <si>
    <t>DA0210251450</t>
  </si>
  <si>
    <t>الاتحاد</t>
  </si>
  <si>
    <t>CL/21004/MT/MCC/25//R/25/8595</t>
  </si>
  <si>
    <t>موهد دانيش</t>
  </si>
  <si>
    <t>DA2311252975</t>
  </si>
  <si>
    <t xml:space="preserve"> أكسا للتأمين </t>
  </si>
  <si>
    <t>MC0502000016114-001</t>
  </si>
  <si>
    <t xml:space="preserve">تمت / واستلمنا مبلغ المطالبة </t>
  </si>
  <si>
    <t>تم قفلها</t>
  </si>
  <si>
    <t>تلف بضاعة</t>
  </si>
  <si>
    <r>
      <t xml:space="preserve">حمولة </t>
    </r>
    <r>
      <rPr>
        <b/>
        <sz val="11"/>
        <color theme="1"/>
        <rFont val="Calibri"/>
        <family val="2"/>
        <scheme val="minor"/>
      </rPr>
      <t>نيكستراكر</t>
    </r>
  </si>
  <si>
    <t xml:space="preserve">خارجي من البارحة
كاشيف جميل امانات </t>
  </si>
  <si>
    <t>تم رفض المطالبة من شركة التأمين لأن الحادث هو انقلاب بضاعة والتغطية علي الطرق البريه فقط 
لل الحرق، البرق، الانفجار، الاصتدام والانقلاب ويلزم وجود تقرير حادث من نجم او الشرطة للتعويض</t>
  </si>
  <si>
    <t>ZERO</t>
  </si>
  <si>
    <t>ﺯﻣﻴﺮ ﺃﺣﻤﺪ ﺧﺎﻥ</t>
  </si>
  <si>
    <t>TF14012624</t>
  </si>
  <si>
    <t>DA2001262011</t>
  </si>
  <si>
    <t>التعاونية للتأمين</t>
  </si>
  <si>
    <t>2/48537635/3</t>
  </si>
  <si>
    <t xml:space="preserve"> س أ ص 8594</t>
  </si>
  <si>
    <t>عبد الحليم عبد الفتاح</t>
  </si>
  <si>
    <t>JD2901261293</t>
  </si>
  <si>
    <t>DA01022610109</t>
  </si>
  <si>
    <t>محمد رجب قطري</t>
  </si>
  <si>
    <t>DH29042669</t>
  </si>
  <si>
    <t>الحادث بسيط - ابراهيم الاجهوري</t>
  </si>
  <si>
    <t>شاهباز مصطفي</t>
  </si>
  <si>
    <t xml:space="preserve"> أ ص ي 5027</t>
  </si>
  <si>
    <t xml:space="preserve">الحادث بسيط - احمد عبد الحميد ، جروب ال HR </t>
  </si>
  <si>
    <t>محمد اعظم باتي</t>
  </si>
  <si>
    <t>DA130626777</t>
  </si>
  <si>
    <t>RD170626217</t>
  </si>
  <si>
    <t>DA1107261202</t>
  </si>
  <si>
    <t>محمد اسماعيل غلام خان</t>
  </si>
  <si>
    <t>RD230626229</t>
  </si>
  <si>
    <t>DA270626847</t>
  </si>
  <si>
    <t>SAICO</t>
  </si>
  <si>
    <t>قسط / بأسم عبد الحليم مدين</t>
  </si>
  <si>
    <t>محمد رضا عبد العال</t>
  </si>
  <si>
    <t>JD260626429</t>
  </si>
  <si>
    <t>DA3006262771</t>
  </si>
  <si>
    <t>1/6596799</t>
  </si>
  <si>
    <t>عمران دين شاه زارين خان</t>
  </si>
  <si>
    <t>JD0907261036</t>
  </si>
  <si>
    <t xml:space="preserve"> أ ص ي 5031</t>
  </si>
  <si>
    <t>مسروق</t>
  </si>
  <si>
    <t>مالك</t>
  </si>
  <si>
    <t>مستخدم</t>
  </si>
  <si>
    <t>شريحة بترو اب</t>
  </si>
  <si>
    <t>حالة الشريحة</t>
  </si>
  <si>
    <t>جهاز GPS</t>
  </si>
  <si>
    <t>حالة جهاز GPS</t>
  </si>
  <si>
    <t>شركة ال GPS</t>
  </si>
  <si>
    <t>س س ن 4518</t>
  </si>
  <si>
    <t>ح ر ن 8745</t>
  </si>
  <si>
    <t>س س ن 4506</t>
  </si>
  <si>
    <t>ر د ا 8590</t>
  </si>
  <si>
    <t>ر ك ر 6617</t>
  </si>
  <si>
    <t>س ر س 9853</t>
  </si>
  <si>
    <t>ر د ه 1051</t>
  </si>
  <si>
    <t>ر ي و 2099</t>
  </si>
  <si>
    <t>س ب س 3771</t>
  </si>
  <si>
    <t>ر د ق 7673</t>
  </si>
  <si>
    <t>ح ل ا 9135</t>
  </si>
  <si>
    <t>ا س ح 1018</t>
  </si>
  <si>
    <t>ب م م 2090</t>
  </si>
  <si>
    <t>ر ه ر 3620</t>
  </si>
  <si>
    <t>ر ل ص 6915</t>
  </si>
  <si>
    <t>ا ب س 1466</t>
  </si>
  <si>
    <t>ب س ا 3070</t>
  </si>
  <si>
    <t>ر د ه 7751</t>
  </si>
  <si>
    <t>ر ح ه 4836</t>
  </si>
  <si>
    <t>3KPFU41A0TE270418</t>
  </si>
  <si>
    <t>WDDHF3EB3EA945125</t>
  </si>
  <si>
    <t>LJD5AA1D0T0226195</t>
  </si>
  <si>
    <t>LS4ASE2AXPD912995</t>
  </si>
  <si>
    <t>LS5A3DKE9RA994194</t>
  </si>
  <si>
    <t>WP1AA2A53TLB08329</t>
  </si>
  <si>
    <t>LGWEE4A53PK605421</t>
  </si>
  <si>
    <t>JM7KH1CA2T1155777</t>
  </si>
  <si>
    <t>LSJW74C96RZ051758</t>
  </si>
  <si>
    <t>WDCED6EB4KA154290</t>
  </si>
  <si>
    <t>SALYA2BX6KA219847</t>
  </si>
  <si>
    <t>6T1BG23K82X464306</t>
  </si>
  <si>
    <t>2C3CDXBG2CH163032</t>
  </si>
  <si>
    <t>LJD7AA1D9S0230771</t>
  </si>
  <si>
    <t>RKLB20DE8R4006405</t>
  </si>
  <si>
    <t>JHMCP26308C400266</t>
  </si>
  <si>
    <t>نشط</t>
  </si>
  <si>
    <t xml:space="preserve"> كي 4</t>
  </si>
  <si>
    <t xml:space="preserve"> E 200</t>
  </si>
  <si>
    <t xml:space="preserve"> Seltos</t>
  </si>
  <si>
    <t xml:space="preserve"> CS75</t>
  </si>
  <si>
    <t xml:space="preserve"> unit</t>
  </si>
  <si>
    <t xml:space="preserve"> MACAN</t>
  </si>
  <si>
    <t xml:space="preserve"> Corolla</t>
  </si>
  <si>
    <t xml:space="preserve"> jolion</t>
  </si>
  <si>
    <t xml:space="preserve"> CX 60</t>
  </si>
  <si>
    <t xml:space="preserve"> SAIC Motor</t>
  </si>
  <si>
    <t xml:space="preserve"> Benz</t>
  </si>
  <si>
    <t xml:space="preserve"> wagon.</t>
  </si>
  <si>
    <t xml:space="preserve"> Camry</t>
  </si>
  <si>
    <t xml:space="preserve"> Charger</t>
  </si>
  <si>
    <t xml:space="preserve"> Sportage</t>
  </si>
  <si>
    <t xml:space="preserve"> Accord</t>
  </si>
  <si>
    <t xml:space="preserve"> Z4</t>
  </si>
  <si>
    <t xml:space="preserve"> C Class</t>
  </si>
  <si>
    <t xml:space="preserve"> Silverado</t>
  </si>
  <si>
    <t xml:space="preserve"> teramont</t>
  </si>
  <si>
    <t xml:space="preserve">Kia </t>
  </si>
  <si>
    <t xml:space="preserve">MercedesBenz </t>
  </si>
  <si>
    <t xml:space="preserve">شنجان </t>
  </si>
  <si>
    <t xml:space="preserve">Porsche </t>
  </si>
  <si>
    <t xml:space="preserve">Toyota </t>
  </si>
  <si>
    <t xml:space="preserve">Haval </t>
  </si>
  <si>
    <t xml:space="preserve">Mazda </t>
  </si>
  <si>
    <t xml:space="preserve">MG </t>
  </si>
  <si>
    <t xml:space="preserve">LandRover </t>
  </si>
  <si>
    <t xml:space="preserve">Dodge </t>
  </si>
  <si>
    <t xml:space="preserve">Chevrolet </t>
  </si>
  <si>
    <t xml:space="preserve">Honda </t>
  </si>
  <si>
    <t xml:space="preserve">BMW </t>
  </si>
  <si>
    <t xml:space="preserve">Volkswagen </t>
  </si>
  <si>
    <t>WBAKB210XBC677441</t>
  </si>
  <si>
    <t>WDDWF4CB8JR346328</t>
  </si>
  <si>
    <t>1GCNK9EH4HZ267653</t>
  </si>
  <si>
    <t>WVGAD1CA2NC556069</t>
  </si>
  <si>
    <t>مسعد صلاح الدين محمود سعد</t>
  </si>
  <si>
    <t>JD180726338</t>
  </si>
  <si>
    <t>ميد جلف</t>
  </si>
  <si>
    <t>تاريخ اخر ملاحظة</t>
  </si>
  <si>
    <t>تاريخ اخر موقف مع شركة التامين</t>
  </si>
  <si>
    <t xml:space="preserve">الحادث بسيط - لا يحتاج تقدير / ابراهيم الاجهوري </t>
  </si>
  <si>
    <t>زمير احمد خان سير افضل خان</t>
  </si>
  <si>
    <t>فاتورة الإصلاح - ثم الي شركة الاتحاد  التأمين / بعد غلق مبلغ 26000 ريال حادث سيارة 5011</t>
  </si>
  <si>
    <t>تقرير نجم - فاتورة الإصلاح - ثم الي شركة الاتحاد  التأمين / بعد غلق مبلغ 26000 ريال حادث سيارة 5011</t>
  </si>
  <si>
    <t>بانتظار تنفيذ تحويل مبلغ المطالبة من شركة التأمين / فتح ومراجعة التحويل علي بنك SAB تنشيط المستقبل</t>
  </si>
  <si>
    <t>بانتظار فاتورة الاصلاح والتوجه الي شركة تكافل الراجحي ثم الي شركة المتكاملة التأمين</t>
  </si>
  <si>
    <t>سيتم اصلاح السيارة بدوت التامين بسبب نسبة الخطأ وحد التحمل بالوثيقة التابعة للبنك</t>
  </si>
  <si>
    <t>2025/8011/0012026 - 8003040400</t>
  </si>
  <si>
    <t>احمد ياسر عزت</t>
  </si>
  <si>
    <t>مهند الطبجي</t>
  </si>
  <si>
    <t>حسام الحوفي</t>
  </si>
  <si>
    <t>خلود صالح الزهراني</t>
  </si>
  <si>
    <t>ليان اسامه خالدي</t>
  </si>
  <si>
    <t>حاتم محمد نورالدين</t>
  </si>
  <si>
    <t>اسلام وحيد سرور</t>
  </si>
  <si>
    <t>مهاب نبيل</t>
  </si>
  <si>
    <t>احمد رمضان عبد الرحيم ( الشرقاوي )</t>
  </si>
  <si>
    <t>احمد محمود عبد الرازق عبد الهادى</t>
  </si>
  <si>
    <t>علي بن حسن ( تخليص جمركي )</t>
  </si>
  <si>
    <t>سامح حسن عبد الرازق</t>
  </si>
  <si>
    <t>نادر مجدي عبد الجواد</t>
  </si>
  <si>
    <t>مدحت محمد اسعد الهواري</t>
  </si>
  <si>
    <t>نوع الاستهلاك</t>
  </si>
  <si>
    <t>حد الاستهلاك</t>
  </si>
  <si>
    <t>البنك الاهلي السعودي ( عبد الحليم عبد الفتاح رجب عبدالرازق )</t>
  </si>
  <si>
    <t>البنك الاهلي السعودي ( محمود كمال يحي محمدين )</t>
  </si>
  <si>
    <t>البنك الاهلي السعودي ( محمد مصطفي علي يوسف )</t>
  </si>
  <si>
    <t>البنك الاهلي السعودي ( حسام الدين مدحت عبدالمعطي عبدالله )</t>
  </si>
  <si>
    <t>البنك الاهلي السعودي ( مرسي حسن حسن فرحات )</t>
  </si>
  <si>
    <t>البنك الاهلي السعودي ( احمد عبدالحميد علي عبدالحميد )</t>
  </si>
  <si>
    <t>البنك الاهلي السعودي ( سامح حسن رجب عبد الرازق )</t>
  </si>
  <si>
    <t>شركة تنشيط الخدمات اللوجستية ( ناصر القحطاني )</t>
  </si>
  <si>
    <t>شركة تنشيط الخدمات اللوجستية ( فضل الله حامد )</t>
  </si>
  <si>
    <t>Monthly</t>
  </si>
  <si>
    <t>Opened</t>
  </si>
  <si>
    <t>بطاقة التشغيل</t>
  </si>
  <si>
    <t>استرداد التامين بسبب السرقة</t>
  </si>
  <si>
    <t>11-00487750</t>
  </si>
  <si>
    <t>11-00487749</t>
  </si>
  <si>
    <t>11-00487748</t>
  </si>
  <si>
    <t>11-00487747</t>
  </si>
  <si>
    <t>11-00588578</t>
  </si>
  <si>
    <t>11-00588579</t>
  </si>
  <si>
    <t>11-00588577</t>
  </si>
  <si>
    <t>11-00427275</t>
  </si>
  <si>
    <t>11-00427274</t>
  </si>
  <si>
    <t>11-00427273</t>
  </si>
  <si>
    <t>11-00427272</t>
  </si>
  <si>
    <t>11-00427276</t>
  </si>
  <si>
    <t>11-00427277</t>
  </si>
  <si>
    <t>11-00427278</t>
  </si>
  <si>
    <t>11-00427899</t>
  </si>
  <si>
    <t>11-00427718</t>
  </si>
  <si>
    <t>11-00427900</t>
  </si>
  <si>
    <t>11-00459730</t>
  </si>
  <si>
    <t>11-00459731</t>
  </si>
  <si>
    <t>11-00459732</t>
  </si>
  <si>
    <t>11-00459729</t>
  </si>
  <si>
    <t>11-00460325</t>
  </si>
  <si>
    <t>11-00459728</t>
  </si>
  <si>
    <t>11-00558547</t>
  </si>
  <si>
    <t>11-00558548</t>
  </si>
  <si>
    <t>11-00558549</t>
  </si>
  <si>
    <t>11-00621007</t>
  </si>
  <si>
    <t>11-00621005</t>
  </si>
  <si>
    <t>11-00621006</t>
  </si>
  <si>
    <t>11-00621008</t>
  </si>
  <si>
    <t>11-00621004</t>
  </si>
  <si>
    <t>11-00621009</t>
  </si>
  <si>
    <t>11-00587669</t>
  </si>
  <si>
    <t>11-00587670</t>
  </si>
  <si>
    <t>11-00587671</t>
  </si>
  <si>
    <t>11-00587667</t>
  </si>
  <si>
    <t>11-00587668</t>
  </si>
  <si>
    <t>11-00587666</t>
  </si>
  <si>
    <t>11-00558541</t>
  </si>
  <si>
    <t>11-00558540</t>
  </si>
  <si>
    <t>11-00558543</t>
  </si>
  <si>
    <t>11-00558545</t>
  </si>
  <si>
    <t>11-00558542</t>
  </si>
  <si>
    <t>11-00558544</t>
  </si>
  <si>
    <t>11-00708339</t>
  </si>
  <si>
    <t>11-00579680</t>
  </si>
  <si>
    <t>11-00575583</t>
  </si>
  <si>
    <t>11-00578994</t>
  </si>
  <si>
    <t>11-00580172</t>
  </si>
  <si>
    <t>11-00579681</t>
  </si>
  <si>
    <t>11-00578360</t>
  </si>
  <si>
    <t>11-00579682</t>
  </si>
  <si>
    <t>11-00579683</t>
  </si>
  <si>
    <t>11-00582634</t>
  </si>
  <si>
    <t>11-00580173</t>
  </si>
  <si>
    <t>11-00579684</t>
  </si>
  <si>
    <t>ساري المفعول</t>
  </si>
  <si>
    <t>تاريخ انتهاء رخصة السير هجري</t>
  </si>
  <si>
    <t>تاريخ انتهاء رخصة السير ميلادي</t>
  </si>
  <si>
    <t>38-00006320</t>
  </si>
  <si>
    <t>38-00006321</t>
  </si>
  <si>
    <t>38-00006319</t>
  </si>
  <si>
    <t>38-00006316</t>
  </si>
  <si>
    <t>38-00006313</t>
  </si>
  <si>
    <t>38-00006314</t>
  </si>
  <si>
    <t>38-00006312</t>
  </si>
  <si>
    <t>38-00006317</t>
  </si>
  <si>
    <t>38-00006315</t>
  </si>
  <si>
    <t>38-00006318</t>
  </si>
  <si>
    <t>الايام المتبقية علي انتهاء الفحص</t>
  </si>
  <si>
    <t>الايام المتبقية علي انتهاء رخصة السير</t>
  </si>
  <si>
    <t>الايام المتبقية علي انتهاء بطاقة التشغيل</t>
  </si>
  <si>
    <t>تاريخ انتهاء بطاقة التشغيل</t>
  </si>
  <si>
    <t>الايام المتبقية علي انتهاء ال GPS</t>
  </si>
  <si>
    <t>تاريخ انتهاء ال GPS</t>
  </si>
  <si>
    <t>تاريخ انتهاء التأمين</t>
  </si>
  <si>
    <t>54-00040560</t>
  </si>
  <si>
    <t>54-00040492</t>
  </si>
  <si>
    <t>54-00041149</t>
  </si>
  <si>
    <t>54-00040578</t>
  </si>
  <si>
    <t>54-00042139</t>
  </si>
  <si>
    <t>54-00040562</t>
  </si>
  <si>
    <t>54-00041219</t>
  </si>
  <si>
    <t>54-00041787</t>
  </si>
  <si>
    <t>54-00041822</t>
  </si>
  <si>
    <t>54-00041821</t>
  </si>
  <si>
    <t>54-00041220</t>
  </si>
  <si>
    <t>54-00040572</t>
  </si>
  <si>
    <t>54-00041927</t>
  </si>
  <si>
    <t>54-00042117</t>
  </si>
  <si>
    <t>54-00040571</t>
  </si>
  <si>
    <t>54-00042135</t>
  </si>
  <si>
    <t>54-00041140</t>
  </si>
  <si>
    <t>54-00040823</t>
  </si>
  <si>
    <t>54-00041818</t>
  </si>
  <si>
    <t>54-00041994</t>
  </si>
  <si>
    <t>54-00041217</t>
  </si>
  <si>
    <t>54-00042008</t>
  </si>
  <si>
    <t>54-00040822</t>
  </si>
  <si>
    <t>54-00042005</t>
  </si>
  <si>
    <t>54-00042116</t>
  </si>
  <si>
    <t>54-00041786</t>
  </si>
  <si>
    <t>54-00041925</t>
  </si>
  <si>
    <t>54-00041926</t>
  </si>
  <si>
    <t>54-00043051</t>
  </si>
  <si>
    <t>54-00041820</t>
  </si>
  <si>
    <t>54-00041785</t>
  </si>
  <si>
    <t>54-00042060</t>
  </si>
  <si>
    <t>54-00041990</t>
  </si>
  <si>
    <t>54-00042058</t>
  </si>
  <si>
    <t>54-00041218</t>
  </si>
  <si>
    <t>54-00040555</t>
  </si>
  <si>
    <t>54-00040544</t>
  </si>
  <si>
    <t>54-00041947</t>
  </si>
  <si>
    <t>54-00042132</t>
  </si>
  <si>
    <t>54-00042133</t>
  </si>
  <si>
    <t>54-00040553</t>
  </si>
  <si>
    <t>54-00042122</t>
  </si>
  <si>
    <t>54-00041225</t>
  </si>
  <si>
    <t>54-00040548</t>
  </si>
  <si>
    <t>54-00040549</t>
  </si>
  <si>
    <t>54-00042013</t>
  </si>
  <si>
    <t>54-00041824</t>
  </si>
  <si>
    <t>54-00041789</t>
  </si>
  <si>
    <t>54-00040576</t>
  </si>
  <si>
    <t>54-00041928</t>
  </si>
  <si>
    <t>54-00042137</t>
  </si>
  <si>
    <t>54-00040580</t>
  </si>
  <si>
    <t>54-00042011</t>
  </si>
  <si>
    <t>54-00041143</t>
  </si>
  <si>
    <t>54-00040561</t>
  </si>
  <si>
    <t>54-00040558</t>
  </si>
  <si>
    <t>54-00040829</t>
  </si>
  <si>
    <t>54-00042010</t>
  </si>
  <si>
    <t>54-00039924</t>
  </si>
  <si>
    <t>54-00041224</t>
  </si>
  <si>
    <t>54-00042119</t>
  </si>
  <si>
    <t>54-00042138</t>
  </si>
  <si>
    <t>54-00040579</t>
  </si>
  <si>
    <t>54-00041995</t>
  </si>
  <si>
    <t>54-00041221</t>
  </si>
  <si>
    <t>54-00040547</t>
  </si>
  <si>
    <t>54-00040546</t>
  </si>
  <si>
    <t>54-00041931</t>
  </si>
  <si>
    <t>54-00041954</t>
  </si>
  <si>
    <t>54-00042121</t>
  </si>
  <si>
    <t>54-00041948</t>
  </si>
  <si>
    <t>54-00041145</t>
  </si>
  <si>
    <t>54-00040828</t>
  </si>
  <si>
    <t>54-00039923</t>
  </si>
  <si>
    <t>54-00041952</t>
  </si>
  <si>
    <t>54-00042009</t>
  </si>
  <si>
    <t>54-00042118</t>
  </si>
  <si>
    <t>54-00041996</t>
  </si>
  <si>
    <t>54-00040827</t>
  </si>
  <si>
    <t>54-00041929</t>
  </si>
  <si>
    <t>54-00042062</t>
  </si>
  <si>
    <t>54-00040575</t>
  </si>
  <si>
    <t>54-00041951</t>
  </si>
  <si>
    <t>54-00041932</t>
  </si>
  <si>
    <t>54-00041999</t>
  </si>
  <si>
    <t>54-00041827</t>
  </si>
  <si>
    <t>54-00040830</t>
  </si>
  <si>
    <t>54-00042014</t>
  </si>
  <si>
    <t>54-00042066</t>
  </si>
  <si>
    <t>54-00041955</t>
  </si>
  <si>
    <t>54-00042123</t>
  </si>
  <si>
    <t>54-00041956</t>
  </si>
  <si>
    <t>54-00041933</t>
  </si>
  <si>
    <t>54-00042065</t>
  </si>
  <si>
    <t>54-00041998</t>
  </si>
  <si>
    <t>54-00041949</t>
  </si>
  <si>
    <t>54-00040574</t>
  </si>
  <si>
    <t>54-00041142</t>
  </si>
  <si>
    <t>54-00041293</t>
  </si>
  <si>
    <t>54-00041790</t>
  </si>
  <si>
    <t>54-00041147</t>
  </si>
  <si>
    <t>54-00041792</t>
  </si>
  <si>
    <t>54-00041793</t>
  </si>
  <si>
    <t>54-00041950</t>
  </si>
  <si>
    <t>54-00041222</t>
  </si>
  <si>
    <t>54-00040559</t>
  </si>
  <si>
    <t>54-00040577</t>
  </si>
  <si>
    <t>الفروع</t>
  </si>
  <si>
    <t>اخري</t>
  </si>
  <si>
    <t>السجل</t>
  </si>
  <si>
    <t>11-00579679</t>
  </si>
  <si>
    <t>حالة تم</t>
  </si>
  <si>
    <t>الورشة</t>
  </si>
  <si>
    <t>تم تحويل 26000 ريال تعويض يوم 30-7-2026م</t>
  </si>
  <si>
    <t>تاريخ انتهاء الفحص هجري</t>
  </si>
  <si>
    <t>تاريخ انتهاء الفحص ميلادي</t>
  </si>
  <si>
    <t>سايكو</t>
  </si>
  <si>
    <t>الايام المتبقية علي انتهاء التأمين</t>
  </si>
  <si>
    <t>الوطنية للتأمين</t>
  </si>
  <si>
    <t>مطلوب</t>
  </si>
  <si>
    <t>غير مطلوب</t>
  </si>
  <si>
    <t>د م ق 1</t>
  </si>
  <si>
    <t>محمد الزهراني</t>
  </si>
  <si>
    <t>WDDNG5HB4CA463140</t>
  </si>
  <si>
    <t>350SE</t>
  </si>
  <si>
    <t>في انتظار قدوم السائق الي الحوش واخذ التقرير بواسطة ابراهيم الاجهوري</t>
  </si>
  <si>
    <t>Location solutions</t>
  </si>
  <si>
    <t>LC-617</t>
  </si>
  <si>
    <t>سريال GPS</t>
  </si>
  <si>
    <t>TELTONIKA - FMC 920</t>
  </si>
  <si>
    <t>TELTONIKA - FMB 920</t>
  </si>
  <si>
    <t>Express</t>
  </si>
  <si>
    <t>ه م ن 161</t>
  </si>
  <si>
    <t>1GNDT13S262293710</t>
  </si>
  <si>
    <t>شيفورلية</t>
  </si>
  <si>
    <t>بليزر</t>
  </si>
  <si>
    <t>ر ن د 6200</t>
  </si>
  <si>
    <t>W1K6X7GB2PA183532</t>
  </si>
  <si>
    <t>MERCEDES</t>
  </si>
  <si>
    <t>S</t>
  </si>
  <si>
    <t>ح أ 7687</t>
  </si>
  <si>
    <t>MD2A21BX6RWE87971</t>
  </si>
  <si>
    <t>ب د د 5132</t>
  </si>
  <si>
    <t>1C6RR7PT2HS664278</t>
  </si>
  <si>
    <t>دودج</t>
  </si>
  <si>
    <t>رام</t>
  </si>
  <si>
    <t>س ه ر 505</t>
  </si>
  <si>
    <t>د ب ص 7097</t>
  </si>
  <si>
    <t>VF14SRAB6GT584833</t>
  </si>
  <si>
    <t>رينو</t>
  </si>
  <si>
    <t>سمبول</t>
  </si>
  <si>
    <t>ح م ص 4615</t>
  </si>
  <si>
    <t>KNAMB8128G6088584</t>
  </si>
  <si>
    <t>كرنفال</t>
  </si>
  <si>
    <t>مستر دليم - تنشيط الاعمال التجارية</t>
  </si>
  <si>
    <t>غير نشط</t>
  </si>
  <si>
    <t>عمر محمود عبدالجواد</t>
  </si>
  <si>
    <t>ر ب ن 4108</t>
  </si>
  <si>
    <t>MHFB29F34N2168300</t>
  </si>
  <si>
    <t>Yaris</t>
  </si>
  <si>
    <t>القسم</t>
  </si>
  <si>
    <t>الايجار</t>
  </si>
  <si>
    <t>التحصيل</t>
  </si>
  <si>
    <t>منقل الجمار</t>
  </si>
  <si>
    <t>اداريين عموميين</t>
  </si>
  <si>
    <t>هنجرستيشن</t>
  </si>
  <si>
    <t>التخليص الجمركي</t>
  </si>
  <si>
    <t>امازون</t>
  </si>
  <si>
    <t>المدينة</t>
  </si>
  <si>
    <t>جدة</t>
  </si>
  <si>
    <t>الدمام</t>
  </si>
  <si>
    <t>ينبع</t>
  </si>
  <si>
    <t>الرياض</t>
  </si>
  <si>
    <t>حوطة سدير</t>
  </si>
  <si>
    <t>رابغ</t>
  </si>
  <si>
    <t>غير مستخدم</t>
  </si>
  <si>
    <t>زياد</t>
  </si>
  <si>
    <t>ب ط س 4236</t>
  </si>
  <si>
    <t>MPAER33T7PT005618</t>
  </si>
  <si>
    <t>دي-كابين</t>
  </si>
  <si>
    <t>٧٣٥٨ - ا س ى</t>
  </si>
  <si>
    <t>٧٣٦٠ - ا س ى</t>
  </si>
  <si>
    <t>٧٣٥٦ - ا س ى</t>
  </si>
  <si>
    <t>٧٣٦٤ - ا س ى</t>
  </si>
  <si>
    <t>٧٣٥٩ - ا س ى</t>
  </si>
  <si>
    <t>٧٣٥٧ - ا س ى</t>
  </si>
  <si>
    <t>٧٣٦٣ - ا س ى</t>
  </si>
  <si>
    <t>٧٣٦١ - ا س ى</t>
  </si>
  <si>
    <t>٧٣٦٥ - ا س ى</t>
  </si>
  <si>
    <t>٧٣٦٢ - ا س ى</t>
  </si>
  <si>
    <t>٥٧٧٤ - ا ص ى</t>
  </si>
  <si>
    <t>٥٠٠٩ - ا ص ر</t>
  </si>
  <si>
    <t>٥٠١١ - ا ص ر</t>
  </si>
  <si>
    <t>١٠٨٠ - ا ص ر</t>
  </si>
  <si>
    <t>١٠٨٣ - ا ص ر</t>
  </si>
  <si>
    <t>٥٠٠٧ - ا ص ر</t>
  </si>
  <si>
    <t>١٠٨٢ - ا ص ر</t>
  </si>
  <si>
    <t>٥٧٧٣ - ا ص ى</t>
  </si>
  <si>
    <t>٥٠١٠ - ا ص ر</t>
  </si>
  <si>
    <t>٥٩١٦ - ا ص ر</t>
  </si>
  <si>
    <t>٥٨٠٣ - ا ص ر</t>
  </si>
  <si>
    <t>٥٧٩٩ - ا ص ى</t>
  </si>
  <si>
    <t>١٠٨١ - ا ص ر</t>
  </si>
  <si>
    <t>٨١٩٩ - ا ص م</t>
  </si>
  <si>
    <t>٢٧٠٧ - ا ص س</t>
  </si>
  <si>
    <t>٢٧٠٦ - ا ص س</t>
  </si>
  <si>
    <t>٨١٩٧ - ا ص م</t>
  </si>
  <si>
    <t>٨١٩٨ - ا ص م</t>
  </si>
  <si>
    <t>٥٠٢٩ - ا ص ى</t>
  </si>
  <si>
    <t>٢٧٠٩ - ا ص س</t>
  </si>
  <si>
    <t>٥٧٤١ - ا ص ى</t>
  </si>
  <si>
    <t>٨١٩٦ - ا ص م</t>
  </si>
  <si>
    <t>٥٠٣٤ - ا ص ى</t>
  </si>
  <si>
    <t>٢٧٠٨ - ا ص س</t>
  </si>
  <si>
    <t>٨٢٠١ - ا ص م</t>
  </si>
  <si>
    <t>٥٠٣٢ - ا ص ى</t>
  </si>
  <si>
    <t>٥٧٤٢ - ا ص ى</t>
  </si>
  <si>
    <t>٥٠٢٨ - ا ص ى</t>
  </si>
  <si>
    <t>٥٠٣٥ - ا ص ى</t>
  </si>
  <si>
    <t>٥٧٤٣ - ا ص ى</t>
  </si>
  <si>
    <t>٥٧٣٩ - ا ص ى</t>
  </si>
  <si>
    <t>٨٢٠٠ - ا ص م</t>
  </si>
  <si>
    <t>٥٠٩٦ - ا ص ى</t>
  </si>
  <si>
    <t>٥٠٣١ - ا ص ى</t>
  </si>
  <si>
    <t>٥٠٢٧ - ا ص ى</t>
  </si>
  <si>
    <t>٥٧٤٤ - ا ص ى</t>
  </si>
  <si>
    <t>٥٠٣٠ - ا ص ى</t>
  </si>
  <si>
    <t>٥٠٣٣ - ا ص ى</t>
  </si>
  <si>
    <t>٥٠٩٧ - ا ص ى</t>
  </si>
  <si>
    <t>٥٠٣٦ - ا ص ى</t>
  </si>
  <si>
    <t>١٠٩٧ - ر ى ع</t>
  </si>
  <si>
    <t>٥٠٤٦ - ر ى د</t>
  </si>
  <si>
    <t>٦٧٤٥ - ر م ص</t>
  </si>
  <si>
    <t>٦٧٦٤ - ر م ص</t>
  </si>
  <si>
    <t>٨٧٣١ - ر و ط</t>
  </si>
  <si>
    <t>٥١٠٧ - ر ص ى</t>
  </si>
  <si>
    <t>٥٤١٨ - ر ص ى</t>
  </si>
  <si>
    <t>٩١١٢ - د م ر</t>
  </si>
  <si>
    <t>٨٩٦٧ - ر ب ى</t>
  </si>
  <si>
    <t>٩٦٣٩ - ب د ح</t>
  </si>
  <si>
    <t>١٥٨٦ - ب ق ب</t>
  </si>
  <si>
    <t>١٦١١ - ب ق ب</t>
  </si>
  <si>
    <t>٣٦٢٠ - ر ه ر</t>
  </si>
  <si>
    <t>٥٦٠٦ - ا ص ى</t>
  </si>
  <si>
    <t>٨٥٩٤ - س ا ص</t>
  </si>
  <si>
    <t>٧٣٣٤ - ا ى ا</t>
  </si>
  <si>
    <t>٣ ٥ ٠ ٢ - ح ا</t>
  </si>
  <si>
    <t>٣ ٥ ٠ ٣ - ح ا</t>
  </si>
  <si>
    <t>٣ ٥ ٠ ٤ - ح ا</t>
  </si>
  <si>
    <t>٣ ٥ ٠ ٥ - ح ا</t>
  </si>
  <si>
    <t>٣ ٥ ٠ ٦ - ح ا</t>
  </si>
  <si>
    <t>٣ ٥ ٠ ٧ - ح ا</t>
  </si>
  <si>
    <t>٣ ٥ ٥ ٠ - ح ا</t>
  </si>
  <si>
    <t>٣ ٥ ٥ ٤ - ح ا</t>
  </si>
  <si>
    <t>٨ ٥ ٢ - ر ع</t>
  </si>
  <si>
    <t>٨ ٥ ٣ - ر ع</t>
  </si>
  <si>
    <t>٨ ٥ ٤ - ر ع</t>
  </si>
  <si>
    <t>٨ ٥ ٥ - ر ع</t>
  </si>
  <si>
    <t>٨ ٥ ٦ - ر ع</t>
  </si>
  <si>
    <t>٨ ٥ ٧ - ر ع</t>
  </si>
  <si>
    <t>٨ ٥ ٨ - ر ع</t>
  </si>
  <si>
    <t>٨ ٧ ٥ - ر ع</t>
  </si>
  <si>
    <t>٨ ٨ ٤ - ر ع</t>
  </si>
  <si>
    <t>٩ ٤ ٤ - ر ع</t>
  </si>
  <si>
    <t>٩ ٦ ٦ ٨ - ط ا</t>
  </si>
  <si>
    <t>٤ ٤ ٥ ٧ - ق ا</t>
  </si>
  <si>
    <t>٤ ٥ ٤ ٨ - ق ا</t>
  </si>
  <si>
    <t>٤ ٧ ٠ ٠ - ق ا</t>
  </si>
  <si>
    <t>٤ ٧ ٠ ١ - ق ا</t>
  </si>
  <si>
    <t>٤ ٧ ٠ ٢ - ق ا</t>
  </si>
  <si>
    <t>٤ ٧ ٠ ٣ - ق ا</t>
  </si>
  <si>
    <t>٤ ٧ ٠ ٤ - ق ا</t>
  </si>
  <si>
    <t>٤ ٧ ٠ ٥ - ق ا</t>
  </si>
  <si>
    <t>٤ ٧ ٠ ٦ - ق ا</t>
  </si>
  <si>
    <t>٤ ٧ ٠ ٧ - ق ا</t>
  </si>
  <si>
    <t>٤ ٧ ٠ ٩ - ق ا</t>
  </si>
  <si>
    <t>٤ ٧ ١ ٠ - ق ا</t>
  </si>
  <si>
    <t>٤ ٧ ١ ١ - ق ا</t>
  </si>
  <si>
    <t>٤ ٧ ١ ٢ - ق ا</t>
  </si>
  <si>
    <t>٤ ٧ ١ ٣ - ق ا</t>
  </si>
  <si>
    <t>٤ ٧ ١ ٤ - ق ا</t>
  </si>
  <si>
    <t>٤ ٧ ١ ٥ - ق ا</t>
  </si>
  <si>
    <t>٤ ٧ ١ ٧ - ق ا</t>
  </si>
  <si>
    <t>٤ ٧ ١ ٨ - ق ا</t>
  </si>
  <si>
    <t>٤ ٧ ١ ٩ - ق ا</t>
  </si>
  <si>
    <t>٤ ٧ ٢ ٢ - ق ا</t>
  </si>
  <si>
    <t>٤ ٧ ٢ ٣ - ق ا</t>
  </si>
  <si>
    <t>٤ ٧ ٢ ٤ - ق ا</t>
  </si>
  <si>
    <t>٤ ٧ ٢ ٥ - ق ا</t>
  </si>
  <si>
    <t>٤ ٧ ٢ ٦ - ق ا</t>
  </si>
  <si>
    <t>١ ٠ ٣ ٦ - ل ا</t>
  </si>
  <si>
    <t>١ ٠ ٦ ٤ - ل ا</t>
  </si>
  <si>
    <t>١ ٠ ٦ ٩ - ل ا</t>
  </si>
  <si>
    <t>١ ٠ ٧ ١ - ل ا</t>
  </si>
  <si>
    <t>١ ٠ ٧ ٣ - ل ا</t>
  </si>
  <si>
    <t>١ ٠ ٧ ٤ - ل ا</t>
  </si>
  <si>
    <t>١ ٠ ٧ ٩ - ل ا</t>
  </si>
  <si>
    <t>١ ٠ ٨ ٠ - ل ا</t>
  </si>
  <si>
    <t>١ ٠ ٨ ١ - ل ا</t>
  </si>
  <si>
    <t>١ ٠ ٨ ٢ - ل ا</t>
  </si>
  <si>
    <t>١ ٠ ٨ ٣ - ل ا</t>
  </si>
  <si>
    <t>١ ٠ ٨ ٤ - ل ا</t>
  </si>
  <si>
    <t>١ ٠ ٨ ٥ - ل ا</t>
  </si>
  <si>
    <t>١ ١ ٤ ٥ - ل ا</t>
  </si>
  <si>
    <t>١ ٣ ٦ ٧ - ل ا</t>
  </si>
  <si>
    <t>١ ٣ ٦ ٨ - ل ا</t>
  </si>
  <si>
    <t>١ ٣ ٧ ١ - ل ا</t>
  </si>
  <si>
    <t>١ ٣ ٧ ٣ - ل ا</t>
  </si>
  <si>
    <t>١ ٣ ٩ ٦ - ل ا</t>
  </si>
  <si>
    <t>١ ٣ ٩ ٨ - ل ا</t>
  </si>
  <si>
    <t>١ ٣ ٩ ٩ - ل ا</t>
  </si>
  <si>
    <t>١ ٦ ٠ ٧ - ل ا</t>
  </si>
  <si>
    <t>١ ٦ ٠ ٩ - ل ا</t>
  </si>
  <si>
    <t>١ ٦ ١ ٠ - ل ا</t>
  </si>
  <si>
    <t>١ ٦ ١ ٣ - ل ا</t>
  </si>
  <si>
    <t>١ ٦ ١ ٤ - ل ا</t>
  </si>
  <si>
    <t>١ ٦ ١ ٧ - ل ا</t>
  </si>
  <si>
    <t>١ ٦ ١ ٨ - ل ا</t>
  </si>
  <si>
    <t>١ ٦ ١ ٩ - ل ا</t>
  </si>
  <si>
    <t>١ ٦ ٢ ١ - ل ا</t>
  </si>
  <si>
    <t>١ ٦ ٢ ٢ - ل ا</t>
  </si>
  <si>
    <t>١ ٦ ٢ ٣ - ل ا</t>
  </si>
  <si>
    <t>١ ٦ ٤ ٠ - ل ا</t>
  </si>
  <si>
    <t>١ ٦ ٤ ١ - ل ا</t>
  </si>
  <si>
    <t>١ ٦ ٤ ٢ - ل ا</t>
  </si>
  <si>
    <t>١ ٦ ٤ ٣ - ل ا</t>
  </si>
  <si>
    <t>١ ٦ ٤ ٤ - ل ا</t>
  </si>
  <si>
    <t>١ ٦ ٤ ٥ - ل ا</t>
  </si>
  <si>
    <t>١ ٦ ٤ ٦ - ل ا</t>
  </si>
  <si>
    <t>١ ٦ ٤ ٧ - ل ا</t>
  </si>
  <si>
    <t>١ ٦ ٤ ٨ - ل ا</t>
  </si>
  <si>
    <t>١ ٦ ٤ ٩ - ل ا</t>
  </si>
  <si>
    <t>١ ٩ ٣ ٢ - ل ا</t>
  </si>
  <si>
    <t>١ ٩ ٣ ٣ - ل ا</t>
  </si>
  <si>
    <t>١ ٩ ٣ ٤ - ل ا</t>
  </si>
  <si>
    <t>١ ٩ ٣ ٥ - ل ا</t>
  </si>
  <si>
    <t>١ ٩ ٣ ٦ - ل ا</t>
  </si>
  <si>
    <t>١ ٩ ٣ ٧ - ل ا</t>
  </si>
  <si>
    <t>٤ ٥ ٥ ٠ - ل ا</t>
  </si>
  <si>
    <t>٤ ٥ ٥ ٢ - ل ا</t>
  </si>
  <si>
    <t>٤ ٥ ٥ ٣ - ل ا</t>
  </si>
  <si>
    <t>٤ ٥ ٥ ٦ - ل ا</t>
  </si>
  <si>
    <t>٤ ٥ ٥ ٧ - ل ا</t>
  </si>
  <si>
    <t>٤ ٥ ٥ ٨ - ل ا</t>
  </si>
  <si>
    <t>٤ ٥ ٥ ٩ - ل ا</t>
  </si>
  <si>
    <t>٤ ٥ ٦ ٠ - ل ا</t>
  </si>
  <si>
    <t>٤ ٥ ٦ ١ - ل ا</t>
  </si>
  <si>
    <t>٤ ٥ ٦ ٢ - ل ا</t>
  </si>
  <si>
    <t>٤ ٥ ٦ ٣ - ل ا</t>
  </si>
  <si>
    <t>٤ ٥ ٦ ٤ - ل ا</t>
  </si>
  <si>
    <t>٤ ٥ ٦ ٥ - ل ا</t>
  </si>
  <si>
    <t>٤ ٥ ٧ ٥ - ل ا</t>
  </si>
  <si>
    <t>٤ ٥ ٧ ٦ - ل ا</t>
  </si>
  <si>
    <t>٤ ٥ ٧ ٧ - ل ا</t>
  </si>
  <si>
    <t>٤ ٥ ٧ ٨ - ل ا</t>
  </si>
  <si>
    <t>٤ ٥ ٧ ٩ - ل ا</t>
  </si>
  <si>
    <t>٤ ٥ ٨ ٠ - ل ا</t>
  </si>
  <si>
    <t>٤ ٥ ٨ ١ - ل ا</t>
  </si>
  <si>
    <t>٤ ٥ ٨ ٢ - ل ا</t>
  </si>
  <si>
    <t>٤ ٥ ٨ ٣ - ل ا</t>
  </si>
  <si>
    <t>٤ ٥ ٨ ٤ - ل ا</t>
  </si>
  <si>
    <t>٤ ٦ ٥ ٠ - ل ا</t>
  </si>
  <si>
    <t>٤ ٦ ٥ ١ - ل ا</t>
  </si>
  <si>
    <t>٤ ٦ ٥ ٣ - ل ا</t>
  </si>
  <si>
    <t>٤ ٦ ٥ ٤ - ل ا</t>
  </si>
  <si>
    <t>٤ ٦ ٥ ٥ - ل ا</t>
  </si>
  <si>
    <t>٤ ٦ ٥ ٦ - ل ا</t>
  </si>
  <si>
    <t>٤ ٦ ٥ ٧ - ل ا</t>
  </si>
  <si>
    <t>٤ ٦ ٥ ٨ - ل ا</t>
  </si>
  <si>
    <t>٤ ٦ ٥ ٩ - ل ا</t>
  </si>
  <si>
    <t>٤ ٦ ٦ ٠ - ل ا</t>
  </si>
  <si>
    <t>٤ ٦ ٦ ٥ - ل ا</t>
  </si>
  <si>
    <t>٤ ٦ ٦ ٧ - ل ا</t>
  </si>
  <si>
    <t>٤ ٦ ٦ ٩ - ل ا</t>
  </si>
  <si>
    <t>٤ ٦ ٧ ٠ - ل ا</t>
  </si>
  <si>
    <t>٤ ٦ ٨ ٨ - ل ا</t>
  </si>
  <si>
    <t>٤ ٦ ٨ ٩ - ل ا</t>
  </si>
  <si>
    <t>٤ ٦ ٩ ٠ - ل ا</t>
  </si>
  <si>
    <t>٤ ٦ ٩ ١ - ل ا</t>
  </si>
  <si>
    <t>٤ ٧ ١ ٦ - ل ا</t>
  </si>
  <si>
    <t>٤ ٧ ١ ٧ - ل ا</t>
  </si>
  <si>
    <t>٤ ٧ ١ ٨ - ل ا</t>
  </si>
  <si>
    <t>٤ ٧ ١ ٩ - ل ا</t>
  </si>
  <si>
    <t>٤ ٧ ٢ ٠ - ل ا</t>
  </si>
  <si>
    <t>٤ ٧ ٢ ١ - ل ا</t>
  </si>
  <si>
    <t>٤ ٧ ٤ ١ - ل ا</t>
  </si>
  <si>
    <t>٤ ٧ ٤ ٢ - ل ا</t>
  </si>
  <si>
    <t>٤ ٧ ٤ ٣ - ل ا</t>
  </si>
  <si>
    <t>٤ ٧ ٤ ٥ - ل ا</t>
  </si>
  <si>
    <t>٥ ٤ ٨ ٩ - ل ا</t>
  </si>
  <si>
    <t>٦ ٢ ٠ ١ - ط ا</t>
  </si>
  <si>
    <t>٥ ٤ ٨ ٧ - ل ا</t>
  </si>
  <si>
    <t>٥ ٤ ٨ ٠ - ل ا</t>
  </si>
  <si>
    <t>٥ ٤ ٧ ٢ - ل ا</t>
  </si>
  <si>
    <t>٦ ٢ ٠ ٩ - ط ا</t>
  </si>
  <si>
    <t>٥ ٤ ٧ ٤ - ل ا</t>
  </si>
  <si>
    <t>٩ ٨ ٠ ٦ - ح ا</t>
  </si>
  <si>
    <t>٩ ٧ ٩ ١ - ح ا</t>
  </si>
  <si>
    <t>٩ ٨ ٠ ٧ - ح ا</t>
  </si>
  <si>
    <t>٩ ٧ ٩ ٠ - ح ا</t>
  </si>
  <si>
    <t>٦ ٢ ١ ٢ - ط ا</t>
  </si>
  <si>
    <t>٥ ٤ ٨ ٨ - ل ا</t>
  </si>
  <si>
    <t>٩ ٧ ٩ ٩ - ح ا</t>
  </si>
  <si>
    <t>٧ ٩ ٠ ٨ - ص ب</t>
  </si>
  <si>
    <t>٧ ٩ ١ ٦ - ص ب</t>
  </si>
  <si>
    <t>٧ ٩ ١ ٨ - ص ب</t>
  </si>
  <si>
    <t>٣ ٤ ٩ ٩ - ا ب</t>
  </si>
  <si>
    <t>٣ ٠ ١ ٣ - د ا</t>
  </si>
  <si>
    <t>٨ ٣ ٢ ٩ - د ا</t>
  </si>
  <si>
    <t>٨ ٤ ٣ ٦ - د ا</t>
  </si>
  <si>
    <t>٨ ٥ ٤ ٥ - د ا</t>
  </si>
  <si>
    <t>٨ ٥ ٤ ٦ - د ا</t>
  </si>
  <si>
    <t>٨ ٦ ٣ ٦ - د ا</t>
  </si>
  <si>
    <t>٥ ٨ ٧ ٥ - ط ا</t>
  </si>
  <si>
    <t>٥ ٨ ٨ ٠ - ط ا</t>
  </si>
  <si>
    <t>٥ ٨ ٨ ٦ - ط ا</t>
  </si>
  <si>
    <t>٥ ٩ ٥ ٦ - ط ا</t>
  </si>
  <si>
    <t>٥ ٩ ٧ ٣ - ط ا</t>
  </si>
  <si>
    <t>١ ١ ٨ ٩ - ق ا</t>
  </si>
  <si>
    <t>١ ٢ ٢ ١ - ق ا</t>
  </si>
  <si>
    <t>٥ ٢ ٢ ٩ - ق ا</t>
  </si>
  <si>
    <t>١ ٢ ٩ ٤ - ل ا</t>
  </si>
  <si>
    <t>٥ ٥ ٤ ٦ - ا س ل</t>
  </si>
  <si>
    <t>٥ ٥ ٤ ٢ - ا س ل</t>
  </si>
  <si>
    <t>٥ ٥ ٤ ١ - ا س ل</t>
  </si>
  <si>
    <t>٥ ٥ ٤ ٩ - ا س ل</t>
  </si>
  <si>
    <t>٥ ٥ ٤ ٣ - ا س ل</t>
  </si>
  <si>
    <t>٥ ٥ ٤ ٥ - ا س ل</t>
  </si>
  <si>
    <t>٥ ٥ ٥ ٠ - ا س ل</t>
  </si>
  <si>
    <t>٣ ٤ ٥ ١ - ا ط ح</t>
  </si>
  <si>
    <t>٣ ٤ ٥ ٢ - ا ط ح</t>
  </si>
  <si>
    <t>٣ ٤ ٤ ٧ - ا ط ح</t>
  </si>
  <si>
    <t>٣ ٤ ٤ ٩ - ا ط ح</t>
  </si>
  <si>
    <t>٣ ٤ ٤ ٨ - ا ط ح</t>
  </si>
  <si>
    <t>٣ ٤ ٥ ٠ - ا ط ح</t>
  </si>
  <si>
    <t>٤ ٩ ٤ ١ - ر ط ص</t>
  </si>
  <si>
    <t>٤ ٩ ٤ ٢ - ر ط ص</t>
  </si>
  <si>
    <t>٤ ٩ ٤ ٣ - ر ط ص</t>
  </si>
  <si>
    <t>٥ ٥ ٧ ٤ - ر ع ح</t>
  </si>
  <si>
    <t>٥ ٥ ٧ ٥ - ر ع ح</t>
  </si>
  <si>
    <t>٥ ٥ ٨ ٠ - ر ع ح</t>
  </si>
  <si>
    <t>٥ ٥ ٨ ١ - ر ع ح</t>
  </si>
  <si>
    <t>٥ ٥ ٨ ٤ - ر ع ح</t>
  </si>
  <si>
    <t>٥ ٥ ٧ ٨ - ر ع ح</t>
  </si>
  <si>
    <t>٧ ١ ٥ ١ - د ن ه</t>
  </si>
  <si>
    <t>٤ ٥ ١ ٨ - س س ن</t>
  </si>
  <si>
    <t>٨ ٧ ٤ ٥ - ح ر ن</t>
  </si>
  <si>
    <t>٤ ٥ ٠ ٦ - س س ن</t>
  </si>
  <si>
    <t>٨ ٥ ٩ ٠ - ر د ا</t>
  </si>
  <si>
    <t>٦ ٦ ١ ٧ - ر ك ر</t>
  </si>
  <si>
    <t>٩ ٨ ٥ ٣ - س ر س</t>
  </si>
  <si>
    <t>١ ٠ ٥ ١ - ر د ه</t>
  </si>
  <si>
    <t>٢ ٠ ٩ ٩ - ر ى و</t>
  </si>
  <si>
    <t>٣ ٧ ٧ ١ - س ب س</t>
  </si>
  <si>
    <t>٩ ١ ٣ ٥ - ح ل ا</t>
  </si>
  <si>
    <t>٢ ٠ ٩ ٠ - ب م م</t>
  </si>
  <si>
    <t>٦ ٩ ١ ٥ - ر ل ص</t>
  </si>
  <si>
    <t>٧ ٧ ٥ ١ - ر د ه</t>
  </si>
  <si>
    <t>٤ ٨ ٣ ٦ - ر ح ه</t>
  </si>
  <si>
    <t>رقم اللوحة في فاتورة بترو اب</t>
  </si>
  <si>
    <t>٤ ٧ ٢ ٧ - ق ا</t>
  </si>
  <si>
    <t>١ ٣ ٧ ٢ - ل ا</t>
  </si>
  <si>
    <t>11-00608365</t>
  </si>
  <si>
    <t>TELTONIKA - FMC 130</t>
  </si>
  <si>
    <t>ا ط ح 3451</t>
  </si>
  <si>
    <t>اﺣﻤﺪ اﻟﺴﻌﻴﺪ اﺣﻤﺪ ﻏﺎﻧﻢ</t>
  </si>
  <si>
    <t>JD1008261024</t>
  </si>
  <si>
    <t>رقم الاقامة</t>
  </si>
  <si>
    <t xml:space="preserve">ناصر سالم القحطانى </t>
  </si>
  <si>
    <t>ياسر اسامه عبد الخبير هلال</t>
  </si>
  <si>
    <t xml:space="preserve">محمد احمد عبدالفتاح البسوسي </t>
  </si>
  <si>
    <t>احمد عرابي راغب محجوب</t>
  </si>
  <si>
    <t>هيثم محمد ابراهيم عبد الفتاح</t>
  </si>
  <si>
    <t>وائل عبد العزيز</t>
  </si>
  <si>
    <t>ابراهيم علي الاجهورى</t>
  </si>
  <si>
    <t>محمود محمد حمدى احمد</t>
  </si>
  <si>
    <t>عبد الحليم عبد الفتاح رجب عبدالرازق</t>
  </si>
  <si>
    <t>وليد عبد السميع حلمي عوان</t>
  </si>
  <si>
    <t>ياسر اسامه عبد الخبير هلال &amp; محمد مجاهد</t>
  </si>
  <si>
    <t>حسام الدين مدحت عبدالمعطي عبدالله &amp; حفيظ الله خان</t>
  </si>
  <si>
    <t xml:space="preserve">سامح حسن رجب عبد الرازق  / مرسي حسن </t>
  </si>
  <si>
    <t>مرسي حسن حسن فرحات &amp; اسماعيل السيد سليمان</t>
  </si>
  <si>
    <t>٣٤١٤ - ب ح ع</t>
  </si>
  <si>
    <t>تركيب GPS</t>
  </si>
  <si>
    <t>سيارة رغد / تكملة البيانات من مستر دليم</t>
  </si>
  <si>
    <t>تكملة البيانات من مستر دليم</t>
  </si>
  <si>
    <t>محمد دلال فول مية</t>
  </si>
  <si>
    <t xml:space="preserve">علي رضا خان راء </t>
  </si>
  <si>
    <t>شركة تنشيط الخدمات اللوجستية ( مستر دليم )</t>
  </si>
  <si>
    <t>شركة الجبر لتأجير السيارات ( ناصر القحطاني )</t>
  </si>
  <si>
    <t>شركة الجبر لتأجير السيارات ( سيارة بديلة )</t>
  </si>
  <si>
    <t>ر ل ب 8345</t>
  </si>
  <si>
    <t>LJD0AA296R0267816</t>
  </si>
  <si>
    <t>ر‬ ل ب ‫- ‫٨٣٤٥</t>
  </si>
  <si>
    <t>مباشرة الحادث من المرور يلزم الذهاب من المعقب الي المرور</t>
  </si>
  <si>
    <t>تم اصلاح السيارة بواسطة التأمين و الوكالة اوتو هوب باجمالي تحمل 2500 ريال ( الشركة 1500 / محمد عبد العال 1000 )</t>
  </si>
  <si>
    <t>عقد الجبر للسيارات</t>
  </si>
  <si>
    <t>الوثيقة</t>
  </si>
  <si>
    <t>رقم الوثيقة</t>
  </si>
  <si>
    <t>تاريخ الانتهاء</t>
  </si>
  <si>
    <t>الأيام المتبقية علي الانتهاء</t>
  </si>
  <si>
    <t>الطرف الاخر</t>
  </si>
  <si>
    <t>القيمة</t>
  </si>
  <si>
    <t>شركة الإتحاد للتامين</t>
  </si>
  <si>
    <t>شركة الجبر للسيارات</t>
  </si>
  <si>
    <t>ايجار شهري</t>
  </si>
  <si>
    <t>فضل الله حامد نور الدائم محمد</t>
  </si>
  <si>
    <t>تركيب GPS / تعديل اللوحة من ح أ 5489 في وثيقة التامين الي ل أ 5489</t>
  </si>
  <si>
    <t>81-00000099</t>
  </si>
  <si>
    <t>33-00397855</t>
  </si>
  <si>
    <t>81-00000146</t>
  </si>
  <si>
    <t>81-00000147</t>
  </si>
  <si>
    <t>81-00000148</t>
  </si>
  <si>
    <t>81-00000149</t>
  </si>
  <si>
    <t>81-00000150</t>
  </si>
  <si>
    <t>81-00000151</t>
  </si>
  <si>
    <t>81-00000152</t>
  </si>
  <si>
    <t>81-00000153</t>
  </si>
  <si>
    <t>81-00000154</t>
  </si>
  <si>
    <t>81-00000155</t>
  </si>
  <si>
    <t>81-00000156</t>
  </si>
  <si>
    <t>81-00000157</t>
  </si>
  <si>
    <t>81-00000158</t>
  </si>
  <si>
    <t>81-00000159</t>
  </si>
  <si>
    <t>81-00000160</t>
  </si>
  <si>
    <t>81-00000161</t>
  </si>
  <si>
    <t>ملكية البنك الأهلي السعودي</t>
  </si>
  <si>
    <t>ملكية بنك الراجحي</t>
  </si>
  <si>
    <t>ملكية شركة الجبر</t>
  </si>
  <si>
    <t>تاريخ بداية التفويض</t>
  </si>
  <si>
    <t>تاريخ نهاية التفويض</t>
  </si>
  <si>
    <t>رقم التفويض</t>
  </si>
  <si>
    <t>اسم المفوض</t>
  </si>
  <si>
    <t>81-00000216</t>
  </si>
  <si>
    <t>81-00000217</t>
  </si>
  <si>
    <t>81-00000218</t>
  </si>
  <si>
    <t>81-00000219</t>
  </si>
  <si>
    <t>81-00000220</t>
  </si>
  <si>
    <t>81-00000221</t>
  </si>
  <si>
    <t>81-00000222</t>
  </si>
  <si>
    <t>81-00000223</t>
  </si>
  <si>
    <t>81-00000224</t>
  </si>
  <si>
    <t>81-00000225</t>
  </si>
  <si>
    <t>81-00000226</t>
  </si>
  <si>
    <t>81-00000227</t>
  </si>
  <si>
    <t>81-00000228</t>
  </si>
  <si>
    <t>81-00000229</t>
  </si>
  <si>
    <t>81-00000238</t>
  </si>
  <si>
    <t>81-00000243</t>
  </si>
  <si>
    <t>81-00000244</t>
  </si>
  <si>
    <t>81-00000251</t>
  </si>
  <si>
    <t>81-00000255</t>
  </si>
  <si>
    <t>81-00000256</t>
  </si>
  <si>
    <t>81-00000257</t>
  </si>
  <si>
    <t>81-00000258</t>
  </si>
  <si>
    <t>81-00000259</t>
  </si>
  <si>
    <t>81-00000260</t>
  </si>
  <si>
    <t>81-00000261</t>
  </si>
  <si>
    <t>81-00000262</t>
  </si>
  <si>
    <t>81-00000263</t>
  </si>
  <si>
    <t>بيانات رخصة السير من استاذ سامح</t>
  </si>
  <si>
    <t>انتظار احمد عبد الحميد يروح البنك يجيب الاستمارة</t>
  </si>
  <si>
    <t>انتظار مرسي يروح البنك يجيب الاستمارة</t>
  </si>
  <si>
    <t>تكملة بيانات الفحص</t>
  </si>
  <si>
    <t>101448001405310</t>
  </si>
  <si>
    <t>101447005404480</t>
  </si>
  <si>
    <t>101447005770463</t>
  </si>
  <si>
    <t>101448000726996</t>
  </si>
  <si>
    <t>101447005362812</t>
  </si>
  <si>
    <t>101448000726427</t>
  </si>
  <si>
    <t>101447005773374</t>
  </si>
  <si>
    <t>101448001901379</t>
  </si>
  <si>
    <t>101448001900795</t>
  </si>
  <si>
    <t>101448001900423</t>
  </si>
  <si>
    <t>101448000985177</t>
  </si>
  <si>
    <t>101447010587603</t>
  </si>
  <si>
    <t>101448000949094</t>
  </si>
  <si>
    <t>101448001901139</t>
  </si>
  <si>
    <t>101448002078382</t>
  </si>
  <si>
    <t>101448001954457</t>
  </si>
  <si>
    <t>101448001858380</t>
  </si>
  <si>
    <t>101447005649275</t>
  </si>
  <si>
    <t>101448001859281</t>
  </si>
  <si>
    <t>101448001822148</t>
  </si>
  <si>
    <t>101447005649096</t>
  </si>
  <si>
    <t>101448001822441</t>
  </si>
  <si>
    <t>101448001954557</t>
  </si>
  <si>
    <t>101447011229551</t>
  </si>
  <si>
    <t>101448001954503</t>
  </si>
  <si>
    <t>101448002078237</t>
  </si>
  <si>
    <t>101448001821514</t>
  </si>
  <si>
    <t>101447007151344</t>
  </si>
  <si>
    <t>101448001821859</t>
  </si>
  <si>
    <t>101447005649493</t>
  </si>
  <si>
    <t>101447005651570</t>
  </si>
  <si>
    <t>101448002181547</t>
  </si>
  <si>
    <t>101447005648909</t>
  </si>
  <si>
    <t>101448000948882</t>
  </si>
  <si>
    <t>101447009792002</t>
  </si>
  <si>
    <t>101447005403816</t>
  </si>
  <si>
    <t>101447005360139</t>
  </si>
  <si>
    <t>101447006435725</t>
  </si>
  <si>
    <t>101448002396770</t>
  </si>
  <si>
    <t>101447005397532</t>
  </si>
  <si>
    <t>101448001943787</t>
  </si>
  <si>
    <t>101448000726178</t>
  </si>
  <si>
    <t>101447010985814</t>
  </si>
  <si>
    <t>101447005363054</t>
  </si>
  <si>
    <t>101448001901037</t>
  </si>
  <si>
    <t>101448001900637</t>
  </si>
  <si>
    <t>101447008644587</t>
  </si>
  <si>
    <t>101447011605092</t>
  </si>
  <si>
    <t>101448000966842</t>
  </si>
  <si>
    <t>101447005360751</t>
  </si>
  <si>
    <t>101447007151386</t>
  </si>
  <si>
    <t>101448000985085</t>
  </si>
  <si>
    <t>101448000300414</t>
  </si>
  <si>
    <t>101448000232421</t>
  </si>
  <si>
    <t>101448000042123</t>
  </si>
  <si>
    <t>101447005360336</t>
  </si>
  <si>
    <t>101448000966747</t>
  </si>
  <si>
    <t>101448001859578</t>
  </si>
  <si>
    <t>101447005360265</t>
  </si>
  <si>
    <t>101447005363557</t>
  </si>
  <si>
    <t>101448000800512</t>
  </si>
  <si>
    <t>101448000948941</t>
  </si>
  <si>
    <t>101448002141449</t>
  </si>
  <si>
    <t>101447005768563</t>
  </si>
  <si>
    <t>101448001901209</t>
  </si>
  <si>
    <t>101448001901460</t>
  </si>
  <si>
    <t>101447005392262</t>
  </si>
  <si>
    <t>101448000684559</t>
  </si>
  <si>
    <t>101447005361230</t>
  </si>
  <si>
    <t>101448000726661</t>
  </si>
  <si>
    <t>101447005396035</t>
  </si>
  <si>
    <t>101448001954538</t>
  </si>
  <si>
    <t>101448000726707</t>
  </si>
  <si>
    <t>101448001901283</t>
  </si>
  <si>
    <t>2578027142</t>
  </si>
  <si>
    <t>101448001133768</t>
  </si>
  <si>
    <t>101447006435777</t>
  </si>
  <si>
    <t>101447005403966</t>
  </si>
  <si>
    <t>101448001821705</t>
  </si>
  <si>
    <t>101448002078314</t>
  </si>
  <si>
    <t>101447005397780</t>
  </si>
  <si>
    <t>101448001954697</t>
  </si>
  <si>
    <t>101447005770058</t>
  </si>
  <si>
    <t>101448001954609</t>
  </si>
  <si>
    <t>101447005361316</t>
  </si>
  <si>
    <t>101448001900878</t>
  </si>
  <si>
    <t>101447005406516</t>
  </si>
  <si>
    <t>101448000726899</t>
  </si>
  <si>
    <t>101448002012297</t>
  </si>
  <si>
    <t>101448001794051</t>
  </si>
  <si>
    <t>101447010985715</t>
  </si>
  <si>
    <t>101447005407098</t>
  </si>
  <si>
    <t>101447005393227</t>
  </si>
  <si>
    <t>101447005363259</t>
  </si>
  <si>
    <t>101448001858735</t>
  </si>
  <si>
    <t>101448000949139</t>
  </si>
  <si>
    <t>101447005362474</t>
  </si>
  <si>
    <t>101448001822938</t>
  </si>
  <si>
    <t>101448001822864</t>
  </si>
  <si>
    <t>101447005406998</t>
  </si>
  <si>
    <t>101447005406624</t>
  </si>
  <si>
    <t>101448001763204</t>
  </si>
  <si>
    <t>101448001868204</t>
  </si>
  <si>
    <t>101448001762351</t>
  </si>
  <si>
    <t>101448002141505</t>
  </si>
  <si>
    <t>101448001745445</t>
  </si>
  <si>
    <t>101448001781225</t>
  </si>
  <si>
    <t>101448001780945</t>
  </si>
  <si>
    <t>101448001820973</t>
  </si>
  <si>
    <t>101448001780415</t>
  </si>
  <si>
    <t>101448001781075</t>
  </si>
  <si>
    <t>101448001762726</t>
  </si>
  <si>
    <t>101448001005835</t>
  </si>
  <si>
    <t>101448001821174</t>
  </si>
  <si>
    <t>101448001793910</t>
  </si>
  <si>
    <t>101448001820645</t>
  </si>
  <si>
    <t>101448001857726</t>
  </si>
  <si>
    <t>101448001857573</t>
  </si>
  <si>
    <t>101448001241057</t>
  </si>
  <si>
    <t>101448001858286</t>
  </si>
  <si>
    <t>101448000949237</t>
  </si>
  <si>
    <t>101448001821457</t>
  </si>
  <si>
    <t>101448001745392</t>
  </si>
  <si>
    <t>101448001820776</t>
  </si>
  <si>
    <t>101448001745402</t>
  </si>
  <si>
    <t>101448001762063</t>
  </si>
  <si>
    <t>101448001762971</t>
  </si>
  <si>
    <t>101448001857968</t>
  </si>
  <si>
    <t>101448001695674</t>
  </si>
  <si>
    <t>101448001780707</t>
  </si>
  <si>
    <t>101448001745434</t>
  </si>
  <si>
    <t>101447011193634</t>
  </si>
  <si>
    <t>101448001745376</t>
  </si>
  <si>
    <t>101448001821346</t>
  </si>
  <si>
    <t>101448002176959</t>
  </si>
  <si>
    <t>101447005398251</t>
  </si>
  <si>
    <t>101447005397895</t>
  </si>
  <si>
    <t>101448002108723</t>
  </si>
  <si>
    <t>101448002319465</t>
  </si>
  <si>
    <t>101447010827727</t>
  </si>
  <si>
    <t>101447005396435</t>
  </si>
  <si>
    <t>101448002384371</t>
  </si>
  <si>
    <t>101447009202078</t>
  </si>
  <si>
    <t>101448002280204</t>
  </si>
  <si>
    <t>101448001980616</t>
  </si>
  <si>
    <t>101448000501793</t>
  </si>
  <si>
    <t>101447005682258</t>
  </si>
  <si>
    <t>101447005676511</t>
  </si>
  <si>
    <t>101447008772666</t>
  </si>
  <si>
    <t>101447008772271</t>
  </si>
  <si>
    <t>101447005680712</t>
  </si>
  <si>
    <t>101447006878044</t>
  </si>
  <si>
    <t>101447005682563</t>
  </si>
  <si>
    <t>101447011193977</t>
  </si>
  <si>
    <t>101447010627627</t>
  </si>
  <si>
    <t>101448002212767</t>
  </si>
  <si>
    <t>101447006924876</t>
  </si>
  <si>
    <t>101447011520957</t>
  </si>
  <si>
    <t>101447006877152</t>
  </si>
  <si>
    <t>101448000501651</t>
  </si>
  <si>
    <t>101447005674868</t>
  </si>
  <si>
    <t>101448000014180</t>
  </si>
  <si>
    <t>101447007982257</t>
  </si>
  <si>
    <t>101447005675568</t>
  </si>
  <si>
    <t>101447010986357</t>
  </si>
  <si>
    <t>101448000014100</t>
  </si>
  <si>
    <t>101447006127556</t>
  </si>
  <si>
    <t>101448001261826</t>
  </si>
  <si>
    <t>101448002212677</t>
  </si>
  <si>
    <t>101447005802769</t>
  </si>
  <si>
    <t>101448002369786</t>
  </si>
  <si>
    <t>101447007778193</t>
  </si>
  <si>
    <t>101448000501337</t>
  </si>
  <si>
    <t>101448000501106</t>
  </si>
  <si>
    <t>101447005803023</t>
  </si>
  <si>
    <t>101447010796114</t>
  </si>
  <si>
    <t>101447011193863</t>
  </si>
  <si>
    <t>101447011228132</t>
  </si>
  <si>
    <t>101447008445129</t>
  </si>
  <si>
    <t>101447011520906</t>
  </si>
  <si>
    <t>101448000550469</t>
  </si>
  <si>
    <t>101448002212822</t>
  </si>
  <si>
    <t>101448001430701</t>
  </si>
  <si>
    <t>101448000501479</t>
  </si>
  <si>
    <t>101447011521200</t>
  </si>
  <si>
    <t>101448000500918</t>
  </si>
  <si>
    <t>101448002369616</t>
  </si>
  <si>
    <t>101447005803194</t>
  </si>
  <si>
    <t>101448000686664</t>
  </si>
  <si>
    <t>101448000550743</t>
  </si>
  <si>
    <t>101448002212535</t>
  </si>
  <si>
    <t>101447006129640</t>
  </si>
  <si>
    <t>101448002212363</t>
  </si>
  <si>
    <t>101448000501219</t>
  </si>
  <si>
    <t>101448000686608</t>
  </si>
  <si>
    <t>101447005729591</t>
  </si>
  <si>
    <t>101448000550328</t>
  </si>
  <si>
    <t>101448000550812</t>
  </si>
  <si>
    <t>101447007030773</t>
  </si>
  <si>
    <t>101447005803973</t>
  </si>
  <si>
    <t>101448000440745</t>
  </si>
  <si>
    <t>101448000224645</t>
  </si>
  <si>
    <t>101447011382620</t>
  </si>
  <si>
    <t>101447008719380</t>
  </si>
  <si>
    <t>101447011419670</t>
  </si>
  <si>
    <t>101447010795941</t>
  </si>
  <si>
    <t>101448002079381</t>
  </si>
  <si>
    <t>101448001029552</t>
  </si>
  <si>
    <t>101447010274272</t>
  </si>
  <si>
    <t>101448001219876</t>
  </si>
  <si>
    <t>101447007185845</t>
  </si>
  <si>
    <t>101447007185713</t>
  </si>
  <si>
    <t>101447010274027</t>
  </si>
  <si>
    <t>101447005730557</t>
  </si>
  <si>
    <t>101447005361999</t>
  </si>
  <si>
    <t>101447005401799</t>
  </si>
  <si>
    <t>101447005394679</t>
  </si>
  <si>
    <t>محمد اسامه محمد عاشور</t>
  </si>
  <si>
    <t>KHAYRUL ISLAM</t>
  </si>
  <si>
    <t>RAHAMATTULLA SEIKH</t>
  </si>
  <si>
    <t>MD ABDUL MAZED</t>
  </si>
  <si>
    <t>RAMIM ISLAM MUNNA</t>
  </si>
  <si>
    <t>MD ARIF</t>
  </si>
  <si>
    <t>SHOFIKUL ISLAM SHIPON</t>
  </si>
  <si>
    <t>AHMAR ALI MUHAMMAD ASLAM</t>
  </si>
  <si>
    <t>محمود احمد السيد ابوغراره</t>
  </si>
  <si>
    <t>FAIZAN ALI MUHAMMAD NAZIR AHMAD</t>
  </si>
  <si>
    <t>احمد رميح محمد رميح</t>
  </si>
  <si>
    <t>RAYHAN AHMED</t>
  </si>
  <si>
    <t>MUHAMMAD IKRAM MUHAMMAD BASHIR</t>
  </si>
  <si>
    <t>MD ANAMUL MD MAJNU</t>
  </si>
  <si>
    <t>MIRZA EKBAL HOSSAIN</t>
  </si>
  <si>
    <t>محمد حمدى محمد عبد الرحمن</t>
  </si>
  <si>
    <t>HRIDOY CHANDRA</t>
  </si>
  <si>
    <t>محمود السيد محمد عطيه</t>
  </si>
  <si>
    <t>محمود سعد محمود مرعى</t>
  </si>
  <si>
    <t>محمد سعيد محمود النحاس</t>
  </si>
  <si>
    <t>محمد مياه</t>
  </si>
  <si>
    <t>MANSUR MIAH</t>
  </si>
  <si>
    <t>SARIFUL ISLAM</t>
  </si>
  <si>
    <t>MD ATEKUR RAHMAN</t>
  </si>
  <si>
    <t>مصطفي محمود</t>
  </si>
  <si>
    <t>OSAMA HAYAT NOOR HAYAT GUL</t>
  </si>
  <si>
    <t>JAHID MOLLA</t>
  </si>
  <si>
    <t>حسن احمد حسن مصطفى</t>
  </si>
  <si>
    <t>محمد راقب محمد حسن</t>
  </si>
  <si>
    <t>HASSAN ALI WARIS ALI</t>
  </si>
  <si>
    <t>السيد على حسن دياب</t>
  </si>
  <si>
    <t>TANVEER AHMAD SHAFI AHMAD</t>
  </si>
  <si>
    <t>احمد صلاح محمد الاسكندراني</t>
  </si>
  <si>
    <t>حسن على حسن الشامى</t>
  </si>
  <si>
    <t>MUHAMMAD RIZWAN SHAHID IQBAL</t>
  </si>
  <si>
    <t>MUHAMMAD AJMAL HAJI MUNIR AHMAD</t>
  </si>
  <si>
    <t>SALMAN KHAN RAJ MUHAMMAD</t>
  </si>
  <si>
    <t>احمد علاء الدين عبدالفتاح معروف</t>
  </si>
  <si>
    <t>محمد محمد عبدالله احمد</t>
  </si>
  <si>
    <t>ZEESHAN AKRAM MUHAMMAD AKRAM</t>
  </si>
  <si>
    <t>جمعه الشحات السيد علي</t>
  </si>
  <si>
    <t>NURE HASANUZZAMAN</t>
  </si>
  <si>
    <t>SHAKLEN MOHAMMAD HANIF</t>
  </si>
  <si>
    <t>NASIR SK KARIM SK</t>
  </si>
  <si>
    <t>محمود السيد عبد الوهاب السيد</t>
  </si>
  <si>
    <t>MD ARIFUR RAHMAN</t>
  </si>
  <si>
    <t>محمد أحمد فوزى أبوعجور</t>
  </si>
  <si>
    <t>ALI KHAN AYUB KHAN</t>
  </si>
  <si>
    <t>MD MAHMUDULLAH HASAN EMON</t>
  </si>
  <si>
    <t>رأفت حاتم رأفت سلام</t>
  </si>
  <si>
    <t>محمود محمد خليفه ابو العلا</t>
  </si>
  <si>
    <t>Kamarul Hossain</t>
  </si>
  <si>
    <t>مصطفي شعبان محمد جبالي</t>
  </si>
  <si>
    <t>على بسيونى على محمد</t>
  </si>
  <si>
    <t>محمود حسب الله عبد الحميد حسب الله</t>
  </si>
  <si>
    <t>BABAR ALI ISTIKHAR AHMAD</t>
  </si>
  <si>
    <t>محمد بكر بسيوني بسيوني</t>
  </si>
  <si>
    <t>shamim mia</t>
  </si>
  <si>
    <t>مد باركات الله</t>
  </si>
  <si>
    <t>Jahidul Islam</t>
  </si>
  <si>
    <t>ABUL HASAN SEIKH</t>
  </si>
  <si>
    <t>ZIYARUL RAHAMAN AKSAR RAHAMAN</t>
  </si>
  <si>
    <t>سيف الدين ياسر احمد المزيودى</t>
  </si>
  <si>
    <t>محمد رميح محمد رميح</t>
  </si>
  <si>
    <t>MD BELAL HOSEN</t>
  </si>
  <si>
    <t>JAHANGIR ALAM</t>
  </si>
  <si>
    <t>LADEN SEKH KAFIRUL SEKH</t>
  </si>
  <si>
    <t>KASHIM UDDIN</t>
  </si>
  <si>
    <t>محمد مروان السيد منسى</t>
  </si>
  <si>
    <t>INJAMAM UL HOQUE</t>
  </si>
  <si>
    <t>AMEER HAMZA RASHID MEHMOOD</t>
  </si>
  <si>
    <t>SABUJ SK INSAN SK</t>
  </si>
  <si>
    <t>MD ABIR HASAN</t>
  </si>
  <si>
    <t>محمد حسنى رشاد عبدالله</t>
  </si>
  <si>
    <t>NURUL ISLAM</t>
  </si>
  <si>
    <t>MD TARIQUL ISLAM</t>
  </si>
  <si>
    <t>MD ASLAM SEIKH</t>
  </si>
  <si>
    <t>مؤمن سعيد محمد ابوالسعود</t>
  </si>
  <si>
    <t>MOHSAN FAREED FAREED JAVID</t>
  </si>
  <si>
    <t>WARIS KHAN SHARIF KHAN</t>
  </si>
  <si>
    <t>محمد كمال على عبدالجواد</t>
  </si>
  <si>
    <t>احمد حماده احمد الطاهرى</t>
  </si>
  <si>
    <t>محمد ابراهيم محمد الميداني</t>
  </si>
  <si>
    <t>MUSADAQ HUSSAIN SATTI RAJA TUSADAQ HUSSAIN</t>
  </si>
  <si>
    <t>BASWAR ALI SARTAJ</t>
  </si>
  <si>
    <t>حسام احمد السيد علام</t>
  </si>
  <si>
    <t>شهاب احمد محمد عبد الحميد</t>
  </si>
  <si>
    <t>ABDULHAMID</t>
  </si>
  <si>
    <t>Md Zakir Hossain</t>
  </si>
  <si>
    <t>MOHAMMAD ALI ROJAN ALI</t>
  </si>
  <si>
    <t>HASINUR ISLAM BADON</t>
  </si>
  <si>
    <t>MD RAKIBUL SHIKDER</t>
  </si>
  <si>
    <t>MUHAMMAD AQEEL SAIF UL MALOOK</t>
  </si>
  <si>
    <t>MURSAD SK</t>
  </si>
  <si>
    <t>محمد السيد محمد عبد اللطيف</t>
  </si>
  <si>
    <t>HAMMAD ALI MUHAMMAD BOOTA</t>
  </si>
  <si>
    <t>MD EMON HOSSAIN</t>
  </si>
  <si>
    <t>احمد جمال انور امام</t>
  </si>
  <si>
    <t>ابراهيم ابوالقاسم احمد قاسم</t>
  </si>
  <si>
    <t>MD IMRAN HOSEN</t>
  </si>
  <si>
    <t>ABDUR RAHMAN</t>
  </si>
  <si>
    <t>MD JAHANGIR ALAM</t>
  </si>
  <si>
    <t>احمد مجدى حسنى يوسف</t>
  </si>
  <si>
    <t>MD SAJID AHMED</t>
  </si>
  <si>
    <t>HAMID ALI ARSHAD MEHMOOD</t>
  </si>
  <si>
    <t>فايز عبدالهادى عبدالفتاح الشرقاوى</t>
  </si>
  <si>
    <t>MUHAMMAD ANAS RAZA ASGHAR ALI</t>
  </si>
  <si>
    <t>حسن صبحى عبد الفتاح زيدان</t>
  </si>
  <si>
    <t>MD ROBIN MIA</t>
  </si>
  <si>
    <t>SHAHZAD ALI SHABBIR AHMED</t>
  </si>
  <si>
    <t>محمد محمد ال حسن</t>
  </si>
  <si>
    <t>AFAQ AHMED MUHAMMAD SAFDAR</t>
  </si>
  <si>
    <t>مصطفى علاء الدين محمد عطيه</t>
  </si>
  <si>
    <t>SHAHZAD AHMAD IRSHAD ULLAH</t>
  </si>
  <si>
    <t>MD ARSHED ALI</t>
  </si>
  <si>
    <t>QASIR SHABBIR SHABBIR AHMED</t>
  </si>
  <si>
    <t>حسين حسن عرفات شعفه</t>
  </si>
  <si>
    <t>NAGAR SK</t>
  </si>
  <si>
    <t>محمد سعيد عبد الهادى هلال</t>
  </si>
  <si>
    <t>badal ali</t>
  </si>
  <si>
    <t>علاء جابر محمد فاروق</t>
  </si>
  <si>
    <t>ANTOR MIA MD ABDUL HELIM</t>
  </si>
  <si>
    <t>محمود عبد الحميد محمد النشرتي</t>
  </si>
  <si>
    <t>عبد الرحمن محمد خليل الارناؤطي</t>
  </si>
  <si>
    <t>احمد جلال</t>
  </si>
  <si>
    <t>محمد حسن احمد عوض</t>
  </si>
  <si>
    <t>MUHAMMAD UMAR MUHAMMAD AKRAM GUJJAR</t>
  </si>
  <si>
    <t>عبدالرحمن على عبدالمنعم الاجهورى</t>
  </si>
  <si>
    <t>MUHAMMAD TAHIR GUL DAD</t>
  </si>
  <si>
    <t>SHAHBAZ   MUSTUFA</t>
  </si>
  <si>
    <t>JAMIR HUSSAIN  CHOUDHURY</t>
  </si>
  <si>
    <t>MUHAMMAD BABAR   MUKHTAR</t>
  </si>
  <si>
    <t>MUHAMMAD BILAL ASHRAF MUHAMMAD ASHRAF</t>
  </si>
  <si>
    <t>IMRAN UD DIN SHAH ZARIN KHAN</t>
  </si>
  <si>
    <t>راشد حسن</t>
  </si>
  <si>
    <t>MOHAMMED DULAL FULL MIA</t>
  </si>
  <si>
    <t>HAFIZ ASIF MEHMOOD MUHAMMAD YOUSAF</t>
  </si>
  <si>
    <t>BABUL MIAH</t>
  </si>
  <si>
    <t>محمد فياض اعتبار خان</t>
  </si>
  <si>
    <t>SHAHID IQBAL MUHAMMAD INAYAT</t>
  </si>
  <si>
    <t>SAEED IQBAL RAJA MUHAMMAD AFZAL</t>
  </si>
  <si>
    <t>MOHD   DANISH</t>
  </si>
  <si>
    <t>MUHAMMAD BILAL FAQIR MUHAMMAD</t>
  </si>
  <si>
    <t>KHALIL UR REHMAN JAMIL UR REHMAN KHAWAJA</t>
  </si>
  <si>
    <t>MUHAMMAD AZAM BATI</t>
  </si>
  <si>
    <t>GHAFFAR AHMAD ABDUL GHAFOOR</t>
  </si>
  <si>
    <t>TAHIR MEHMOOD CHOUDHARY KALA KHAN</t>
  </si>
  <si>
    <t>SOEEAM KHAN MUHAMMAD SAEED KHAN</t>
  </si>
  <si>
    <t>محمد ارسلان مهدى</t>
  </si>
  <si>
    <t>FIAZ HAIDER ABDUL LATIF</t>
  </si>
  <si>
    <t>RASHID ABBAS MUHAMMAD KHAN</t>
  </si>
  <si>
    <t>MUHAMMAD ASIM AZIZ ABDUL AZIZ</t>
  </si>
  <si>
    <t>MUHAMMAD WASEEM ATTA MUHAMMAD MALIK</t>
  </si>
  <si>
    <t>MUHAMMAD AZHAR MUHAMMAD AMEER</t>
  </si>
  <si>
    <t>SUKHDEV SINGH CHARANJIT SINGH</t>
  </si>
  <si>
    <t>GUFRAN MOHAMMAD HANEEF</t>
  </si>
  <si>
    <t>MATLOOB   ALI</t>
  </si>
  <si>
    <t>ZAMIR AHMAD KHAN SHER AFZAL KHAN</t>
  </si>
  <si>
    <t>UMER DRAZ MUHAMMAD FAZIL</t>
  </si>
  <si>
    <t>MISHAL - - MOLLAH</t>
  </si>
  <si>
    <t>محمد خالد محمد احمد</t>
  </si>
  <si>
    <t>ATIF ABBASI MUHAMMAD ALTAF ABBASI</t>
  </si>
  <si>
    <t>واحد مبارك مبارك علي</t>
  </si>
  <si>
    <t>احمد عبد الباسط احمد حسن</t>
  </si>
  <si>
    <t>MUHAMMAD AJMAL KHAN MUHAMMAD AZMAT KHAN</t>
  </si>
  <si>
    <t>محمد اسماعيل محمد اسماعيل</t>
  </si>
  <si>
    <t>SHAKEEL AHMED MUHAMMAD AJAB KHAN</t>
  </si>
  <si>
    <t>محمد محمود عبدالمولي غنيم</t>
  </si>
  <si>
    <t>مسعد صلاح الدين محمود احمد سعد</t>
  </si>
  <si>
    <t>MUHAMMAD HAMZA MUMTAZ AHMED</t>
  </si>
  <si>
    <t>رضا شعبان محمد ابو حشيش</t>
  </si>
  <si>
    <t>ALI RAZA KHAN RAI  ZULFIQAR KHAN</t>
  </si>
  <si>
    <t>ADEEL FARID   GHULAM FARID</t>
  </si>
  <si>
    <t>نورالدين أحمد محمد أحمد</t>
  </si>
  <si>
    <t>AHTSHAM HUSSAIN MANZOOR HUSSAIN</t>
  </si>
  <si>
    <t>محمد احمد حمامه ابو زيد</t>
  </si>
  <si>
    <t>عبدالرحمن حسن السيد رحومه</t>
  </si>
  <si>
    <t>احمد صبرى ابراهيم الصايغ</t>
  </si>
  <si>
    <t>دسوقي سعد سعد دراز</t>
  </si>
  <si>
    <t>ahmed zidan</t>
  </si>
  <si>
    <t>حسين الخراشي</t>
  </si>
  <si>
    <t>محمد عادل فوزي امين</t>
  </si>
  <si>
    <t>MD JAKIR HUSSEN</t>
  </si>
  <si>
    <t>MD ZAHIDUL ISLAM</t>
  </si>
  <si>
    <t>طارق محمود محمد العسكري</t>
  </si>
  <si>
    <t>MD IFRAN</t>
  </si>
  <si>
    <t>محمد نبوي محمد باص</t>
  </si>
  <si>
    <t>اشرف عبدالمجيد علي عبدالمجيد</t>
  </si>
  <si>
    <t>مصطفى محمود صادق لولح</t>
  </si>
  <si>
    <t xml:space="preserve">حسن احمد حسين جمال الدين </t>
  </si>
  <si>
    <t xml:space="preserve">نصيب حسين محمد فضل </t>
  </si>
  <si>
    <t>MOHD KAMARVEJ MEHFOOJ</t>
  </si>
  <si>
    <t>سيال مات خان رود غول</t>
  </si>
  <si>
    <t>ASHIK SARKER</t>
  </si>
  <si>
    <t>;</t>
  </si>
  <si>
    <t>احمد السعيد احمد غانم</t>
  </si>
  <si>
    <t>BAKHT UALLH AZIZ GUL</t>
  </si>
  <si>
    <t>محمد رجب ابراهيم قطرى</t>
  </si>
  <si>
    <t>MUHAMMAD BILAL MUSHTAQ HUSSAINI</t>
  </si>
  <si>
    <t>KHAN ALAM MUHAMMAD ALAM</t>
  </si>
  <si>
    <t xml:space="preserve">امازون </t>
  </si>
  <si>
    <t>كيتا</t>
  </si>
  <si>
    <t>الايام المتبقية علي نهاية التفويض</t>
  </si>
  <si>
    <t xml:space="preserve">نينجا </t>
  </si>
  <si>
    <t xml:space="preserve">كيتا </t>
  </si>
  <si>
    <t xml:space="preserve">مكه المكرمه </t>
  </si>
  <si>
    <t xml:space="preserve">صيانه </t>
  </si>
  <si>
    <t xml:space="preserve">امازون  </t>
  </si>
  <si>
    <t xml:space="preserve">هنجرستيشن </t>
  </si>
  <si>
    <t>P/10001/I/MC/LTO/24/21/R03</t>
  </si>
  <si>
    <t>تأمين البضائع</t>
  </si>
  <si>
    <t>تأمين خيانة الأمانة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</si>
</sst>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/mm/dd;@"/>
    <numFmt numFmtId="165" formatCode="_ [$⃁-401]\ * #,##0.00_ ;_ [$⃁-401]\ * \-#,##0.00_ ;_ [$⃁-401]\ * &quot;-&quot;??_ ;_ @_ "/>
    <numFmt numFmtId="166" formatCode="[$-1970000]B2yyyy/mm/dd;@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EBFF"/>
        <bgColor indexed="64"/>
      </patternFill>
    </fill>
    <fill>
      <patternFill patternType="solid">
        <fgColor rgb="FFE7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8"/>
      </patternFill>
    </fill>
    <fill>
      <patternFill patternType="solid">
        <fgColor rgb="FFDDFFFF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0"/>
      </right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1" fillId="0" borderId="0" xfId="0" applyNumberFormat="1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3" fontId="5" fillId="0" borderId="0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3" fontId="1" fillId="0" borderId="0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1" fillId="0" borderId="0" xfId="0" applyNumberFormat="1" applyFont="1" applyAlignment="1">
      <alignment horizontal="center" vertical="center"/>
    </xf>
    <xf numFmtId="43" fontId="1" fillId="0" borderId="0" xfId="1" applyFont="1" applyFill="1" applyBorder="1" applyAlignment="1">
      <alignment horizontal="center" vertical="center" wrapText="1"/>
    </xf>
    <xf numFmtId="43" fontId="0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1" fillId="2" borderId="4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164" fontId="2" fillId="11" borderId="7" xfId="0" applyNumberFormat="1" applyFont="1" applyFill="1" applyBorder="1" applyAlignment="1">
      <alignment horizontal="center" vertical="center"/>
    </xf>
    <xf numFmtId="164" fontId="2" fillId="10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1" fontId="2" fillId="10" borderId="2" xfId="0" applyNumberFormat="1" applyFont="1" applyFill="1" applyBorder="1" applyAlignment="1">
      <alignment horizontal="center" vertical="center"/>
    </xf>
    <xf numFmtId="164" fontId="2" fillId="10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65" fontId="1" fillId="2" borderId="2" xfId="1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65" fontId="0" fillId="6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64" fontId="0" fillId="8" borderId="2" xfId="0" applyNumberFormat="1" applyFill="1" applyBorder="1" applyAlignment="1">
      <alignment horizontal="center" vertical="center"/>
    </xf>
    <xf numFmtId="1" fontId="0" fillId="8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0" fillId="9" borderId="2" xfId="0" applyNumberForma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readingOrder="1"/>
    </xf>
    <xf numFmtId="1" fontId="1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7" fillId="0" borderId="2" xfId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64" fontId="7" fillId="8" borderId="2" xfId="0" applyNumberFormat="1" applyFont="1" applyFill="1" applyBorder="1" applyAlignment="1">
      <alignment horizontal="center" vertical="center"/>
    </xf>
    <xf numFmtId="1" fontId="7" fillId="8" borderId="2" xfId="0" applyNumberFormat="1" applyFont="1" applyFill="1" applyBorder="1" applyAlignment="1">
      <alignment horizontal="center" vertical="center"/>
    </xf>
    <xf numFmtId="166" fontId="7" fillId="9" borderId="2" xfId="0" applyNumberFormat="1" applyFont="1" applyFill="1" applyBorder="1" applyAlignment="1">
      <alignment horizontal="center" vertical="center"/>
    </xf>
    <xf numFmtId="164" fontId="7" fillId="9" borderId="2" xfId="0" applyNumberFormat="1" applyFont="1" applyFill="1" applyBorder="1" applyAlignment="1">
      <alignment horizontal="center" vertical="center"/>
    </xf>
    <xf numFmtId="43" fontId="1" fillId="0" borderId="2" xfId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164" fontId="1" fillId="6" borderId="2" xfId="0" applyNumberFormat="1" applyFont="1" applyFill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1" fillId="0" borderId="2" xfId="1" applyNumberFormat="1" applyFont="1" applyFill="1" applyBorder="1" applyAlignment="1">
      <alignment horizontal="center" vertical="center"/>
    </xf>
    <xf numFmtId="166" fontId="0" fillId="12" borderId="2" xfId="0" applyNumberFormat="1" applyFill="1" applyBorder="1" applyAlignment="1">
      <alignment horizontal="center" vertical="center"/>
    </xf>
    <xf numFmtId="166" fontId="0" fillId="8" borderId="2" xfId="0" applyNumberFormat="1" applyFill="1" applyBorder="1" applyAlignment="1">
      <alignment horizontal="center" vertical="center"/>
    </xf>
    <xf numFmtId="166" fontId="0" fillId="4" borderId="2" xfId="0" applyNumberFormat="1" applyFill="1" applyBorder="1" applyAlignment="1">
      <alignment horizontal="center" vertical="center"/>
    </xf>
    <xf numFmtId="166" fontId="7" fillId="8" borderId="2" xfId="0" applyNumberFormat="1" applyFont="1" applyFill="1" applyBorder="1" applyAlignment="1">
      <alignment horizontal="center" vertical="center"/>
    </xf>
    <xf numFmtId="165" fontId="1" fillId="6" borderId="2" xfId="0" applyNumberFormat="1" applyFont="1" applyFill="1" applyBorder="1" applyAlignment="1">
      <alignment horizontal="center" vertical="center"/>
    </xf>
    <xf numFmtId="166" fontId="1" fillId="8" borderId="2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43" fontId="0" fillId="4" borderId="0" xfId="1" applyFon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43" fontId="1" fillId="0" borderId="10" xfId="1" applyFont="1" applyFill="1" applyBorder="1" applyAlignment="1">
      <alignment horizontal="center" vertical="center"/>
    </xf>
    <xf numFmtId="1" fontId="1" fillId="0" borderId="10" xfId="1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6" fontId="1" fillId="8" borderId="10" xfId="0" applyNumberFormat="1" applyFont="1" applyFill="1" applyBorder="1" applyAlignment="1">
      <alignment horizontal="center" vertical="center"/>
    </xf>
    <xf numFmtId="164" fontId="1" fillId="8" borderId="10" xfId="0" applyNumberFormat="1" applyFont="1" applyFill="1" applyBorder="1" applyAlignment="1">
      <alignment horizontal="center" vertical="center"/>
    </xf>
    <xf numFmtId="1" fontId="1" fillId="9" borderId="2" xfId="0" applyNumberFormat="1" applyFont="1" applyFill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164" fontId="0" fillId="12" borderId="2" xfId="0" applyNumberFormat="1" applyFill="1" applyBorder="1" applyAlignment="1">
      <alignment horizontal="center" vertical="center"/>
    </xf>
    <xf numFmtId="164" fontId="1" fillId="12" borderId="10" xfId="0" applyNumberFormat="1" applyFont="1" applyFill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" fontId="1" fillId="4" borderId="2" xfId="1" applyNumberFormat="1" applyFont="1" applyFill="1" applyBorder="1" applyAlignment="1">
      <alignment horizontal="center" vertical="center"/>
    </xf>
    <xf numFmtId="1" fontId="1" fillId="7" borderId="2" xfId="0" applyNumberFormat="1" applyFont="1" applyFill="1" applyBorder="1" applyAlignment="1">
      <alignment horizontal="center" vertical="center" readingOrder="1"/>
    </xf>
    <xf numFmtId="0" fontId="0" fillId="4" borderId="2" xfId="0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166" fontId="1" fillId="9" borderId="10" xfId="0" applyNumberFormat="1" applyFont="1" applyFill="1" applyBorder="1" applyAlignment="1">
      <alignment horizontal="center" vertical="center"/>
    </xf>
    <xf numFmtId="164" fontId="1" fillId="9" borderId="10" xfId="0" applyNumberFormat="1" applyFont="1" applyFill="1" applyBorder="1" applyAlignment="1">
      <alignment horizontal="center" vertical="center"/>
    </xf>
    <xf numFmtId="0" fontId="1" fillId="0" borderId="2" xfId="1" applyNumberFormat="1" applyFont="1" applyFill="1" applyBorder="1" applyAlignment="1">
      <alignment horizontal="center" vertical="center"/>
    </xf>
    <xf numFmtId="1" fontId="7" fillId="9" borderId="2" xfId="0" applyNumberFormat="1" applyFont="1" applyFill="1" applyBorder="1" applyAlignment="1">
      <alignment horizontal="center" vertical="center"/>
    </xf>
    <xf numFmtId="1" fontId="1" fillId="8" borderId="2" xfId="0" applyNumberFormat="1" applyFont="1" applyFill="1" applyBorder="1" applyAlignment="1">
      <alignment horizontal="center" vertical="center"/>
    </xf>
    <xf numFmtId="43" fontId="3" fillId="0" borderId="2" xfId="1" applyFont="1" applyFill="1" applyBorder="1" applyAlignment="1">
      <alignment horizontal="center" vertical="center"/>
    </xf>
    <xf numFmtId="43" fontId="3" fillId="0" borderId="10" xfId="1" applyFont="1" applyFill="1" applyBorder="1" applyAlignment="1">
      <alignment horizontal="center" vertical="center"/>
    </xf>
    <xf numFmtId="0" fontId="12" fillId="0" borderId="0" xfId="2"/>
    <xf numFmtId="164" fontId="1" fillId="0" borderId="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readingOrder="2"/>
    </xf>
    <xf numFmtId="1" fontId="1" fillId="0" borderId="12" xfId="0" applyNumberFormat="1" applyFont="1" applyBorder="1" applyAlignment="1">
      <alignment horizontal="center" vertical="center" readingOrder="1"/>
    </xf>
    <xf numFmtId="164" fontId="7" fillId="0" borderId="2" xfId="0" applyNumberFormat="1" applyFont="1" applyBorder="1" applyAlignment="1">
      <alignment horizontal="center" vertical="center"/>
    </xf>
    <xf numFmtId="164" fontId="1" fillId="8" borderId="2" xfId="0" applyNumberFormat="1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166" fontId="1" fillId="4" borderId="10" xfId="0" applyNumberFormat="1" applyFont="1" applyFill="1" applyBorder="1" applyAlignment="1">
      <alignment horizontal="center" vertical="center"/>
    </xf>
    <xf numFmtId="166" fontId="1" fillId="9" borderId="2" xfId="0" applyNumberFormat="1" applyFont="1" applyFill="1" applyBorder="1" applyAlignment="1">
      <alignment horizontal="center" vertical="center"/>
    </xf>
    <xf numFmtId="164" fontId="1" fillId="4" borderId="10" xfId="0" applyNumberFormat="1" applyFont="1" applyFill="1" applyBorder="1" applyAlignment="1">
      <alignment horizontal="center" vertical="center"/>
    </xf>
    <xf numFmtId="164" fontId="1" fillId="9" borderId="2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79">
    <dxf>
      <fill>
        <patternFill>
          <bgColor rgb="FFFF00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yyyy/mm/dd;@"/>
      <alignment horizontal="center" vertical="center" textRotation="0" wrapText="0" indent="0" justifyLastLine="0" shrinkToFit="0" readingOrder="0"/>
    </dxf>
    <dxf>
      <numFmt numFmtId="164" formatCode="yyyy/mm/dd;@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yyyy/mm/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/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yyyy/mm/dd;@"/>
      <fill>
        <patternFill patternType="solid">
          <fgColor indexed="64"/>
          <bgColor rgb="FFDD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[$-1970000]B2yyyy/mm/dd;@"/>
      <fill>
        <patternFill patternType="solid">
          <fgColor indexed="64"/>
          <bgColor rgb="FFDD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numFmt numFmtId="164" formatCode="yyyy/mm/dd;@"/>
      <fill>
        <patternFill patternType="solid">
          <fgColor indexed="64"/>
          <bgColor rgb="FFFFEB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[$-1970000]B2yyyy/mm/dd;@"/>
      <fill>
        <patternFill patternType="solid">
          <fgColor indexed="64"/>
          <bgColor rgb="FFFFEB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numFmt numFmtId="164" formatCode="yyyy/mm/dd;@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yyyy/mm/dd;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 [$⃁-401]\ * #,##0.00_ ;_ [$⃁-401]\ * \-#,##0.00_ ;_ [$⃁-401]\ * &quot;-&quot;??_ ;_ @_ 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 [$⃁-401]\ * #,##0.00_ ;_ [$⃁-401]\ * \-#,##0.00_ ;_ [$⃁-401]\ * &quot;-&quot;??_ ;_ @_ 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yyyy/mm/dd;@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yyyy/mm/dd;@"/>
      <alignment horizontal="center" vertical="center" textRotation="0" wrapText="0" indent="0" justifyLastLine="0" shrinkToFit="0" readingOrder="0"/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yyyy/mm/dd;@"/>
      <alignment horizontal="center" vertical="center" textRotation="0" wrapText="0" indent="0" justifyLastLine="0" shrinkToFit="0" readingOrder="0"/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b val="0"/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/>
        <bottom/>
      </border>
    </dxf>
  </dxfs>
  <tableStyles count="0" defaultTableStyle="TableStyleMedium2" defaultPivotStyle="PivotStyleLight16"/>
  <colors>
    <mruColors>
      <color rgb="FF66FF66"/>
      <color rgb="FFE7FFFF"/>
      <color rgb="FFDDFFFF"/>
      <color rgb="FFBDFFFF"/>
      <color rgb="FFFFEBFF"/>
      <color rgb="FFFFDDFF"/>
      <color rgb="FFFFCCFF"/>
      <color rgb="FFFFE1E1"/>
      <color rgb="FFFFC5C6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145DA6-4C5B-4E51-AD92-CFA0EFCD75D7}" name="Table2" displayName="Table2" ref="A2:AU337" totalsRowShown="0" headerRowDxfId="78" dataDxfId="77" tableBorderDxfId="76">
  <autoFilter ref="A2:AU337" xr:uid="{6B145DA6-4C5B-4E51-AD92-CFA0EFCD75D7}"/>
  <tableColumns count="47">
    <tableColumn id="12" xr3:uid="{3C31433A-2416-431A-857E-983DADF5CCFE}" name="القطاع" dataDxfId="75"/>
    <tableColumn id="36" xr3:uid="{7C898398-3BBA-479F-8970-B465702902DD}" name="القسم" dataDxfId="74"/>
    <tableColumn id="30" xr3:uid="{ED9E949A-742C-4E87-B5A5-F3BDEAE22523}" name="المدينة" dataDxfId="73"/>
    <tableColumn id="6" xr3:uid="{4B437E18-502B-4D1E-96D1-5F64F1E41A59}" name="المالك" dataDxfId="72"/>
    <tableColumn id="14" xr3:uid="{5631BFBE-3BFB-448B-8651-905C962FB45C}" name="حالة تم" dataDxfId="71"/>
    <tableColumn id="19" xr3:uid="{588ACD0D-EF77-4C58-B496-4DF80815DB80}" name="السجل" dataDxfId="70" dataCellStyle="Comma"/>
    <tableColumn id="2" xr3:uid="{00947EBA-CF91-4827-98C0-A5083DB87D36}" name="رقم اللوحة" dataDxfId="69" dataCellStyle="Comma"/>
    <tableColumn id="3" xr3:uid="{D630171A-7323-4D99-8C36-F19F17D0C836}" name="رقم الهيكل" dataDxfId="68" dataCellStyle="Comma"/>
    <tableColumn id="4" xr3:uid="{B5C874AA-155D-4731-86FF-0A0744D769FD}" name="الرقم التسلسلي" dataDxfId="67" dataCellStyle="Comma"/>
    <tableColumn id="1" xr3:uid="{72FECECF-F49D-4AED-A505-E9A44724C2CC}" name="نوع التسجيل" dataDxfId="66"/>
    <tableColumn id="13" xr3:uid="{EDB59E28-4E3C-4C22-B339-825A27D9886E}" name="ماركة المركبة" dataDxfId="65"/>
    <tableColumn id="17" xr3:uid="{62C92D96-ACFF-422A-BBDE-9714C935418A}" name="طراز المركبة" dataDxfId="64"/>
    <tableColumn id="5" xr3:uid="{21A6FC46-5724-4EAF-9BD9-75CDF71D0B77}" name="الموديل" dataDxfId="63"/>
    <tableColumn id="16" xr3:uid="{9FC7A8B0-18ED-440E-A6C3-C214870DA100}" name="اللون" dataDxfId="62"/>
    <tableColumn id="47" xr3:uid="{294783E6-04EB-462D-ABE8-CE2D77F674CD}" name="اسم المفوض" dataDxfId="61"/>
    <tableColumn id="46" xr3:uid="{57648A40-BA27-4A5B-A88A-D89791D4CDFD}" name="رقم الاقامة" dataDxfId="60" dataCellStyle="Comma"/>
    <tableColumn id="34" xr3:uid="{93F2FEDC-D215-4B75-8A2D-AFFEDF79218D}" name="رقم التفويض" dataDxfId="59" dataCellStyle="Comma"/>
    <tableColumn id="48" xr3:uid="{FCB026CD-60FA-47CA-A094-3CCCE5E5FB68}" name="تاريخ بداية التفويض" dataDxfId="58"/>
    <tableColumn id="49" xr3:uid="{4351AE30-42A7-4344-8C45-3E4439DA73CD}" name="تاريخ نهاية التفويض" dataDxfId="57"/>
    <tableColumn id="43" xr3:uid="{C21972BE-73E7-4F70-9443-7441FF871AD8}" name="الايام المتبقية علي نهاية التفويض" dataDxfId="56">
      <calculatedColumnFormula>IF(Table2[[#This Row],[تاريخ نهاية التفويض]]="","",IFERROR(_xlfn.DAYS(Table2[[#This Row],[تاريخ نهاية التفويض]],TODAY()),""))</calculatedColumnFormula>
    </tableColumn>
    <tableColumn id="9" xr3:uid="{74346F80-C4ED-49D0-AC70-EA589859143A}" name="رقم وثيقة التأمين" dataDxfId="55"/>
    <tableColumn id="10" xr3:uid="{A20A01DC-A585-4BE2-88E5-51E8440F3736}" name="تاريخ انتهاء التأمين" dataDxfId="54"/>
    <tableColumn id="11" xr3:uid="{5674E214-BC98-49E5-B6A4-9E5CD47D9FF0}" name="الايام المتبقية علي انتهاء التأمين" dataDxfId="53">
      <calculatedColumnFormula>IF(Table2[[#This Row],[تاريخ انتهاء التأمين]]="","",IFERROR(_xlfn.DAYS(Table2[[#This Row],[تاريخ انتهاء التأمين]],TODAY()),""))</calculatedColumnFormula>
    </tableColumn>
    <tableColumn id="8" xr3:uid="{444AC766-3F24-4A49-B9A8-C048FB48EFFE}" name="شركة التأمين" dataDxfId="52"/>
    <tableColumn id="15" xr3:uid="{778329D8-E90C-4CFB-8904-6E6FFC0BD6F7}" name="نوع التأمين" dataDxfId="51"/>
    <tableColumn id="7" xr3:uid="{4F3923F7-DF44-416D-819F-0A3ED487620B}" name="قيمة التأمين" dataDxfId="50" dataCellStyle="Comma"/>
    <tableColumn id="20" xr3:uid="{AECA429D-FDF9-42C4-BDF4-2BC7C6CA9376}" name="شريحة بترو اب" dataDxfId="49"/>
    <tableColumn id="40" xr3:uid="{2B29512E-9010-4077-8654-B09218F6A7B8}" name="رقم اللوحة في فاتورة بترو اب" dataDxfId="48"/>
    <tableColumn id="21" xr3:uid="{FC4DBAB9-C6DD-43A2-95A1-4FD6A49B89E8}" name="حالة الشريحة" dataDxfId="47"/>
    <tableColumn id="29" xr3:uid="{C265A978-A4EE-4D76-BF33-91A6A8F9D535}" name="نوع الاستهلاك" dataDxfId="46"/>
    <tableColumn id="27" xr3:uid="{5AC2561C-B57E-498A-9921-B3CC232AF595}" name="حد الاستهلاك" dataDxfId="45"/>
    <tableColumn id="22" xr3:uid="{4D448DD5-9C2E-4657-936D-CEBE5678B192}" name="جهاز GPS" dataDxfId="44"/>
    <tableColumn id="24" xr3:uid="{DD853660-C250-43C9-AB21-0A57ED725C67}" name="حالة جهاز GPS" dataDxfId="43"/>
    <tableColumn id="25" xr3:uid="{83580B15-8143-4249-98D2-71C275E37DBF}" name="شركة ال GPS" dataDxfId="42"/>
    <tableColumn id="23" xr3:uid="{6BAAE137-23ED-4B77-85DC-3A84CD611C0D}" name="سريال GPS" dataDxfId="41"/>
    <tableColumn id="26" xr3:uid="{1BD347A9-B044-4F1E-AB14-3ED55063363B}" name="تاريخ انتهاء ال GPS" dataDxfId="40"/>
    <tableColumn id="32" xr3:uid="{9A1D5F5E-FA05-45C6-88A3-0C3AB1C04DD1}" name="الايام المتبقية علي انتهاء ال GPS" dataDxfId="39">
      <calculatedColumnFormula>IF(Table2[[#This Row],[تاريخ انتهاء ال GPS]]="","",IFERROR(_xlfn.DAYS(Table2[[#This Row],[تاريخ انتهاء ال GPS]],TODAY()),""))</calculatedColumnFormula>
    </tableColumn>
    <tableColumn id="18" xr3:uid="{59A7462A-3311-4961-9F21-87D7BF5C5949}" name="بطاقة التشغيل" dataDxfId="38"/>
    <tableColumn id="38" xr3:uid="{373CCA2E-94C4-4BBA-95AF-6B196DE8D2A7}" name="تاريخ انتهاء بطاقة التشغيل" dataDxfId="37"/>
    <tableColumn id="42" xr3:uid="{B6BCE4ED-A2CE-48F6-B3D0-35F2422E2E06}" name="الايام المتبقية علي انتهاء بطاقة التشغيل" dataDxfId="36">
      <calculatedColumnFormula>IF(Table2[[#This Row],[تاريخ انتهاء بطاقة التشغيل]]="","",IFERROR(_xlfn.DAYS(Table2[[#This Row],[تاريخ انتهاء بطاقة التشغيل]],TODAY()),""))</calculatedColumnFormula>
    </tableColumn>
    <tableColumn id="33" xr3:uid="{194A2A16-8A1C-4A1A-931A-38175E7147FE}" name="تاريخ انتهاء رخصة السير هجري" dataDxfId="35"/>
    <tableColumn id="28" xr3:uid="{2BA9F2B0-DF87-4AB4-A0CF-CA610A627274}" name="تاريخ انتهاء رخصة السير ميلادي" dataDxfId="34"/>
    <tableColumn id="39" xr3:uid="{A5903454-22C6-4CAB-9996-3F522EFD5F98}" name="الايام المتبقية علي انتهاء رخصة السير" dataDxfId="33">
      <calculatedColumnFormula>IF(Table2[[#This Row],[تاريخ انتهاء رخصة السير ميلادي]]="","",IFERROR(_xlfn.DAYS(Table2[[#This Row],[تاريخ انتهاء رخصة السير ميلادي]],TODAY()),""))</calculatedColumnFormula>
    </tableColumn>
    <tableColumn id="35" xr3:uid="{C0D0BEC7-D44E-4428-817E-CDD23CC965EB}" name="تاريخ انتهاء الفحص هجري" dataDxfId="32"/>
    <tableColumn id="37" xr3:uid="{E2611990-2CBB-4B15-BAA2-FBBC8B63804A}" name="تاريخ انتهاء الفحص ميلادي" dataDxfId="31"/>
    <tableColumn id="41" xr3:uid="{84E400E1-13E5-4B78-850F-A90457D17023}" name="الايام المتبقية علي انتهاء الفحص" dataDxfId="30">
      <calculatedColumnFormula>IF(Table2[[#This Row],[تاريخ انتهاء الفحص ميلادي]]="","",IFERROR(_xlfn.DAYS(Table2[[#This Row],[تاريخ انتهاء الفحص ميلادي]],TODAY()),""))</calculatedColumnFormula>
    </tableColumn>
    <tableColumn id="31" xr3:uid="{59229C64-E0B4-45C3-9345-52AF2FF770B1}" name="الملاحظات" dataDxfId="29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ACAF9-3BC1-4438-A23E-E08F026B59D2}" name="Table1" displayName="Table1" ref="A1:R27" totalsRowShown="0" headerRowDxfId="28" dataDxfId="26" headerRowBorderDxfId="27" tableBorderDxfId="25">
  <autoFilter ref="A1:R27" xr:uid="{D13ACAF9-3BC1-4438-A23E-E08F026B59D2}"/>
  <sortState xmlns:xlrd2="http://schemas.microsoft.com/office/spreadsheetml/2017/richdata2" ref="A2:R27">
    <sortCondition ref="G1:G27"/>
  </sortState>
  <tableColumns count="18">
    <tableColumn id="1" xr3:uid="{8C32423C-6F38-4570-A723-DF1D8AC49E6D}" name="رقم السيارة " dataDxfId="24"/>
    <tableColumn id="2" xr3:uid="{EE31825D-A6DD-4C6A-84CD-66529142EB76}" name="النوع" dataDxfId="23"/>
    <tableColumn id="3" xr3:uid="{9C725545-6B5F-46AB-9E58-BBEE0EB6C44D}" name="سجل المالك" dataDxfId="22"/>
    <tableColumn id="4" xr3:uid="{D6CA1DBB-6455-4C34-B123-54F445FF8366}" name="اسم طرف الحادث" dataDxfId="21"/>
    <tableColumn id="5" xr3:uid="{4B4CE0EC-7D2D-4009-B019-447E554186B8}" name="رقم الهوية" dataDxfId="20"/>
    <tableColumn id="6" xr3:uid="{78DA27ED-17CF-4790-A800-E9DF1C04DEAC}" name="نسبة الخطأ" dataDxfId="19"/>
    <tableColumn id="7" xr3:uid="{BCBFD609-C439-49A2-B148-A022899B100F}" name="تاريخ الحادث" dataDxfId="18"/>
    <tableColumn id="8" xr3:uid="{2547E553-8B24-48C5-A139-40FEFD4FDD06}" name="مباشرة الحادث" dataDxfId="17"/>
    <tableColumn id="9" xr3:uid="{B8F0C036-83EC-47C6-A3DA-F67EF569EACF}" name="رقم الحادث" dataDxfId="16"/>
    <tableColumn id="10" xr3:uid="{E125FE28-F9C3-4EE9-A148-6CBE77CE5673}" name="رقم التقرير / التقدير" dataDxfId="15"/>
    <tableColumn id="11" xr3:uid="{F6F4136D-11DA-4B0D-BE34-1F5D47395160}" name=" الشركة المطالبة " dataDxfId="14"/>
    <tableColumn id="12" xr3:uid="{0DD4CA35-1BE5-4C57-8025-1C40321EA4CA}" name="رقم المطالبة" dataDxfId="13"/>
    <tableColumn id="13" xr3:uid="{3B2A41AE-47CA-4C6B-812D-AC2761127417}" name="ملاحظات المطالبة" dataDxfId="12"/>
    <tableColumn id="16" xr3:uid="{6C9573C4-231D-4074-9DB2-C3A4F183FD98}" name="تاريخ اخر ملاحظة" dataDxfId="11"/>
    <tableColumn id="18" xr3:uid="{F7FCB1BF-FADE-49CF-A0A0-421E85CFB007}" name="تاريخ اخر موقف مع شركة التامين" dataDxfId="10"/>
    <tableColumn id="14" xr3:uid="{32AA1821-B5BD-4A84-B4FD-F0D7659ADB07}" name="قيمة التقدير" dataDxfId="9" dataCellStyle="Comma"/>
    <tableColumn id="15" xr3:uid="{6725B2BC-93B1-4BCF-9695-0CCA3F48AF8D}" name="المتوقع تحصيلة" dataDxfId="8" dataCellStyle="Comma"/>
    <tableColumn id="17" xr3:uid="{DD7710D2-9BA1-4821-A33F-FB97BBB8EE1D}" name="الحالة" dataDxfId="7" dataCellStyle="Comma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09" row="6">
    <wetp:webextensionref xmlns:r="http://schemas.openxmlformats.org/officeDocument/2006/relationships" r:id="rId1"/>
  </wetp:taskpane>
  <wetp:taskpane dockstate="right" visibility="0" width="438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8678974-B7D0-4614-B31F-4E61AE3594E4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608b649f-3e02-4b7d-bbaf-4dfdb2e6ea63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E203603-3FA4-4FE3-BF11-E13D45BE6A19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5ea3d5d6-956e-45d3-89a1-a11f3c2bdd3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42"/>
  <sheetViews>
    <sheetView rightToLeft="1" tabSelected="1" topLeftCell="I1" zoomScale="97" zoomScaleNormal="100" workbookViewId="0">
      <pane ySplit="2" topLeftCell="A3" activePane="bottomLeft" state="frozen"/>
      <selection pane="bottomLeft" activeCell="Q9" sqref="Q9"/>
    </sheetView>
  </sheetViews>
  <sheetFormatPr defaultColWidth="8.77734375" defaultRowHeight="14.4" x14ac:dyDescent="0.3"/>
  <cols>
    <col min="1" max="1" width="10.5546875" style="1" bestFit="1" customWidth="1"/>
    <col min="2" max="2" width="12.77734375" style="1" customWidth="1"/>
    <col min="3" max="3" width="11.109375" style="1" customWidth="1"/>
    <col min="4" max="4" width="45.6640625" style="1" customWidth="1"/>
    <col min="5" max="5" width="11.33203125" style="1" customWidth="1"/>
    <col min="6" max="6" width="11.33203125" style="3" customWidth="1"/>
    <col min="7" max="7" width="13.6640625" style="4" customWidth="1"/>
    <col min="8" max="8" width="22.44140625" style="1" bestFit="1" customWidth="1"/>
    <col min="9" max="9" width="17" style="1" bestFit="1" customWidth="1"/>
    <col min="10" max="11" width="15.21875" style="1" bestFit="1" customWidth="1"/>
    <col min="12" max="12" width="14.6640625" style="1" customWidth="1"/>
    <col min="13" max="13" width="11.33203125" style="2" customWidth="1"/>
    <col min="14" max="14" width="9.5546875" style="1" bestFit="1" customWidth="1"/>
    <col min="15" max="15" width="48.21875" style="1" bestFit="1" customWidth="1"/>
    <col min="16" max="16" width="13.6640625" style="3" customWidth="1"/>
    <col min="17" max="17" width="16.5546875" style="1" bestFit="1" customWidth="1"/>
    <col min="18" max="19" width="21.109375" style="1" customWidth="1"/>
    <col min="20" max="20" width="31.109375" style="1" customWidth="1"/>
    <col min="21" max="21" width="28" customWidth="1"/>
    <col min="22" max="22" width="19.88671875" style="1" customWidth="1"/>
    <col min="23" max="23" width="29.88671875" style="2" bestFit="1" customWidth="1"/>
    <col min="24" max="24" width="14.77734375" style="3" customWidth="1"/>
    <col min="25" max="25" width="16.109375" style="1" customWidth="1"/>
    <col min="26" max="26" width="20.21875" style="1" customWidth="1"/>
    <col min="27" max="27" width="16.6640625" style="1" customWidth="1"/>
    <col min="28" max="28" width="27.21875" style="1" customWidth="1"/>
    <col min="29" max="29" width="15.6640625" style="1" customWidth="1"/>
    <col min="30" max="31" width="16.44140625" style="1" customWidth="1"/>
    <col min="32" max="32" width="19.6640625" style="1" customWidth="1"/>
    <col min="33" max="33" width="17.88671875" style="1" customWidth="1"/>
    <col min="34" max="34" width="16.44140625" style="1" customWidth="1"/>
    <col min="35" max="35" width="16.5546875" style="4" customWidth="1"/>
    <col min="36" max="36" width="20.88671875" style="3" customWidth="1"/>
    <col min="37" max="37" width="30.88671875" style="2" bestFit="1" customWidth="1"/>
    <col min="38" max="38" width="16.5546875" style="2" customWidth="1"/>
    <col min="39" max="39" width="26.33203125" style="3" customWidth="1"/>
    <col min="40" max="40" width="36.21875" style="1" bestFit="1" customWidth="1"/>
    <col min="41" max="41" width="30.21875" style="2" customWidth="1"/>
    <col min="42" max="42" width="30.6640625" style="3" customWidth="1"/>
    <col min="43" max="43" width="34.6640625" style="2" bestFit="1" customWidth="1"/>
    <col min="44" max="44" width="26.5546875" style="2" customWidth="1"/>
    <col min="45" max="45" width="27" style="1" customWidth="1"/>
    <col min="46" max="46" width="30.88671875" style="25" bestFit="1" customWidth="1"/>
    <col min="47" max="47" width="49.44140625" style="1" bestFit="1" customWidth="1"/>
    <col min="48" max="48" width="49.44140625" style="3" bestFit="1" customWidth="1"/>
    <col min="49" max="49" width="40.44140625" style="1" bestFit="1" customWidth="1"/>
    <col min="50" max="55" width="8.77734375" style="1"/>
    <col min="56" max="56" width="20.44140625" style="1" bestFit="1" customWidth="1"/>
    <col min="57" max="58" width="15.33203125" style="1" bestFit="1" customWidth="1"/>
    <col min="59" max="59" width="14.6640625" style="1" bestFit="1" customWidth="1"/>
    <col min="60" max="60" width="13.6640625" style="3" bestFit="1" customWidth="1"/>
    <col min="61" max="61" width="9.33203125" style="1" bestFit="1" customWidth="1"/>
    <col min="62" max="62" width="13.33203125" style="1" bestFit="1" customWidth="1"/>
    <col min="63" max="67" width="8.77734375" style="1"/>
    <col min="68" max="69" width="34.44140625" style="1" bestFit="1" customWidth="1"/>
    <col min="70" max="16384" width="8.77734375" style="1"/>
  </cols>
  <sheetData>
    <row r="1" spans="1:60" s="34" customFormat="1" ht="15.6" x14ac:dyDescent="0.3">
      <c r="A1" s="20">
        <f>SUBTOTAL(3,Table2[القطاع])</f>
        <v>335</v>
      </c>
      <c r="B1" s="20">
        <f>SUBTOTAL(3,Table2[القسم])</f>
        <v>335</v>
      </c>
      <c r="C1" s="20">
        <f>SUBTOTAL(3,Table2[المدينة])</f>
        <v>335</v>
      </c>
      <c r="D1" s="20">
        <f>SUBTOTAL(3,Table2[المالك])</f>
        <v>335</v>
      </c>
      <c r="E1" s="20">
        <f>SUBTOTAL(3,Table2[حالة تم])</f>
        <v>335</v>
      </c>
      <c r="F1" s="20">
        <f>SUBTOTAL(3,Table2[السجل])</f>
        <v>335</v>
      </c>
      <c r="G1" s="20">
        <f>SUBTOTAL(3,Table2[رقم اللوحة])</f>
        <v>335</v>
      </c>
      <c r="H1" s="20">
        <f>SUBTOTAL(3,Table2[رقم الهيكل])</f>
        <v>335</v>
      </c>
      <c r="I1" s="20">
        <f>SUBTOTAL(3,Table2[الرقم التسلسلي])</f>
        <v>335</v>
      </c>
      <c r="J1" s="20">
        <f>SUBTOTAL(3,Table2[نوع التسجيل])</f>
        <v>335</v>
      </c>
      <c r="K1" s="20">
        <f>SUBTOTAL(3,Table2[ماركة المركبة])</f>
        <v>335</v>
      </c>
      <c r="L1" s="20">
        <f>SUBTOTAL(3,Table2[طراز المركبة])</f>
        <v>335</v>
      </c>
      <c r="M1" s="20">
        <f>SUBTOTAL(3,Table2[الموديل])</f>
        <v>335</v>
      </c>
      <c r="N1" s="20">
        <f>SUBTOTAL(3,Table2[اللون])</f>
        <v>335</v>
      </c>
      <c r="O1" s="20">
        <f>SUBTOTAL(3,Table2[اسم المفوض])</f>
        <v>335</v>
      </c>
      <c r="P1" s="20">
        <f>SUBTOTAL(3,Table2[رقم الاقامة])</f>
        <v>335</v>
      </c>
      <c r="Q1" s="20">
        <f>SUBTOTAL(3,Table2[رقم التفويض])</f>
        <v>335</v>
      </c>
      <c r="R1" s="20">
        <f>SUBTOTAL(3,Table2[تاريخ بداية التفويض])</f>
        <v>335</v>
      </c>
      <c r="S1" s="20">
        <f>SUBTOTAL(3,Table2[تاريخ نهاية التفويض])</f>
        <v>335</v>
      </c>
      <c r="T1" s="20">
        <f ca="1">SUBTOTAL(3,Table2[الايام المتبقية علي نهاية التفويض])</f>
        <v>335</v>
      </c>
      <c r="U1" s="20">
        <f>SUBTOTAL(3,Table2[رقم وثيقة التأمين])</f>
        <v>335</v>
      </c>
      <c r="V1" s="20">
        <f>SUBTOTAL(3,Table2[تاريخ انتهاء التأمين])</f>
        <v>335</v>
      </c>
      <c r="W1" s="20">
        <f ca="1">SUBTOTAL(3,Table2[الايام المتبقية علي انتهاء التأمين])</f>
        <v>335</v>
      </c>
      <c r="X1" s="20">
        <f>SUBTOTAL(3,Table2[شركة التأمين])</f>
        <v>335</v>
      </c>
      <c r="Y1" s="20">
        <f>SUBTOTAL(3,Table2[نوع التأمين])</f>
        <v>335</v>
      </c>
      <c r="Z1" s="20">
        <f>SUBTOTAL(3,Table2[قيمة التأمين])</f>
        <v>335</v>
      </c>
      <c r="AA1" s="20">
        <f>SUBTOTAL(3,Table2[شريحة بترو اب])</f>
        <v>335</v>
      </c>
      <c r="AB1" s="20">
        <f>SUBTOTAL(3,Table2[رقم اللوحة في فاتورة بترو اب])</f>
        <v>335</v>
      </c>
      <c r="AC1" s="20">
        <f>SUBTOTAL(3,Table2[حالة الشريحة])</f>
        <v>335</v>
      </c>
      <c r="AD1" s="20">
        <f>SUBTOTAL(3,Table2[نوع الاستهلاك])</f>
        <v>335</v>
      </c>
      <c r="AE1" s="20">
        <f>SUBTOTAL(3,Table2[حد الاستهلاك])</f>
        <v>335</v>
      </c>
      <c r="AF1" s="20">
        <f>SUBTOTAL(3,Table2[جهاز GPS])</f>
        <v>335</v>
      </c>
      <c r="AG1" s="20">
        <f>SUBTOTAL(3,Table2[حالة جهاز GPS])</f>
        <v>335</v>
      </c>
      <c r="AH1" s="20">
        <f>SUBTOTAL(3,Table2[شركة ال GPS])</f>
        <v>335</v>
      </c>
      <c r="AI1" s="20">
        <f>SUBTOTAL(3,Table2[سريال GPS])</f>
        <v>335</v>
      </c>
      <c r="AJ1" s="20">
        <f>SUBTOTAL(3,Table2[تاريخ انتهاء ال GPS])</f>
        <v>335</v>
      </c>
      <c r="AK1" s="20">
        <f ca="1">SUBTOTAL(3,Table2[الايام المتبقية علي انتهاء ال GPS])</f>
        <v>335</v>
      </c>
      <c r="AL1" s="20">
        <f>SUBTOTAL(3,Table2[بطاقة التشغيل])</f>
        <v>335</v>
      </c>
      <c r="AM1" s="20">
        <f>SUBTOTAL(3,Table2[تاريخ انتهاء بطاقة التشغيل])</f>
        <v>335</v>
      </c>
      <c r="AN1" s="20">
        <f ca="1">SUBTOTAL(3,Table2[الايام المتبقية علي انتهاء بطاقة التشغيل])</f>
        <v>335</v>
      </c>
      <c r="AO1" s="20">
        <f>SUBTOTAL(3,Table2[تاريخ انتهاء رخصة السير هجري])</f>
        <v>335</v>
      </c>
      <c r="AP1" s="20">
        <f>SUBTOTAL(3,Table2[تاريخ انتهاء رخصة السير ميلادي])</f>
        <v>335</v>
      </c>
      <c r="AQ1" s="20">
        <f ca="1">SUBTOTAL(3,Table2[الايام المتبقية علي انتهاء رخصة السير])</f>
        <v>335</v>
      </c>
      <c r="AR1" s="20">
        <f>SUBTOTAL(3,Table2[تاريخ انتهاء الفحص هجري])</f>
        <v>335</v>
      </c>
      <c r="AS1" s="20">
        <f>SUBTOTAL(3,Table2[تاريخ انتهاء الفحص ميلادي])</f>
        <v>335</v>
      </c>
      <c r="AT1" s="20">
        <f ca="1">SUBTOTAL(3,Table2[الايام المتبقية علي انتهاء الفحص])</f>
        <v>335</v>
      </c>
      <c r="AU1" s="20">
        <f>SUBTOTAL(3,Table2[الملاحظات])</f>
        <v>81</v>
      </c>
    </row>
    <row r="2" spans="1:60" s="34" customFormat="1" ht="15.6" x14ac:dyDescent="0.3">
      <c r="A2" s="36" t="s">
        <v>0</v>
      </c>
      <c r="B2" s="36" t="s">
        <v>1178</v>
      </c>
      <c r="C2" s="36" t="s">
        <v>1186</v>
      </c>
      <c r="D2" s="36" t="s">
        <v>14</v>
      </c>
      <c r="E2" s="36" t="s">
        <v>1129</v>
      </c>
      <c r="F2" s="37" t="s">
        <v>1127</v>
      </c>
      <c r="G2" s="36" t="s">
        <v>6</v>
      </c>
      <c r="H2" s="36" t="s">
        <v>7</v>
      </c>
      <c r="I2" s="36" t="s">
        <v>8</v>
      </c>
      <c r="J2" s="36" t="s">
        <v>1</v>
      </c>
      <c r="K2" s="36" t="s">
        <v>2</v>
      </c>
      <c r="L2" s="36" t="s">
        <v>3</v>
      </c>
      <c r="M2" s="37" t="s">
        <v>4</v>
      </c>
      <c r="N2" s="36" t="s">
        <v>5</v>
      </c>
      <c r="O2" s="36" t="s">
        <v>1550</v>
      </c>
      <c r="P2" s="37" t="s">
        <v>1485</v>
      </c>
      <c r="Q2" s="36" t="s">
        <v>1549</v>
      </c>
      <c r="R2" s="38" t="s">
        <v>1547</v>
      </c>
      <c r="S2" s="38" t="s">
        <v>1548</v>
      </c>
      <c r="T2" s="36" t="s">
        <v>2001</v>
      </c>
      <c r="U2" s="36" t="s">
        <v>9</v>
      </c>
      <c r="V2" s="38" t="s">
        <v>1017</v>
      </c>
      <c r="W2" s="37" t="s">
        <v>1135</v>
      </c>
      <c r="X2" s="36" t="s">
        <v>11</v>
      </c>
      <c r="Y2" s="36" t="s">
        <v>12</v>
      </c>
      <c r="Z2" s="36" t="s">
        <v>13</v>
      </c>
      <c r="AA2" s="36" t="s">
        <v>821</v>
      </c>
      <c r="AB2" s="36" t="s">
        <v>1477</v>
      </c>
      <c r="AC2" s="36" t="s">
        <v>822</v>
      </c>
      <c r="AD2" s="36" t="s">
        <v>927</v>
      </c>
      <c r="AE2" s="36" t="s">
        <v>928</v>
      </c>
      <c r="AF2" s="36" t="s">
        <v>823</v>
      </c>
      <c r="AG2" s="36" t="s">
        <v>824</v>
      </c>
      <c r="AH2" s="36" t="s">
        <v>825</v>
      </c>
      <c r="AI2" s="37" t="s">
        <v>1146</v>
      </c>
      <c r="AJ2" s="38" t="s">
        <v>1016</v>
      </c>
      <c r="AK2" s="37" t="s">
        <v>1015</v>
      </c>
      <c r="AL2" s="36" t="s">
        <v>940</v>
      </c>
      <c r="AM2" s="38" t="s">
        <v>1014</v>
      </c>
      <c r="AN2" s="37" t="s">
        <v>1013</v>
      </c>
      <c r="AO2" s="38" t="s">
        <v>999</v>
      </c>
      <c r="AP2" s="38" t="s">
        <v>1000</v>
      </c>
      <c r="AQ2" s="37" t="s">
        <v>1012</v>
      </c>
      <c r="AR2" s="38" t="s">
        <v>1132</v>
      </c>
      <c r="AS2" s="38" t="s">
        <v>1133</v>
      </c>
      <c r="AT2" s="37" t="s">
        <v>1011</v>
      </c>
      <c r="AU2" s="36" t="s">
        <v>10</v>
      </c>
      <c r="BE2" s="35"/>
    </row>
    <row r="3" spans="1:60" x14ac:dyDescent="0.3">
      <c r="A3" s="39" t="s">
        <v>19</v>
      </c>
      <c r="B3" s="39" t="s">
        <v>2000</v>
      </c>
      <c r="C3" s="39" t="s">
        <v>1187</v>
      </c>
      <c r="D3" s="39" t="s">
        <v>17</v>
      </c>
      <c r="E3" s="39" t="s">
        <v>819</v>
      </c>
      <c r="F3" s="40">
        <v>7025667531</v>
      </c>
      <c r="G3" s="41" t="s">
        <v>24</v>
      </c>
      <c r="H3" s="39" t="s">
        <v>25</v>
      </c>
      <c r="I3" s="58">
        <v>59860020</v>
      </c>
      <c r="J3" s="39" t="s">
        <v>20</v>
      </c>
      <c r="K3" s="39" t="s">
        <v>21</v>
      </c>
      <c r="L3" s="39" t="s">
        <v>22</v>
      </c>
      <c r="M3" s="39">
        <v>2023</v>
      </c>
      <c r="N3" s="39" t="s">
        <v>23</v>
      </c>
      <c r="O3" s="39" t="s">
        <v>1800</v>
      </c>
      <c r="P3" s="39">
        <v>2569644962</v>
      </c>
      <c r="Q3" s="39" t="s">
        <v>1582</v>
      </c>
      <c r="R3" s="124">
        <v>46230</v>
      </c>
      <c r="S3" s="124">
        <v>46387</v>
      </c>
      <c r="T3" s="58">
        <f ca="1">IF(Table2[[#This Row],[تاريخ نهاية التفويض]]="","",IFERROR(_xlfn.DAYS(Table2[[#This Row],[تاريخ نهاية التفويض]],TODAY()),""))</f>
        <v>127</v>
      </c>
      <c r="U3" s="42" t="s">
        <v>26</v>
      </c>
      <c r="V3" s="43">
        <v>46393</v>
      </c>
      <c r="W3" s="44">
        <f ca="1">IF(Table2[[#This Row],[تاريخ انتهاء التأمين]]="","",IFERROR(_xlfn.DAYS(Table2[[#This Row],[تاريخ انتهاء التأمين]],TODAY()),""))</f>
        <v>133</v>
      </c>
      <c r="X3" s="42" t="s">
        <v>27</v>
      </c>
      <c r="Y3" s="42" t="s">
        <v>28</v>
      </c>
      <c r="Z3" s="45">
        <v>1180</v>
      </c>
      <c r="AA3" s="46">
        <v>624899</v>
      </c>
      <c r="AB3" s="46" t="s">
        <v>1264</v>
      </c>
      <c r="AC3" s="46" t="s">
        <v>861</v>
      </c>
      <c r="AD3" s="46" t="s">
        <v>938</v>
      </c>
      <c r="AE3" s="47">
        <v>300</v>
      </c>
      <c r="AF3" s="48" t="s">
        <v>1147</v>
      </c>
      <c r="AG3" s="48" t="s">
        <v>861</v>
      </c>
      <c r="AH3" s="48" t="s">
        <v>1149</v>
      </c>
      <c r="AI3" s="90">
        <v>867747078789896</v>
      </c>
      <c r="AJ3" s="89">
        <v>46148</v>
      </c>
      <c r="AK3" s="102">
        <f ca="1">IF(Table2[[#This Row],[تاريخ انتهاء ال GPS]]="","",IFERROR(_xlfn.DAYS(Table2[[#This Row],[تاريخ انتهاء ال GPS]],TODAY()),""))</f>
        <v>-112</v>
      </c>
      <c r="AL3" s="49" t="s">
        <v>1059</v>
      </c>
      <c r="AM3" s="50">
        <v>46266</v>
      </c>
      <c r="AN3" s="51">
        <f ca="1">IF(Table2[[#This Row],[تاريخ انتهاء بطاقة التشغيل]]="","",IFERROR(_xlfn.DAYS(Table2[[#This Row],[تاريخ انتهاء بطاقة التشغيل]],TODAY()),""))</f>
        <v>6</v>
      </c>
      <c r="AO3" s="80">
        <v>47279</v>
      </c>
      <c r="AP3" s="52">
        <f>Table2[[#This Row],[تاريخ انتهاء رخصة السير هجري]]</f>
        <v>47279</v>
      </c>
      <c r="AQ3" s="53">
        <f ca="1">IF(Table2[[#This Row],[تاريخ انتهاء رخصة السير ميلادي]]="","",IFERROR(_xlfn.DAYS(Table2[[#This Row],[تاريخ انتهاء رخصة السير ميلادي]],TODAY()),""))</f>
        <v>1019</v>
      </c>
      <c r="AR3" s="55">
        <f>Table2[[#This Row],[تاريخ انتهاء الفحص ميلادي]]</f>
        <v>45657</v>
      </c>
      <c r="AS3" s="56">
        <v>45657</v>
      </c>
      <c r="AT3" s="106">
        <f ca="1">IF(Table2[[#This Row],[تاريخ انتهاء الفحص ميلادي]]="","",IFERROR(_xlfn.DAYS(Table2[[#This Row],[تاريخ انتهاء الفحص ميلادي]],TODAY()),""))</f>
        <v>-603</v>
      </c>
      <c r="AU3" s="54"/>
      <c r="AV3" s="1"/>
      <c r="BE3" s="3"/>
      <c r="BH3" s="1"/>
    </row>
    <row r="4" spans="1:60" x14ac:dyDescent="0.3">
      <c r="A4" s="39" t="s">
        <v>19</v>
      </c>
      <c r="B4" s="39" t="s">
        <v>1193</v>
      </c>
      <c r="C4" s="39" t="s">
        <v>1193</v>
      </c>
      <c r="D4" s="39" t="s">
        <v>17</v>
      </c>
      <c r="E4" s="39" t="s">
        <v>819</v>
      </c>
      <c r="F4" s="40">
        <v>7025667531</v>
      </c>
      <c r="G4" s="41" t="s">
        <v>29</v>
      </c>
      <c r="H4" s="39" t="s">
        <v>30</v>
      </c>
      <c r="I4" s="58">
        <v>759860020</v>
      </c>
      <c r="J4" s="39" t="s">
        <v>20</v>
      </c>
      <c r="K4" s="39" t="s">
        <v>21</v>
      </c>
      <c r="L4" s="39" t="s">
        <v>22</v>
      </c>
      <c r="M4" s="39">
        <v>2023</v>
      </c>
      <c r="N4" s="39" t="s">
        <v>23</v>
      </c>
      <c r="O4" s="39" t="s">
        <v>1137</v>
      </c>
      <c r="P4" s="39" t="s">
        <v>1137</v>
      </c>
      <c r="Q4" s="39" t="s">
        <v>1137</v>
      </c>
      <c r="R4" s="124" t="s">
        <v>1137</v>
      </c>
      <c r="S4" s="124" t="s">
        <v>1137</v>
      </c>
      <c r="T4" s="124" t="s">
        <v>1137</v>
      </c>
      <c r="U4" s="42" t="s">
        <v>26</v>
      </c>
      <c r="V4" s="43">
        <v>46393</v>
      </c>
      <c r="W4" s="44">
        <f ca="1">IF(Table2[[#This Row],[تاريخ انتهاء التأمين]]="","",IFERROR(_xlfn.DAYS(Table2[[#This Row],[تاريخ انتهاء التأمين]],TODAY()),""))</f>
        <v>133</v>
      </c>
      <c r="X4" s="42" t="s">
        <v>27</v>
      </c>
      <c r="Y4" s="42" t="s">
        <v>28</v>
      </c>
      <c r="Z4" s="45">
        <v>1180</v>
      </c>
      <c r="AA4" s="46">
        <v>624898</v>
      </c>
      <c r="AB4" s="46" t="s">
        <v>1265</v>
      </c>
      <c r="AC4" s="46" t="s">
        <v>861</v>
      </c>
      <c r="AD4" s="46" t="s">
        <v>938</v>
      </c>
      <c r="AE4" s="47">
        <v>300</v>
      </c>
      <c r="AF4" s="48" t="s">
        <v>1147</v>
      </c>
      <c r="AG4" s="48" t="s">
        <v>861</v>
      </c>
      <c r="AH4" s="48" t="s">
        <v>1149</v>
      </c>
      <c r="AI4" s="90">
        <v>867747071342297</v>
      </c>
      <c r="AJ4" s="89">
        <v>46109</v>
      </c>
      <c r="AK4" s="102">
        <f ca="1">IF(Table2[[#This Row],[تاريخ انتهاء ال GPS]]="","",IFERROR(_xlfn.DAYS(Table2[[#This Row],[تاريخ انتهاء ال GPS]],TODAY()),""))</f>
        <v>-151</v>
      </c>
      <c r="AL4" s="49" t="s">
        <v>1060</v>
      </c>
      <c r="AM4" s="50">
        <v>46266</v>
      </c>
      <c r="AN4" s="51">
        <f ca="1">IF(Table2[[#This Row],[تاريخ انتهاء بطاقة التشغيل]]="","",IFERROR(_xlfn.DAYS(Table2[[#This Row],[تاريخ انتهاء بطاقة التشغيل]],TODAY()),""))</f>
        <v>6</v>
      </c>
      <c r="AO4" s="80">
        <v>47279</v>
      </c>
      <c r="AP4" s="52">
        <f>Table2[[#This Row],[تاريخ انتهاء رخصة السير هجري]]</f>
        <v>47279</v>
      </c>
      <c r="AQ4" s="53">
        <f ca="1">IF(Table2[[#This Row],[تاريخ انتهاء رخصة السير ميلادي]]="","",IFERROR(_xlfn.DAYS(Table2[[#This Row],[تاريخ انتهاء رخصة السير ميلادي]],TODAY()),""))</f>
        <v>1019</v>
      </c>
      <c r="AR4" s="55">
        <v>46408</v>
      </c>
      <c r="AS4" s="56">
        <f>Table2[[#This Row],[تاريخ انتهاء الفحص هجري]]</f>
        <v>46408</v>
      </c>
      <c r="AT4" s="106">
        <f ca="1">IF(Table2[[#This Row],[تاريخ انتهاء الفحص ميلادي]]="","",IFERROR(_xlfn.DAYS(Table2[[#This Row],[تاريخ انتهاء الفحص ميلادي]],TODAY()),""))</f>
        <v>148</v>
      </c>
      <c r="AU4" s="54"/>
      <c r="AV4" s="1"/>
      <c r="BE4" s="3"/>
      <c r="BH4" s="1"/>
    </row>
    <row r="5" spans="1:60" x14ac:dyDescent="0.3">
      <c r="A5" s="39" t="s">
        <v>19</v>
      </c>
      <c r="B5" s="39" t="s">
        <v>2003</v>
      </c>
      <c r="C5" s="39" t="s">
        <v>2004</v>
      </c>
      <c r="D5" s="39" t="s">
        <v>17</v>
      </c>
      <c r="E5" s="39" t="s">
        <v>819</v>
      </c>
      <c r="F5" s="40">
        <v>7025667531</v>
      </c>
      <c r="G5" s="41" t="s">
        <v>31</v>
      </c>
      <c r="H5" s="39" t="s">
        <v>32</v>
      </c>
      <c r="I5" s="58">
        <v>669860020</v>
      </c>
      <c r="J5" s="39" t="s">
        <v>20</v>
      </c>
      <c r="K5" s="39" t="s">
        <v>21</v>
      </c>
      <c r="L5" s="39" t="s">
        <v>22</v>
      </c>
      <c r="M5" s="39">
        <v>2023</v>
      </c>
      <c r="N5" s="39" t="s">
        <v>23</v>
      </c>
      <c r="O5" s="39" t="s">
        <v>1801</v>
      </c>
      <c r="P5" s="39">
        <v>2570719662</v>
      </c>
      <c r="Q5" s="39" t="s">
        <v>1583</v>
      </c>
      <c r="R5" s="124">
        <v>45994</v>
      </c>
      <c r="S5" s="124">
        <v>46327</v>
      </c>
      <c r="T5" s="58">
        <f ca="1">IF(Table2[[#This Row],[تاريخ نهاية التفويض]]="","",IFERROR(_xlfn.DAYS(Table2[[#This Row],[تاريخ نهاية التفويض]],TODAY()),""))</f>
        <v>67</v>
      </c>
      <c r="U5" s="42" t="s">
        <v>26</v>
      </c>
      <c r="V5" s="43">
        <v>46393</v>
      </c>
      <c r="W5" s="44">
        <f ca="1">IF(Table2[[#This Row],[تاريخ انتهاء التأمين]]="","",IFERROR(_xlfn.DAYS(Table2[[#This Row],[تاريخ انتهاء التأمين]],TODAY()),""))</f>
        <v>133</v>
      </c>
      <c r="X5" s="42" t="s">
        <v>27</v>
      </c>
      <c r="Y5" s="42" t="s">
        <v>28</v>
      </c>
      <c r="Z5" s="45">
        <v>1180</v>
      </c>
      <c r="AA5" s="46">
        <v>624923</v>
      </c>
      <c r="AB5" s="46" t="s">
        <v>1266</v>
      </c>
      <c r="AC5" s="46" t="s">
        <v>861</v>
      </c>
      <c r="AD5" s="46" t="s">
        <v>938</v>
      </c>
      <c r="AE5" s="47">
        <v>300</v>
      </c>
      <c r="AF5" s="48" t="s">
        <v>1147</v>
      </c>
      <c r="AG5" s="48" t="s">
        <v>861</v>
      </c>
      <c r="AH5" s="48" t="s">
        <v>1149</v>
      </c>
      <c r="AI5" s="90">
        <v>867747070601990</v>
      </c>
      <c r="AJ5" s="89">
        <v>46110</v>
      </c>
      <c r="AK5" s="102">
        <f ca="1">IF(Table2[[#This Row],[تاريخ انتهاء ال GPS]]="","",IFERROR(_xlfn.DAYS(Table2[[#This Row],[تاريخ انتهاء ال GPS]],TODAY()),""))</f>
        <v>-150</v>
      </c>
      <c r="AL5" s="49" t="s">
        <v>1528</v>
      </c>
      <c r="AM5" s="50">
        <v>46389</v>
      </c>
      <c r="AN5" s="51">
        <f ca="1">IF(Table2[[#This Row],[تاريخ انتهاء بطاقة التشغيل]]="","",IFERROR(_xlfn.DAYS(Table2[[#This Row],[تاريخ انتهاء بطاقة التشغيل]],TODAY()),""))</f>
        <v>129</v>
      </c>
      <c r="AO5" s="80">
        <v>47279</v>
      </c>
      <c r="AP5" s="52">
        <f>Table2[[#This Row],[تاريخ انتهاء رخصة السير هجري]]</f>
        <v>47279</v>
      </c>
      <c r="AQ5" s="53">
        <f ca="1">IF(Table2[[#This Row],[تاريخ انتهاء رخصة السير ميلادي]]="","",IFERROR(_xlfn.DAYS(Table2[[#This Row],[تاريخ انتهاء رخصة السير ميلادي]],TODAY()),""))</f>
        <v>1019</v>
      </c>
      <c r="AR5" s="55">
        <v>46395</v>
      </c>
      <c r="AS5" s="56">
        <f>Table2[[#This Row],[تاريخ انتهاء الفحص هجري]]</f>
        <v>46395</v>
      </c>
      <c r="AT5" s="106">
        <f ca="1">IF(Table2[[#This Row],[تاريخ انتهاء الفحص ميلادي]]="","",IFERROR(_xlfn.DAYS(Table2[[#This Row],[تاريخ انتهاء الفحص ميلادي]],TODAY()),""))</f>
        <v>135</v>
      </c>
      <c r="AU5" s="54"/>
      <c r="AV5" s="1"/>
      <c r="BE5" s="3"/>
      <c r="BH5" s="1"/>
    </row>
    <row r="6" spans="1:60" x14ac:dyDescent="0.3">
      <c r="A6" s="39" t="s">
        <v>19</v>
      </c>
      <c r="B6" s="39" t="s">
        <v>1193</v>
      </c>
      <c r="C6" s="39" t="s">
        <v>1193</v>
      </c>
      <c r="D6" s="39" t="s">
        <v>17</v>
      </c>
      <c r="E6" s="39" t="s">
        <v>819</v>
      </c>
      <c r="F6" s="40">
        <v>7025667531</v>
      </c>
      <c r="G6" s="41" t="s">
        <v>33</v>
      </c>
      <c r="H6" s="39" t="s">
        <v>34</v>
      </c>
      <c r="I6" s="58">
        <v>779860020</v>
      </c>
      <c r="J6" s="39" t="s">
        <v>20</v>
      </c>
      <c r="K6" s="39" t="s">
        <v>21</v>
      </c>
      <c r="L6" s="39" t="s">
        <v>22</v>
      </c>
      <c r="M6" s="39">
        <v>2023</v>
      </c>
      <c r="N6" s="39" t="s">
        <v>23</v>
      </c>
      <c r="O6" s="39" t="s">
        <v>1137</v>
      </c>
      <c r="P6" s="39" t="s">
        <v>1137</v>
      </c>
      <c r="Q6" s="39" t="s">
        <v>1137</v>
      </c>
      <c r="R6" s="124" t="s">
        <v>1137</v>
      </c>
      <c r="S6" s="124" t="s">
        <v>1137</v>
      </c>
      <c r="T6" s="124" t="s">
        <v>1137</v>
      </c>
      <c r="U6" s="42" t="s">
        <v>26</v>
      </c>
      <c r="V6" s="43">
        <v>46393</v>
      </c>
      <c r="W6" s="44">
        <f ca="1">IF(Table2[[#This Row],[تاريخ انتهاء التأمين]]="","",IFERROR(_xlfn.DAYS(Table2[[#This Row],[تاريخ انتهاء التأمين]],TODAY()),""))</f>
        <v>133</v>
      </c>
      <c r="X6" s="42" t="s">
        <v>27</v>
      </c>
      <c r="Y6" s="42" t="s">
        <v>28</v>
      </c>
      <c r="Z6" s="45">
        <v>1180</v>
      </c>
      <c r="AA6" s="46">
        <v>624894</v>
      </c>
      <c r="AB6" s="46" t="s">
        <v>1267</v>
      </c>
      <c r="AC6" s="46" t="s">
        <v>861</v>
      </c>
      <c r="AD6" s="46" t="s">
        <v>938</v>
      </c>
      <c r="AE6" s="47">
        <v>300</v>
      </c>
      <c r="AF6" s="48" t="s">
        <v>1147</v>
      </c>
      <c r="AG6" s="48" t="s">
        <v>861</v>
      </c>
      <c r="AH6" s="48" t="s">
        <v>1149</v>
      </c>
      <c r="AI6" s="90">
        <v>867747078359484</v>
      </c>
      <c r="AJ6" s="89">
        <v>46134</v>
      </c>
      <c r="AK6" s="102">
        <f ca="1">IF(Table2[[#This Row],[تاريخ انتهاء ال GPS]]="","",IFERROR(_xlfn.DAYS(Table2[[#This Row],[تاريخ انتهاء ال GPS]],TODAY()),""))</f>
        <v>-126</v>
      </c>
      <c r="AL6" s="49" t="s">
        <v>1061</v>
      </c>
      <c r="AM6" s="50">
        <v>46266</v>
      </c>
      <c r="AN6" s="51">
        <f ca="1">IF(Table2[[#This Row],[تاريخ انتهاء بطاقة التشغيل]]="","",IFERROR(_xlfn.DAYS(Table2[[#This Row],[تاريخ انتهاء بطاقة التشغيل]],TODAY()),""))</f>
        <v>6</v>
      </c>
      <c r="AO6" s="80">
        <v>47279</v>
      </c>
      <c r="AP6" s="52">
        <f>Table2[[#This Row],[تاريخ انتهاء رخصة السير هجري]]</f>
        <v>47279</v>
      </c>
      <c r="AQ6" s="53">
        <f ca="1">IF(Table2[[#This Row],[تاريخ انتهاء رخصة السير ميلادي]]="","",IFERROR(_xlfn.DAYS(Table2[[#This Row],[تاريخ انتهاء رخصة السير ميلادي]],TODAY()),""))</f>
        <v>1019</v>
      </c>
      <c r="AR6" s="55">
        <v>46395</v>
      </c>
      <c r="AS6" s="56">
        <f>Table2[[#This Row],[تاريخ انتهاء الفحص هجري]]</f>
        <v>46395</v>
      </c>
      <c r="AT6" s="106">
        <f ca="1">IF(Table2[[#This Row],[تاريخ انتهاء الفحص ميلادي]]="","",IFERROR(_xlfn.DAYS(Table2[[#This Row],[تاريخ انتهاء الفحص ميلادي]],TODAY()),""))</f>
        <v>135</v>
      </c>
      <c r="AU6" s="54"/>
      <c r="AV6" s="1"/>
      <c r="BE6" s="3"/>
      <c r="BH6" s="1"/>
    </row>
    <row r="7" spans="1:60" x14ac:dyDescent="0.3">
      <c r="A7" s="39" t="s">
        <v>19</v>
      </c>
      <c r="B7" s="39" t="s">
        <v>2000</v>
      </c>
      <c r="C7" s="39" t="s">
        <v>1187</v>
      </c>
      <c r="D7" s="39" t="s">
        <v>17</v>
      </c>
      <c r="E7" s="39" t="s">
        <v>819</v>
      </c>
      <c r="F7" s="40">
        <v>7025667531</v>
      </c>
      <c r="G7" s="41" t="s">
        <v>35</v>
      </c>
      <c r="H7" s="39" t="s">
        <v>36</v>
      </c>
      <c r="I7" s="58">
        <v>889860020</v>
      </c>
      <c r="J7" s="39" t="s">
        <v>20</v>
      </c>
      <c r="K7" s="39" t="s">
        <v>21</v>
      </c>
      <c r="L7" s="39" t="s">
        <v>22</v>
      </c>
      <c r="M7" s="39">
        <v>2023</v>
      </c>
      <c r="N7" s="39" t="s">
        <v>23</v>
      </c>
      <c r="O7" s="39" t="s">
        <v>1802</v>
      </c>
      <c r="P7" s="58">
        <v>2556809024</v>
      </c>
      <c r="Q7" s="39" t="s">
        <v>1584</v>
      </c>
      <c r="R7" s="124">
        <v>46005</v>
      </c>
      <c r="S7" s="124">
        <v>46327</v>
      </c>
      <c r="T7" s="58">
        <f ca="1">IF(Table2[[#This Row],[تاريخ نهاية التفويض]]="","",IFERROR(_xlfn.DAYS(Table2[[#This Row],[تاريخ نهاية التفويض]],TODAY()),""))</f>
        <v>67</v>
      </c>
      <c r="U7" s="42" t="s">
        <v>26</v>
      </c>
      <c r="V7" s="43">
        <v>46393</v>
      </c>
      <c r="W7" s="44">
        <f ca="1">IF(Table2[[#This Row],[تاريخ انتهاء التأمين]]="","",IFERROR(_xlfn.DAYS(Table2[[#This Row],[تاريخ انتهاء التأمين]],TODAY()),""))</f>
        <v>133</v>
      </c>
      <c r="X7" s="42" t="s">
        <v>27</v>
      </c>
      <c r="Y7" s="42" t="s">
        <v>28</v>
      </c>
      <c r="Z7" s="45">
        <v>1180</v>
      </c>
      <c r="AA7" s="46">
        <v>861706</v>
      </c>
      <c r="AB7" s="46" t="s">
        <v>1268</v>
      </c>
      <c r="AC7" s="46" t="s">
        <v>861</v>
      </c>
      <c r="AD7" s="46" t="s">
        <v>938</v>
      </c>
      <c r="AE7" s="47">
        <v>300</v>
      </c>
      <c r="AF7" s="48" t="s">
        <v>1147</v>
      </c>
      <c r="AG7" s="48" t="s">
        <v>861</v>
      </c>
      <c r="AH7" s="48" t="s">
        <v>1149</v>
      </c>
      <c r="AI7" s="90">
        <v>867747078728795</v>
      </c>
      <c r="AJ7" s="89">
        <v>46139</v>
      </c>
      <c r="AK7" s="102">
        <f ca="1">IF(Table2[[#This Row],[تاريخ انتهاء ال GPS]]="","",IFERROR(_xlfn.DAYS(Table2[[#This Row],[تاريخ انتهاء ال GPS]],TODAY()),""))</f>
        <v>-121</v>
      </c>
      <c r="AL7" s="49" t="s">
        <v>1062</v>
      </c>
      <c r="AM7" s="50">
        <v>46266</v>
      </c>
      <c r="AN7" s="51">
        <f ca="1">IF(Table2[[#This Row],[تاريخ انتهاء بطاقة التشغيل]]="","",IFERROR(_xlfn.DAYS(Table2[[#This Row],[تاريخ انتهاء بطاقة التشغيل]],TODAY()),""))</f>
        <v>6</v>
      </c>
      <c r="AO7" s="80">
        <v>47279</v>
      </c>
      <c r="AP7" s="52">
        <f>Table2[[#This Row],[تاريخ انتهاء رخصة السير هجري]]</f>
        <v>47279</v>
      </c>
      <c r="AQ7" s="53">
        <f ca="1">IF(Table2[[#This Row],[تاريخ انتهاء رخصة السير ميلادي]]="","",IFERROR(_xlfn.DAYS(Table2[[#This Row],[تاريخ انتهاء رخصة السير ميلادي]],TODAY()),""))</f>
        <v>1019</v>
      </c>
      <c r="AR7" s="55">
        <v>46408</v>
      </c>
      <c r="AS7" s="56">
        <f>Table2[[#This Row],[تاريخ انتهاء الفحص هجري]]</f>
        <v>46408</v>
      </c>
      <c r="AT7" s="106">
        <f ca="1">IF(Table2[[#This Row],[تاريخ انتهاء الفحص ميلادي]]="","",IFERROR(_xlfn.DAYS(Table2[[#This Row],[تاريخ انتهاء الفحص ميلادي]],TODAY()),""))</f>
        <v>148</v>
      </c>
      <c r="AU7" s="54"/>
      <c r="AV7" s="1"/>
      <c r="BE7" s="3"/>
      <c r="BH7" s="1"/>
    </row>
    <row r="8" spans="1:60" x14ac:dyDescent="0.3">
      <c r="A8" s="39" t="s">
        <v>19</v>
      </c>
      <c r="B8" s="39" t="s">
        <v>2003</v>
      </c>
      <c r="C8" s="39" t="s">
        <v>2004</v>
      </c>
      <c r="D8" s="39" t="s">
        <v>17</v>
      </c>
      <c r="E8" s="39" t="s">
        <v>819</v>
      </c>
      <c r="F8" s="40">
        <v>7025667531</v>
      </c>
      <c r="G8" s="41" t="s">
        <v>37</v>
      </c>
      <c r="H8" s="39" t="s">
        <v>38</v>
      </c>
      <c r="I8" s="58">
        <v>700960020</v>
      </c>
      <c r="J8" s="39" t="s">
        <v>20</v>
      </c>
      <c r="K8" s="39" t="s">
        <v>21</v>
      </c>
      <c r="L8" s="39" t="s">
        <v>22</v>
      </c>
      <c r="M8" s="39">
        <v>2023</v>
      </c>
      <c r="N8" s="39" t="s">
        <v>23</v>
      </c>
      <c r="O8" s="39" t="s">
        <v>1803</v>
      </c>
      <c r="P8" s="58">
        <v>2573679533</v>
      </c>
      <c r="Q8" s="39" t="s">
        <v>1585</v>
      </c>
      <c r="R8" s="124">
        <v>46210</v>
      </c>
      <c r="S8" s="124">
        <v>46387</v>
      </c>
      <c r="T8" s="58">
        <f ca="1">IF(Table2[[#This Row],[تاريخ نهاية التفويض]]="","",IFERROR(_xlfn.DAYS(Table2[[#This Row],[تاريخ نهاية التفويض]],TODAY()),""))</f>
        <v>127</v>
      </c>
      <c r="U8" s="42" t="s">
        <v>26</v>
      </c>
      <c r="V8" s="43">
        <v>46393</v>
      </c>
      <c r="W8" s="44">
        <f ca="1">IF(Table2[[#This Row],[تاريخ انتهاء التأمين]]="","",IFERROR(_xlfn.DAYS(Table2[[#This Row],[تاريخ انتهاء التأمين]],TODAY()),""))</f>
        <v>133</v>
      </c>
      <c r="X8" s="42" t="s">
        <v>27</v>
      </c>
      <c r="Y8" s="42" t="s">
        <v>28</v>
      </c>
      <c r="Z8" s="45">
        <v>1180</v>
      </c>
      <c r="AA8" s="46">
        <v>624895</v>
      </c>
      <c r="AB8" s="46" t="s">
        <v>1269</v>
      </c>
      <c r="AC8" s="46" t="s">
        <v>861</v>
      </c>
      <c r="AD8" s="46" t="s">
        <v>938</v>
      </c>
      <c r="AE8" s="47">
        <v>300</v>
      </c>
      <c r="AF8" s="48" t="s">
        <v>1147</v>
      </c>
      <c r="AG8" s="48" t="s">
        <v>861</v>
      </c>
      <c r="AH8" s="48" t="s">
        <v>1149</v>
      </c>
      <c r="AI8" s="90">
        <v>864454079675306</v>
      </c>
      <c r="AJ8" s="89">
        <v>46127</v>
      </c>
      <c r="AK8" s="102">
        <f ca="1">IF(Table2[[#This Row],[تاريخ انتهاء ال GPS]]="","",IFERROR(_xlfn.DAYS(Table2[[#This Row],[تاريخ انتهاء ال GPS]],TODAY()),""))</f>
        <v>-133</v>
      </c>
      <c r="AL8" s="49" t="s">
        <v>1529</v>
      </c>
      <c r="AM8" s="50">
        <v>46389</v>
      </c>
      <c r="AN8" s="51">
        <f ca="1">IF(Table2[[#This Row],[تاريخ انتهاء بطاقة التشغيل]]="","",IFERROR(_xlfn.DAYS(Table2[[#This Row],[تاريخ انتهاء بطاقة التشغيل]],TODAY()),""))</f>
        <v>129</v>
      </c>
      <c r="AO8" s="80">
        <v>47279</v>
      </c>
      <c r="AP8" s="52">
        <f>Table2[[#This Row],[تاريخ انتهاء رخصة السير هجري]]</f>
        <v>47279</v>
      </c>
      <c r="AQ8" s="53">
        <f ca="1">IF(Table2[[#This Row],[تاريخ انتهاء رخصة السير ميلادي]]="","",IFERROR(_xlfn.DAYS(Table2[[#This Row],[تاريخ انتهاء رخصة السير ميلادي]],TODAY()),""))</f>
        <v>1019</v>
      </c>
      <c r="AR8" s="55">
        <v>46398</v>
      </c>
      <c r="AS8" s="56">
        <f>Table2[[#This Row],[تاريخ انتهاء الفحص هجري]]</f>
        <v>46398</v>
      </c>
      <c r="AT8" s="106">
        <f ca="1">IF(Table2[[#This Row],[تاريخ انتهاء الفحص ميلادي]]="","",IFERROR(_xlfn.DAYS(Table2[[#This Row],[تاريخ انتهاء الفحص ميلادي]],TODAY()),""))</f>
        <v>138</v>
      </c>
      <c r="AU8" s="54"/>
      <c r="AV8" s="1"/>
      <c r="BE8" s="3"/>
      <c r="BH8" s="1"/>
    </row>
    <row r="9" spans="1:60" x14ac:dyDescent="0.3">
      <c r="A9" s="39" t="s">
        <v>19</v>
      </c>
      <c r="B9" s="39" t="s">
        <v>2003</v>
      </c>
      <c r="C9" s="39" t="s">
        <v>2004</v>
      </c>
      <c r="D9" s="39" t="s">
        <v>17</v>
      </c>
      <c r="E9" s="39" t="s">
        <v>819</v>
      </c>
      <c r="F9" s="40">
        <v>7025667531</v>
      </c>
      <c r="G9" s="41" t="s">
        <v>39</v>
      </c>
      <c r="H9" s="39" t="s">
        <v>40</v>
      </c>
      <c r="I9" s="58">
        <v>39860020</v>
      </c>
      <c r="J9" s="39" t="s">
        <v>20</v>
      </c>
      <c r="K9" s="39" t="s">
        <v>21</v>
      </c>
      <c r="L9" s="39" t="s">
        <v>22</v>
      </c>
      <c r="M9" s="39">
        <v>2023</v>
      </c>
      <c r="N9" s="39" t="s">
        <v>23</v>
      </c>
      <c r="O9" s="39" t="s">
        <v>1804</v>
      </c>
      <c r="P9" s="58">
        <v>2552546232</v>
      </c>
      <c r="Q9" s="39" t="s">
        <v>1586</v>
      </c>
      <c r="R9" s="124">
        <v>45993</v>
      </c>
      <c r="S9" s="124">
        <v>46327</v>
      </c>
      <c r="T9" s="58">
        <f ca="1">IF(Table2[[#This Row],[تاريخ نهاية التفويض]]="","",IFERROR(_xlfn.DAYS(Table2[[#This Row],[تاريخ نهاية التفويض]],TODAY()),""))</f>
        <v>67</v>
      </c>
      <c r="U9" s="42" t="s">
        <v>26</v>
      </c>
      <c r="V9" s="43">
        <v>46393</v>
      </c>
      <c r="W9" s="44">
        <f ca="1">IF(Table2[[#This Row],[تاريخ انتهاء التأمين]]="","",IFERROR(_xlfn.DAYS(Table2[[#This Row],[تاريخ انتهاء التأمين]],TODAY()),""))</f>
        <v>133</v>
      </c>
      <c r="X9" s="42" t="s">
        <v>27</v>
      </c>
      <c r="Y9" s="42" t="s">
        <v>28</v>
      </c>
      <c r="Z9" s="45">
        <v>1180</v>
      </c>
      <c r="AA9" s="46">
        <v>624887</v>
      </c>
      <c r="AB9" s="46" t="s">
        <v>1270</v>
      </c>
      <c r="AC9" s="46" t="s">
        <v>861</v>
      </c>
      <c r="AD9" s="46" t="s">
        <v>938</v>
      </c>
      <c r="AE9" s="47">
        <v>300</v>
      </c>
      <c r="AF9" s="48" t="s">
        <v>1147</v>
      </c>
      <c r="AG9" s="48" t="s">
        <v>861</v>
      </c>
      <c r="AH9" s="48" t="s">
        <v>1149</v>
      </c>
      <c r="AI9" s="90">
        <v>867747074928886</v>
      </c>
      <c r="AJ9" s="89">
        <v>46110</v>
      </c>
      <c r="AK9" s="102">
        <f ca="1">IF(Table2[[#This Row],[تاريخ انتهاء ال GPS]]="","",IFERROR(_xlfn.DAYS(Table2[[#This Row],[تاريخ انتهاء ال GPS]],TODAY()),""))</f>
        <v>-150</v>
      </c>
      <c r="AL9" s="49" t="s">
        <v>1531</v>
      </c>
      <c r="AM9" s="50">
        <v>46389</v>
      </c>
      <c r="AN9" s="51">
        <f ca="1">IF(Table2[[#This Row],[تاريخ انتهاء بطاقة التشغيل]]="","",IFERROR(_xlfn.DAYS(Table2[[#This Row],[تاريخ انتهاء بطاقة التشغيل]],TODAY()),""))</f>
        <v>129</v>
      </c>
      <c r="AO9" s="80">
        <v>47279</v>
      </c>
      <c r="AP9" s="52">
        <f>Table2[[#This Row],[تاريخ انتهاء رخصة السير هجري]]</f>
        <v>47279</v>
      </c>
      <c r="AQ9" s="53">
        <f ca="1">IF(Table2[[#This Row],[تاريخ انتهاء رخصة السير ميلادي]]="","",IFERROR(_xlfn.DAYS(Table2[[#This Row],[تاريخ انتهاء رخصة السير ميلادي]],TODAY()),""))</f>
        <v>1019</v>
      </c>
      <c r="AR9" s="55">
        <v>46402</v>
      </c>
      <c r="AS9" s="56">
        <f>Table2[[#This Row],[تاريخ انتهاء الفحص هجري]]</f>
        <v>46402</v>
      </c>
      <c r="AT9" s="106">
        <f ca="1">IF(Table2[[#This Row],[تاريخ انتهاء الفحص ميلادي]]="","",IFERROR(_xlfn.DAYS(Table2[[#This Row],[تاريخ انتهاء الفحص ميلادي]],TODAY()),""))</f>
        <v>142</v>
      </c>
      <c r="AU9" s="54"/>
      <c r="AV9" s="1"/>
      <c r="BE9" s="3"/>
      <c r="BH9" s="1"/>
    </row>
    <row r="10" spans="1:60" x14ac:dyDescent="0.3">
      <c r="A10" s="39" t="s">
        <v>19</v>
      </c>
      <c r="B10" s="39" t="s">
        <v>2003</v>
      </c>
      <c r="C10" s="39" t="s">
        <v>2004</v>
      </c>
      <c r="D10" s="39" t="s">
        <v>17</v>
      </c>
      <c r="E10" s="39" t="s">
        <v>819</v>
      </c>
      <c r="F10" s="40">
        <v>7025667531</v>
      </c>
      <c r="G10" s="41" t="s">
        <v>41</v>
      </c>
      <c r="H10" s="39" t="s">
        <v>42</v>
      </c>
      <c r="I10" s="58">
        <v>619860020</v>
      </c>
      <c r="J10" s="39" t="s">
        <v>20</v>
      </c>
      <c r="K10" s="39" t="s">
        <v>21</v>
      </c>
      <c r="L10" s="39" t="s">
        <v>22</v>
      </c>
      <c r="M10" s="39">
        <v>2023</v>
      </c>
      <c r="N10" s="39" t="s">
        <v>23</v>
      </c>
      <c r="O10" s="39" t="s">
        <v>1805</v>
      </c>
      <c r="P10" s="58">
        <v>2581879877</v>
      </c>
      <c r="Q10" s="39" t="s">
        <v>1587</v>
      </c>
      <c r="R10" s="124">
        <v>46210</v>
      </c>
      <c r="S10" s="124">
        <v>46387</v>
      </c>
      <c r="T10" s="58">
        <f ca="1">IF(Table2[[#This Row],[تاريخ نهاية التفويض]]="","",IFERROR(_xlfn.DAYS(Table2[[#This Row],[تاريخ نهاية التفويض]],TODAY()),""))</f>
        <v>127</v>
      </c>
      <c r="U10" s="42" t="s">
        <v>26</v>
      </c>
      <c r="V10" s="43">
        <v>46393</v>
      </c>
      <c r="W10" s="44">
        <f ca="1">IF(Table2[[#This Row],[تاريخ انتهاء التأمين]]="","",IFERROR(_xlfn.DAYS(Table2[[#This Row],[تاريخ انتهاء التأمين]],TODAY()),""))</f>
        <v>133</v>
      </c>
      <c r="X10" s="42" t="s">
        <v>27</v>
      </c>
      <c r="Y10" s="42" t="s">
        <v>28</v>
      </c>
      <c r="Z10" s="45">
        <v>1180</v>
      </c>
      <c r="AA10" s="46">
        <v>624889</v>
      </c>
      <c r="AB10" s="46" t="s">
        <v>1271</v>
      </c>
      <c r="AC10" s="46" t="s">
        <v>861</v>
      </c>
      <c r="AD10" s="46" t="s">
        <v>938</v>
      </c>
      <c r="AE10" s="47">
        <v>300</v>
      </c>
      <c r="AF10" s="48" t="s">
        <v>1147</v>
      </c>
      <c r="AG10" s="48" t="s">
        <v>861</v>
      </c>
      <c r="AH10" s="48" t="s">
        <v>1149</v>
      </c>
      <c r="AI10" s="90">
        <v>867747071342578</v>
      </c>
      <c r="AJ10" s="89">
        <v>46109</v>
      </c>
      <c r="AK10" s="102">
        <f ca="1">IF(Table2[[#This Row],[تاريخ انتهاء ال GPS]]="","",IFERROR(_xlfn.DAYS(Table2[[#This Row],[تاريخ انتهاء ال GPS]],TODAY()),""))</f>
        <v>-151</v>
      </c>
      <c r="AL10" s="49" t="s">
        <v>1063</v>
      </c>
      <c r="AM10" s="50">
        <v>46266</v>
      </c>
      <c r="AN10" s="51">
        <f ca="1">IF(Table2[[#This Row],[تاريخ انتهاء بطاقة التشغيل]]="","",IFERROR(_xlfn.DAYS(Table2[[#This Row],[تاريخ انتهاء بطاقة التشغيل]],TODAY()),""))</f>
        <v>6</v>
      </c>
      <c r="AO10" s="80">
        <v>47279</v>
      </c>
      <c r="AP10" s="52">
        <f>Table2[[#This Row],[تاريخ انتهاء رخصة السير هجري]]</f>
        <v>47279</v>
      </c>
      <c r="AQ10" s="53">
        <f ca="1">IF(Table2[[#This Row],[تاريخ انتهاء رخصة السير ميلادي]]="","",IFERROR(_xlfn.DAYS(Table2[[#This Row],[تاريخ انتهاء رخصة السير ميلادي]],TODAY()),""))</f>
        <v>1019</v>
      </c>
      <c r="AR10" s="55">
        <f>Table2[[#This Row],[تاريخ انتهاء الفحص ميلادي]]</f>
        <v>45657</v>
      </c>
      <c r="AS10" s="56">
        <v>45657</v>
      </c>
      <c r="AT10" s="106">
        <f ca="1">IF(Table2[[#This Row],[تاريخ انتهاء الفحص ميلادي]]="","",IFERROR(_xlfn.DAYS(Table2[[#This Row],[تاريخ انتهاء الفحص ميلادي]],TODAY()),""))</f>
        <v>-603</v>
      </c>
      <c r="AU10" s="54"/>
      <c r="AV10" s="1"/>
      <c r="BE10" s="3"/>
      <c r="BH10" s="1"/>
    </row>
    <row r="11" spans="1:60" x14ac:dyDescent="0.3">
      <c r="A11" s="39" t="s">
        <v>19</v>
      </c>
      <c r="B11" s="39" t="s">
        <v>1183</v>
      </c>
      <c r="C11" s="39" t="s">
        <v>1187</v>
      </c>
      <c r="D11" s="39" t="s">
        <v>17</v>
      </c>
      <c r="E11" s="39" t="s">
        <v>819</v>
      </c>
      <c r="F11" s="40">
        <v>7025667531</v>
      </c>
      <c r="G11" s="41" t="s">
        <v>44</v>
      </c>
      <c r="H11" s="39" t="s">
        <v>45</v>
      </c>
      <c r="I11" s="58">
        <v>13060020</v>
      </c>
      <c r="J11" s="39" t="s">
        <v>20</v>
      </c>
      <c r="K11" s="39" t="s">
        <v>22</v>
      </c>
      <c r="L11" s="39" t="s">
        <v>43</v>
      </c>
      <c r="M11" s="39">
        <v>2023</v>
      </c>
      <c r="N11" s="39" t="s">
        <v>23</v>
      </c>
      <c r="O11" s="39" t="s">
        <v>1806</v>
      </c>
      <c r="P11" s="58">
        <v>2558834244</v>
      </c>
      <c r="Q11" s="39" t="s">
        <v>1588</v>
      </c>
      <c r="R11" s="124">
        <v>46005</v>
      </c>
      <c r="S11" s="124">
        <v>46327</v>
      </c>
      <c r="T11" s="58">
        <f ca="1">IF(Table2[[#This Row],[تاريخ نهاية التفويض]]="","",IFERROR(_xlfn.DAYS(Table2[[#This Row],[تاريخ نهاية التفويض]],TODAY()),""))</f>
        <v>67</v>
      </c>
      <c r="U11" s="42" t="s">
        <v>26</v>
      </c>
      <c r="V11" s="43">
        <v>46393</v>
      </c>
      <c r="W11" s="44">
        <f ca="1">IF(Table2[[#This Row],[تاريخ انتهاء التأمين]]="","",IFERROR(_xlfn.DAYS(Table2[[#This Row],[تاريخ انتهاء التأمين]],TODAY()),""))</f>
        <v>133</v>
      </c>
      <c r="X11" s="42" t="s">
        <v>27</v>
      </c>
      <c r="Y11" s="42" t="s">
        <v>28</v>
      </c>
      <c r="Z11" s="45">
        <v>1180</v>
      </c>
      <c r="AA11" s="46">
        <v>624891</v>
      </c>
      <c r="AB11" s="46" t="s">
        <v>1272</v>
      </c>
      <c r="AC11" s="46" t="s">
        <v>861</v>
      </c>
      <c r="AD11" s="46" t="s">
        <v>938</v>
      </c>
      <c r="AE11" s="47">
        <v>300</v>
      </c>
      <c r="AF11" s="48" t="s">
        <v>1147</v>
      </c>
      <c r="AG11" s="48" t="s">
        <v>861</v>
      </c>
      <c r="AH11" s="48" t="s">
        <v>1149</v>
      </c>
      <c r="AI11" s="90">
        <v>867747071401127</v>
      </c>
      <c r="AJ11" s="89">
        <v>46109</v>
      </c>
      <c r="AK11" s="102">
        <f ca="1">IF(Table2[[#This Row],[تاريخ انتهاء ال GPS]]="","",IFERROR(_xlfn.DAYS(Table2[[#This Row],[تاريخ انتهاء ال GPS]],TODAY()),""))</f>
        <v>-151</v>
      </c>
      <c r="AL11" s="49" t="s">
        <v>1018</v>
      </c>
      <c r="AM11" s="50">
        <v>46266</v>
      </c>
      <c r="AN11" s="51">
        <f ca="1">IF(Table2[[#This Row],[تاريخ انتهاء بطاقة التشغيل]]="","",IFERROR(_xlfn.DAYS(Table2[[#This Row],[تاريخ انتهاء بطاقة التشغيل]],TODAY()),""))</f>
        <v>6</v>
      </c>
      <c r="AO11" s="80">
        <v>47274</v>
      </c>
      <c r="AP11" s="52">
        <f>Table2[[#This Row],[تاريخ انتهاء رخصة السير هجري]]</f>
        <v>47274</v>
      </c>
      <c r="AQ11" s="53">
        <f ca="1">IF(Table2[[#This Row],[تاريخ انتهاء رخصة السير ميلادي]]="","",IFERROR(_xlfn.DAYS(Table2[[#This Row],[تاريخ انتهاء رخصة السير ميلادي]],TODAY()),""))</f>
        <v>1014</v>
      </c>
      <c r="AR11" s="55">
        <v>46408</v>
      </c>
      <c r="AS11" s="56">
        <f>Table2[[#This Row],[تاريخ انتهاء الفحص هجري]]</f>
        <v>46408</v>
      </c>
      <c r="AT11" s="106">
        <f ca="1">IF(Table2[[#This Row],[تاريخ انتهاء الفحص ميلادي]]="","",IFERROR(_xlfn.DAYS(Table2[[#This Row],[تاريخ انتهاء الفحص ميلادي]],TODAY()),""))</f>
        <v>148</v>
      </c>
      <c r="AU11" s="54"/>
      <c r="AV11" s="1"/>
      <c r="BE11" s="3"/>
      <c r="BH11" s="1"/>
    </row>
    <row r="12" spans="1:60" x14ac:dyDescent="0.3">
      <c r="A12" s="39" t="s">
        <v>19</v>
      </c>
      <c r="B12" s="39" t="s">
        <v>1183</v>
      </c>
      <c r="C12" s="39" t="s">
        <v>1187</v>
      </c>
      <c r="D12" s="39" t="s">
        <v>17</v>
      </c>
      <c r="E12" s="39" t="s">
        <v>819</v>
      </c>
      <c r="F12" s="40">
        <v>7025667531</v>
      </c>
      <c r="G12" s="41" t="s">
        <v>46</v>
      </c>
      <c r="H12" s="39" t="s">
        <v>47</v>
      </c>
      <c r="I12" s="58">
        <v>172060020</v>
      </c>
      <c r="J12" s="39" t="s">
        <v>20</v>
      </c>
      <c r="K12" s="39" t="s">
        <v>22</v>
      </c>
      <c r="L12" s="39" t="s">
        <v>43</v>
      </c>
      <c r="M12" s="39">
        <v>2023</v>
      </c>
      <c r="N12" s="39" t="s">
        <v>23</v>
      </c>
      <c r="O12" s="39" t="s">
        <v>1807</v>
      </c>
      <c r="P12" s="58">
        <v>2557509482</v>
      </c>
      <c r="Q12" s="39" t="s">
        <v>1589</v>
      </c>
      <c r="R12" s="124">
        <v>46244</v>
      </c>
      <c r="S12" s="124">
        <v>46387</v>
      </c>
      <c r="T12" s="58">
        <f ca="1">IF(Table2[[#This Row],[تاريخ نهاية التفويض]]="","",IFERROR(_xlfn.DAYS(Table2[[#This Row],[تاريخ نهاية التفويض]],TODAY()),""))</f>
        <v>127</v>
      </c>
      <c r="U12" s="42" t="s">
        <v>26</v>
      </c>
      <c r="V12" s="43">
        <v>46393</v>
      </c>
      <c r="W12" s="44">
        <f ca="1">IF(Table2[[#This Row],[تاريخ انتهاء التأمين]]="","",IFERROR(_xlfn.DAYS(Table2[[#This Row],[تاريخ انتهاء التأمين]],TODAY()),""))</f>
        <v>133</v>
      </c>
      <c r="X12" s="42" t="s">
        <v>27</v>
      </c>
      <c r="Y12" s="42" t="s">
        <v>28</v>
      </c>
      <c r="Z12" s="45">
        <v>1180</v>
      </c>
      <c r="AA12" s="46">
        <v>624884</v>
      </c>
      <c r="AB12" s="46" t="s">
        <v>1273</v>
      </c>
      <c r="AC12" s="46" t="s">
        <v>861</v>
      </c>
      <c r="AD12" s="46" t="s">
        <v>938</v>
      </c>
      <c r="AE12" s="47">
        <v>300</v>
      </c>
      <c r="AF12" s="48" t="s">
        <v>1147</v>
      </c>
      <c r="AG12" s="48" t="s">
        <v>861</v>
      </c>
      <c r="AH12" s="48" t="s">
        <v>1149</v>
      </c>
      <c r="AI12" s="90">
        <v>864454079675165</v>
      </c>
      <c r="AJ12" s="89">
        <v>46110</v>
      </c>
      <c r="AK12" s="102">
        <f ca="1">IF(Table2[[#This Row],[تاريخ انتهاء ال GPS]]="","",IFERROR(_xlfn.DAYS(Table2[[#This Row],[تاريخ انتهاء ال GPS]],TODAY()),""))</f>
        <v>-150</v>
      </c>
      <c r="AL12" s="49" t="s">
        <v>1019</v>
      </c>
      <c r="AM12" s="50">
        <v>46266</v>
      </c>
      <c r="AN12" s="51">
        <f ca="1">IF(Table2[[#This Row],[تاريخ انتهاء بطاقة التشغيل]]="","",IFERROR(_xlfn.DAYS(Table2[[#This Row],[تاريخ انتهاء بطاقة التشغيل]],TODAY()),""))</f>
        <v>6</v>
      </c>
      <c r="AO12" s="80">
        <v>47274</v>
      </c>
      <c r="AP12" s="52">
        <f>Table2[[#This Row],[تاريخ انتهاء رخصة السير هجري]]</f>
        <v>47274</v>
      </c>
      <c r="AQ12" s="53">
        <f ca="1">IF(Table2[[#This Row],[تاريخ انتهاء رخصة السير ميلادي]]="","",IFERROR(_xlfn.DAYS(Table2[[#This Row],[تاريخ انتهاء رخصة السير ميلادي]],TODAY()),""))</f>
        <v>1014</v>
      </c>
      <c r="AR12" s="55">
        <v>46397</v>
      </c>
      <c r="AS12" s="56">
        <f>Table2[[#This Row],[تاريخ انتهاء الفحص هجري]]</f>
        <v>46397</v>
      </c>
      <c r="AT12" s="106">
        <f ca="1">IF(Table2[[#This Row],[تاريخ انتهاء الفحص ميلادي]]="","",IFERROR(_xlfn.DAYS(Table2[[#This Row],[تاريخ انتهاء الفحص ميلادي]],TODAY()),""))</f>
        <v>137</v>
      </c>
      <c r="AU12" s="54"/>
      <c r="AV12" s="1"/>
      <c r="BE12" s="3"/>
      <c r="BH12" s="1"/>
    </row>
    <row r="13" spans="1:60" x14ac:dyDescent="0.3">
      <c r="A13" s="39" t="s">
        <v>19</v>
      </c>
      <c r="B13" s="39" t="s">
        <v>1999</v>
      </c>
      <c r="C13" s="39" t="s">
        <v>1187</v>
      </c>
      <c r="D13" s="39" t="s">
        <v>17</v>
      </c>
      <c r="E13" s="39" t="s">
        <v>819</v>
      </c>
      <c r="F13" s="40">
        <v>7025667531</v>
      </c>
      <c r="G13" s="41" t="s">
        <v>48</v>
      </c>
      <c r="H13" s="39" t="s">
        <v>49</v>
      </c>
      <c r="I13" s="58">
        <v>723060020</v>
      </c>
      <c r="J13" s="39" t="s">
        <v>20</v>
      </c>
      <c r="K13" s="39" t="s">
        <v>22</v>
      </c>
      <c r="L13" s="39" t="s">
        <v>43</v>
      </c>
      <c r="M13" s="39">
        <v>2023</v>
      </c>
      <c r="N13" s="39" t="s">
        <v>23</v>
      </c>
      <c r="O13" s="39" t="s">
        <v>1808</v>
      </c>
      <c r="P13" s="58">
        <v>2560883593</v>
      </c>
      <c r="Q13" s="39" t="s">
        <v>1590</v>
      </c>
      <c r="R13" s="124">
        <v>46244</v>
      </c>
      <c r="S13" s="124">
        <v>46387</v>
      </c>
      <c r="T13" s="58">
        <f ca="1">IF(Table2[[#This Row],[تاريخ نهاية التفويض]]="","",IFERROR(_xlfn.DAYS(Table2[[#This Row],[تاريخ نهاية التفويض]],TODAY()),""))</f>
        <v>127</v>
      </c>
      <c r="U13" s="42" t="s">
        <v>26</v>
      </c>
      <c r="V13" s="43">
        <v>46393</v>
      </c>
      <c r="W13" s="44">
        <f ca="1">IF(Table2[[#This Row],[تاريخ انتهاء التأمين]]="","",IFERROR(_xlfn.DAYS(Table2[[#This Row],[تاريخ انتهاء التأمين]],TODAY()),""))</f>
        <v>133</v>
      </c>
      <c r="X13" s="42" t="s">
        <v>27</v>
      </c>
      <c r="Y13" s="42" t="s">
        <v>28</v>
      </c>
      <c r="Z13" s="45">
        <v>1180</v>
      </c>
      <c r="AA13" s="46">
        <v>624893</v>
      </c>
      <c r="AB13" s="46" t="s">
        <v>1274</v>
      </c>
      <c r="AC13" s="46" t="s">
        <v>861</v>
      </c>
      <c r="AD13" s="46" t="s">
        <v>938</v>
      </c>
      <c r="AE13" s="47">
        <v>300</v>
      </c>
      <c r="AF13" s="48" t="s">
        <v>1147</v>
      </c>
      <c r="AG13" s="48" t="s">
        <v>861</v>
      </c>
      <c r="AH13" s="48" t="s">
        <v>1149</v>
      </c>
      <c r="AI13" s="90">
        <v>867747078730924</v>
      </c>
      <c r="AJ13" s="89">
        <v>46139</v>
      </c>
      <c r="AK13" s="102">
        <f ca="1">IF(Table2[[#This Row],[تاريخ انتهاء ال GPS]]="","",IFERROR(_xlfn.DAYS(Table2[[#This Row],[تاريخ انتهاء ال GPS]],TODAY()),""))</f>
        <v>-121</v>
      </c>
      <c r="AL13" s="49" t="s">
        <v>1020</v>
      </c>
      <c r="AM13" s="50">
        <v>46266</v>
      </c>
      <c r="AN13" s="51">
        <f ca="1">IF(Table2[[#This Row],[تاريخ انتهاء بطاقة التشغيل]]="","",IFERROR(_xlfn.DAYS(Table2[[#This Row],[تاريخ انتهاء بطاقة التشغيل]],TODAY()),""))</f>
        <v>6</v>
      </c>
      <c r="AO13" s="80">
        <v>47274</v>
      </c>
      <c r="AP13" s="52">
        <f>Table2[[#This Row],[تاريخ انتهاء رخصة السير هجري]]</f>
        <v>47274</v>
      </c>
      <c r="AQ13" s="53">
        <f ca="1">IF(Table2[[#This Row],[تاريخ انتهاء رخصة السير ميلادي]]="","",IFERROR(_xlfn.DAYS(Table2[[#This Row],[تاريخ انتهاء رخصة السير ميلادي]],TODAY()),""))</f>
        <v>1014</v>
      </c>
      <c r="AR13" s="55">
        <f>Table2[[#This Row],[تاريخ انتهاء الفحص ميلادي]]</f>
        <v>45657</v>
      </c>
      <c r="AS13" s="56">
        <v>45657</v>
      </c>
      <c r="AT13" s="106">
        <f ca="1">IF(Table2[[#This Row],[تاريخ انتهاء الفحص ميلادي]]="","",IFERROR(_xlfn.DAYS(Table2[[#This Row],[تاريخ انتهاء الفحص ميلادي]],TODAY()),""))</f>
        <v>-603</v>
      </c>
      <c r="AU13" s="54"/>
      <c r="AV13" s="1"/>
      <c r="BE13" s="3"/>
      <c r="BH13" s="1"/>
    </row>
    <row r="14" spans="1:60" x14ac:dyDescent="0.3">
      <c r="A14" s="39" t="s">
        <v>19</v>
      </c>
      <c r="B14" s="39" t="s">
        <v>1183</v>
      </c>
      <c r="C14" s="39" t="s">
        <v>1187</v>
      </c>
      <c r="D14" s="39" t="s">
        <v>17</v>
      </c>
      <c r="E14" s="39" t="s">
        <v>819</v>
      </c>
      <c r="F14" s="40">
        <v>7025667531</v>
      </c>
      <c r="G14" s="41" t="s">
        <v>50</v>
      </c>
      <c r="H14" s="39" t="s">
        <v>51</v>
      </c>
      <c r="I14" s="58">
        <v>813060020</v>
      </c>
      <c r="J14" s="39" t="s">
        <v>20</v>
      </c>
      <c r="K14" s="39" t="s">
        <v>22</v>
      </c>
      <c r="L14" s="39" t="s">
        <v>43</v>
      </c>
      <c r="M14" s="39">
        <v>2023</v>
      </c>
      <c r="N14" s="39" t="s">
        <v>23</v>
      </c>
      <c r="O14" s="39" t="s">
        <v>1809</v>
      </c>
      <c r="P14" s="58">
        <v>2557508864</v>
      </c>
      <c r="Q14" s="39" t="s">
        <v>1591</v>
      </c>
      <c r="R14" s="124">
        <v>46244</v>
      </c>
      <c r="S14" s="124">
        <v>46387</v>
      </c>
      <c r="T14" s="58">
        <f ca="1">IF(Table2[[#This Row],[تاريخ نهاية التفويض]]="","",IFERROR(_xlfn.DAYS(Table2[[#This Row],[تاريخ نهاية التفويض]],TODAY()),""))</f>
        <v>127</v>
      </c>
      <c r="U14" s="42" t="s">
        <v>26</v>
      </c>
      <c r="V14" s="43">
        <v>46393</v>
      </c>
      <c r="W14" s="44">
        <f ca="1">IF(Table2[[#This Row],[تاريخ انتهاء التأمين]]="","",IFERROR(_xlfn.DAYS(Table2[[#This Row],[تاريخ انتهاء التأمين]],TODAY()),""))</f>
        <v>133</v>
      </c>
      <c r="X14" s="42" t="s">
        <v>27</v>
      </c>
      <c r="Y14" s="42" t="s">
        <v>28</v>
      </c>
      <c r="Z14" s="45">
        <v>1180</v>
      </c>
      <c r="AA14" s="46">
        <v>624888</v>
      </c>
      <c r="AB14" s="46" t="s">
        <v>1275</v>
      </c>
      <c r="AC14" s="46" t="s">
        <v>861</v>
      </c>
      <c r="AD14" s="46" t="s">
        <v>938</v>
      </c>
      <c r="AE14" s="47">
        <v>300</v>
      </c>
      <c r="AF14" s="48" t="s">
        <v>1147</v>
      </c>
      <c r="AG14" s="48" t="s">
        <v>861</v>
      </c>
      <c r="AH14" s="48" t="s">
        <v>1149</v>
      </c>
      <c r="AI14" s="90">
        <v>866069064818915</v>
      </c>
      <c r="AJ14" s="89">
        <v>46106</v>
      </c>
      <c r="AK14" s="102">
        <f ca="1">IF(Table2[[#This Row],[تاريخ انتهاء ال GPS]]="","",IFERROR(_xlfn.DAYS(Table2[[#This Row],[تاريخ انتهاء ال GPS]],TODAY()),""))</f>
        <v>-154</v>
      </c>
      <c r="AL14" s="49" t="s">
        <v>1532</v>
      </c>
      <c r="AM14" s="50">
        <v>46389</v>
      </c>
      <c r="AN14" s="51">
        <f ca="1">IF(Table2[[#This Row],[تاريخ انتهاء بطاقة التشغيل]]="","",IFERROR(_xlfn.DAYS(Table2[[#This Row],[تاريخ انتهاء بطاقة التشغيل]],TODAY()),""))</f>
        <v>129</v>
      </c>
      <c r="AO14" s="80">
        <v>47274</v>
      </c>
      <c r="AP14" s="52">
        <f>Table2[[#This Row],[تاريخ انتهاء رخصة السير هجري]]</f>
        <v>47274</v>
      </c>
      <c r="AQ14" s="53">
        <f ca="1">IF(Table2[[#This Row],[تاريخ انتهاء رخصة السير ميلادي]]="","",IFERROR(_xlfn.DAYS(Table2[[#This Row],[تاريخ انتهاء رخصة السير ميلادي]],TODAY()),""))</f>
        <v>1014</v>
      </c>
      <c r="AR14" s="55">
        <v>46399</v>
      </c>
      <c r="AS14" s="56">
        <f>Table2[[#This Row],[تاريخ انتهاء الفحص هجري]]</f>
        <v>46399</v>
      </c>
      <c r="AT14" s="106">
        <f ca="1">IF(Table2[[#This Row],[تاريخ انتهاء الفحص ميلادي]]="","",IFERROR(_xlfn.DAYS(Table2[[#This Row],[تاريخ انتهاء الفحص ميلادي]],TODAY()),""))</f>
        <v>139</v>
      </c>
      <c r="AU14" s="54"/>
      <c r="AV14" s="1"/>
      <c r="BE14" s="3"/>
      <c r="BH14" s="1"/>
    </row>
    <row r="15" spans="1:60" x14ac:dyDescent="0.3">
      <c r="A15" s="39" t="s">
        <v>19</v>
      </c>
      <c r="B15" s="39" t="s">
        <v>2000</v>
      </c>
      <c r="C15" s="39" t="s">
        <v>1187</v>
      </c>
      <c r="D15" s="39" t="s">
        <v>17</v>
      </c>
      <c r="E15" s="39" t="s">
        <v>819</v>
      </c>
      <c r="F15" s="40">
        <v>7025667531</v>
      </c>
      <c r="G15" s="41" t="s">
        <v>52</v>
      </c>
      <c r="H15" s="39" t="s">
        <v>53</v>
      </c>
      <c r="I15" s="58">
        <v>692060020</v>
      </c>
      <c r="J15" s="39" t="s">
        <v>20</v>
      </c>
      <c r="K15" s="39" t="s">
        <v>22</v>
      </c>
      <c r="L15" s="39" t="s">
        <v>43</v>
      </c>
      <c r="M15" s="39">
        <v>2023</v>
      </c>
      <c r="N15" s="39" t="s">
        <v>23</v>
      </c>
      <c r="O15" s="39" t="s">
        <v>1810</v>
      </c>
      <c r="P15" s="58">
        <v>2600468512</v>
      </c>
      <c r="Q15" s="39" t="s">
        <v>1592</v>
      </c>
      <c r="R15" s="124">
        <v>46218</v>
      </c>
      <c r="S15" s="124">
        <v>46387</v>
      </c>
      <c r="T15" s="58">
        <f ca="1">IF(Table2[[#This Row],[تاريخ نهاية التفويض]]="","",IFERROR(_xlfn.DAYS(Table2[[#This Row],[تاريخ نهاية التفويض]],TODAY()),""))</f>
        <v>127</v>
      </c>
      <c r="U15" s="42" t="s">
        <v>26</v>
      </c>
      <c r="V15" s="43">
        <v>46393</v>
      </c>
      <c r="W15" s="44">
        <f ca="1">IF(Table2[[#This Row],[تاريخ انتهاء التأمين]]="","",IFERROR(_xlfn.DAYS(Table2[[#This Row],[تاريخ انتهاء التأمين]],TODAY()),""))</f>
        <v>133</v>
      </c>
      <c r="X15" s="42" t="s">
        <v>27</v>
      </c>
      <c r="Y15" s="42" t="s">
        <v>28</v>
      </c>
      <c r="Z15" s="45">
        <v>1180</v>
      </c>
      <c r="AA15" s="46">
        <v>624885</v>
      </c>
      <c r="AB15" s="46" t="s">
        <v>1276</v>
      </c>
      <c r="AC15" s="46" t="s">
        <v>861</v>
      </c>
      <c r="AD15" s="46" t="s">
        <v>938</v>
      </c>
      <c r="AE15" s="47">
        <v>300</v>
      </c>
      <c r="AF15" s="48" t="s">
        <v>1147</v>
      </c>
      <c r="AG15" s="48" t="s">
        <v>861</v>
      </c>
      <c r="AH15" s="48" t="s">
        <v>1149</v>
      </c>
      <c r="AI15" s="90">
        <v>866069063783516</v>
      </c>
      <c r="AJ15" s="89">
        <v>46106</v>
      </c>
      <c r="AK15" s="102">
        <f ca="1">IF(Table2[[#This Row],[تاريخ انتهاء ال GPS]]="","",IFERROR(_xlfn.DAYS(Table2[[#This Row],[تاريخ انتهاء ال GPS]],TODAY()),""))</f>
        <v>-154</v>
      </c>
      <c r="AL15" s="49" t="s">
        <v>1533</v>
      </c>
      <c r="AM15" s="50">
        <v>46389</v>
      </c>
      <c r="AN15" s="51">
        <f ca="1">IF(Table2[[#This Row],[تاريخ انتهاء بطاقة التشغيل]]="","",IFERROR(_xlfn.DAYS(Table2[[#This Row],[تاريخ انتهاء بطاقة التشغيل]],TODAY()),""))</f>
        <v>129</v>
      </c>
      <c r="AO15" s="80">
        <v>47274</v>
      </c>
      <c r="AP15" s="52">
        <f>Table2[[#This Row],[تاريخ انتهاء رخصة السير هجري]]</f>
        <v>47274</v>
      </c>
      <c r="AQ15" s="53">
        <f ca="1">IF(Table2[[#This Row],[تاريخ انتهاء رخصة السير ميلادي]]="","",IFERROR(_xlfn.DAYS(Table2[[#This Row],[تاريخ انتهاء رخصة السير ميلادي]],TODAY()),""))</f>
        <v>1014</v>
      </c>
      <c r="AR15" s="55">
        <v>46400</v>
      </c>
      <c r="AS15" s="56">
        <f>Table2[[#This Row],[تاريخ انتهاء الفحص هجري]]</f>
        <v>46400</v>
      </c>
      <c r="AT15" s="106">
        <f ca="1">IF(Table2[[#This Row],[تاريخ انتهاء الفحص ميلادي]]="","",IFERROR(_xlfn.DAYS(Table2[[#This Row],[تاريخ انتهاء الفحص ميلادي]],TODAY()),""))</f>
        <v>140</v>
      </c>
      <c r="AU15" s="54"/>
      <c r="AV15" s="1"/>
      <c r="BE15" s="3"/>
      <c r="BH15" s="1"/>
    </row>
    <row r="16" spans="1:60" x14ac:dyDescent="0.3">
      <c r="A16" s="39" t="s">
        <v>19</v>
      </c>
      <c r="B16" s="39" t="s">
        <v>1183</v>
      </c>
      <c r="C16" s="39" t="s">
        <v>2004</v>
      </c>
      <c r="D16" s="39" t="s">
        <v>17</v>
      </c>
      <c r="E16" s="39" t="s">
        <v>819</v>
      </c>
      <c r="F16" s="40">
        <v>7025667531</v>
      </c>
      <c r="G16" s="41" t="s">
        <v>54</v>
      </c>
      <c r="H16" s="39" t="s">
        <v>55</v>
      </c>
      <c r="I16" s="58">
        <v>223060020</v>
      </c>
      <c r="J16" s="39" t="s">
        <v>20</v>
      </c>
      <c r="K16" s="39" t="s">
        <v>22</v>
      </c>
      <c r="L16" s="39" t="s">
        <v>43</v>
      </c>
      <c r="M16" s="39">
        <v>2023</v>
      </c>
      <c r="N16" s="39" t="s">
        <v>23</v>
      </c>
      <c r="O16" s="39" t="s">
        <v>1811</v>
      </c>
      <c r="P16" s="58">
        <v>2557191836</v>
      </c>
      <c r="Q16" s="39" t="s">
        <v>1593</v>
      </c>
      <c r="R16" s="124">
        <v>46154</v>
      </c>
      <c r="S16" s="124">
        <v>46387</v>
      </c>
      <c r="T16" s="58">
        <f ca="1">IF(Table2[[#This Row],[تاريخ نهاية التفويض]]="","",IFERROR(_xlfn.DAYS(Table2[[#This Row],[تاريخ نهاية التفويض]],TODAY()),""))</f>
        <v>127</v>
      </c>
      <c r="U16" s="42" t="s">
        <v>26</v>
      </c>
      <c r="V16" s="43">
        <v>46393</v>
      </c>
      <c r="W16" s="44">
        <f ca="1">IF(Table2[[#This Row],[تاريخ انتهاء التأمين]]="","",IFERROR(_xlfn.DAYS(Table2[[#This Row],[تاريخ انتهاء التأمين]],TODAY()),""))</f>
        <v>133</v>
      </c>
      <c r="X16" s="42" t="s">
        <v>27</v>
      </c>
      <c r="Y16" s="42" t="s">
        <v>28</v>
      </c>
      <c r="Z16" s="45">
        <v>1180</v>
      </c>
      <c r="AA16" s="46">
        <v>624896</v>
      </c>
      <c r="AB16" s="46" t="s">
        <v>1277</v>
      </c>
      <c r="AC16" s="46" t="s">
        <v>861</v>
      </c>
      <c r="AD16" s="46" t="s">
        <v>938</v>
      </c>
      <c r="AE16" s="47">
        <v>300</v>
      </c>
      <c r="AF16" s="48" t="s">
        <v>1147</v>
      </c>
      <c r="AG16" s="48" t="s">
        <v>861</v>
      </c>
      <c r="AH16" s="48" t="s">
        <v>1149</v>
      </c>
      <c r="AI16" s="90">
        <v>867747074928985</v>
      </c>
      <c r="AJ16" s="89">
        <v>46110</v>
      </c>
      <c r="AK16" s="102">
        <f ca="1">IF(Table2[[#This Row],[تاريخ انتهاء ال GPS]]="","",IFERROR(_xlfn.DAYS(Table2[[#This Row],[تاريخ انتهاء ال GPS]],TODAY()),""))</f>
        <v>-150</v>
      </c>
      <c r="AL16" s="49" t="s">
        <v>1534</v>
      </c>
      <c r="AM16" s="50">
        <v>46389</v>
      </c>
      <c r="AN16" s="51">
        <f ca="1">IF(Table2[[#This Row],[تاريخ انتهاء بطاقة التشغيل]]="","",IFERROR(_xlfn.DAYS(Table2[[#This Row],[تاريخ انتهاء بطاقة التشغيل]],TODAY()),""))</f>
        <v>129</v>
      </c>
      <c r="AO16" s="80">
        <v>47274</v>
      </c>
      <c r="AP16" s="52">
        <f>Table2[[#This Row],[تاريخ انتهاء رخصة السير هجري]]</f>
        <v>47274</v>
      </c>
      <c r="AQ16" s="53">
        <f ca="1">IF(Table2[[#This Row],[تاريخ انتهاء رخصة السير ميلادي]]="","",IFERROR(_xlfn.DAYS(Table2[[#This Row],[تاريخ انتهاء رخصة السير ميلادي]],TODAY()),""))</f>
        <v>1014</v>
      </c>
      <c r="AR16" s="55">
        <v>46397</v>
      </c>
      <c r="AS16" s="56">
        <f>Table2[[#This Row],[تاريخ انتهاء الفحص هجري]]</f>
        <v>46397</v>
      </c>
      <c r="AT16" s="106">
        <f ca="1">IF(Table2[[#This Row],[تاريخ انتهاء الفحص ميلادي]]="","",IFERROR(_xlfn.DAYS(Table2[[#This Row],[تاريخ انتهاء الفحص ميلادي]],TODAY()),""))</f>
        <v>137</v>
      </c>
      <c r="AU16" s="54"/>
      <c r="AV16" s="1"/>
      <c r="BE16" s="3"/>
      <c r="BH16" s="1"/>
    </row>
    <row r="17" spans="1:60" x14ac:dyDescent="0.3">
      <c r="A17" s="39" t="s">
        <v>19</v>
      </c>
      <c r="B17" s="39" t="s">
        <v>2002</v>
      </c>
      <c r="C17" s="39" t="s">
        <v>1187</v>
      </c>
      <c r="D17" s="39" t="s">
        <v>17</v>
      </c>
      <c r="E17" s="39" t="s">
        <v>819</v>
      </c>
      <c r="F17" s="40">
        <v>7025667531</v>
      </c>
      <c r="G17" s="41" t="s">
        <v>56</v>
      </c>
      <c r="H17" s="39" t="s">
        <v>57</v>
      </c>
      <c r="I17" s="58">
        <v>782060020</v>
      </c>
      <c r="J17" s="39" t="s">
        <v>20</v>
      </c>
      <c r="K17" s="39" t="s">
        <v>22</v>
      </c>
      <c r="L17" s="39" t="s">
        <v>43</v>
      </c>
      <c r="M17" s="39">
        <v>2023</v>
      </c>
      <c r="N17" s="39" t="s">
        <v>23</v>
      </c>
      <c r="O17" s="39" t="s">
        <v>1812</v>
      </c>
      <c r="P17" s="58">
        <v>2556809404</v>
      </c>
      <c r="Q17" s="39" t="s">
        <v>1594</v>
      </c>
      <c r="R17" s="124">
        <v>46217</v>
      </c>
      <c r="S17" s="124">
        <v>46387</v>
      </c>
      <c r="T17" s="58">
        <f ca="1">IF(Table2[[#This Row],[تاريخ نهاية التفويض]]="","",IFERROR(_xlfn.DAYS(Table2[[#This Row],[تاريخ نهاية التفويض]],TODAY()),""))</f>
        <v>127</v>
      </c>
      <c r="U17" s="42" t="s">
        <v>26</v>
      </c>
      <c r="V17" s="43">
        <v>46393</v>
      </c>
      <c r="W17" s="44">
        <f ca="1">IF(Table2[[#This Row],[تاريخ انتهاء التأمين]]="","",IFERROR(_xlfn.DAYS(Table2[[#This Row],[تاريخ انتهاء التأمين]],TODAY()),""))</f>
        <v>133</v>
      </c>
      <c r="X17" s="42" t="s">
        <v>27</v>
      </c>
      <c r="Y17" s="42" t="s">
        <v>28</v>
      </c>
      <c r="Z17" s="45">
        <v>1180</v>
      </c>
      <c r="AA17" s="46">
        <v>624886</v>
      </c>
      <c r="AB17" s="46" t="s">
        <v>1278</v>
      </c>
      <c r="AC17" s="46" t="s">
        <v>861</v>
      </c>
      <c r="AD17" s="46" t="s">
        <v>938</v>
      </c>
      <c r="AE17" s="47">
        <v>300</v>
      </c>
      <c r="AF17" s="48" t="s">
        <v>1147</v>
      </c>
      <c r="AG17" s="48" t="s">
        <v>1173</v>
      </c>
      <c r="AH17" s="48" t="s">
        <v>1149</v>
      </c>
      <c r="AI17" s="90">
        <v>867747078359716</v>
      </c>
      <c r="AJ17" s="89">
        <v>46134</v>
      </c>
      <c r="AK17" s="102">
        <f ca="1">IF(Table2[[#This Row],[تاريخ انتهاء ال GPS]]="","",IFERROR(_xlfn.DAYS(Table2[[#This Row],[تاريخ انتهاء ال GPS]],TODAY()),""))</f>
        <v>-126</v>
      </c>
      <c r="AL17" s="49" t="s">
        <v>1021</v>
      </c>
      <c r="AM17" s="50">
        <v>46266</v>
      </c>
      <c r="AN17" s="51">
        <f ca="1">IF(Table2[[#This Row],[تاريخ انتهاء بطاقة التشغيل]]="","",IFERROR(_xlfn.DAYS(Table2[[#This Row],[تاريخ انتهاء بطاقة التشغيل]],TODAY()),""))</f>
        <v>6</v>
      </c>
      <c r="AO17" s="80">
        <v>47274</v>
      </c>
      <c r="AP17" s="52">
        <f>Table2[[#This Row],[تاريخ انتهاء رخصة السير هجري]]</f>
        <v>47274</v>
      </c>
      <c r="AQ17" s="53">
        <f ca="1">IF(Table2[[#This Row],[تاريخ انتهاء رخصة السير ميلادي]]="","",IFERROR(_xlfn.DAYS(Table2[[#This Row],[تاريخ انتهاء رخصة السير ميلادي]],TODAY()),""))</f>
        <v>1014</v>
      </c>
      <c r="AR17" s="55">
        <v>46028</v>
      </c>
      <c r="AS17" s="56">
        <f>Table2[[#This Row],[تاريخ انتهاء الفحص هجري]]</f>
        <v>46028</v>
      </c>
      <c r="AT17" s="106">
        <f ca="1">IF(Table2[[#This Row],[تاريخ انتهاء الفحص ميلادي]]="","",IFERROR(_xlfn.DAYS(Table2[[#This Row],[تاريخ انتهاء الفحص ميلادي]],TODAY()),""))</f>
        <v>-232</v>
      </c>
      <c r="AU17" s="54"/>
      <c r="AV17" s="1"/>
      <c r="BE17" s="3"/>
      <c r="BH17" s="1"/>
    </row>
    <row r="18" spans="1:60" x14ac:dyDescent="0.3">
      <c r="A18" s="39" t="s">
        <v>19</v>
      </c>
      <c r="B18" s="39" t="s">
        <v>1183</v>
      </c>
      <c r="C18" s="39" t="s">
        <v>1187</v>
      </c>
      <c r="D18" s="39" t="s">
        <v>17</v>
      </c>
      <c r="E18" s="39" t="s">
        <v>819</v>
      </c>
      <c r="F18" s="40">
        <v>7025667531</v>
      </c>
      <c r="G18" s="41" t="s">
        <v>58</v>
      </c>
      <c r="H18" s="39" t="s">
        <v>59</v>
      </c>
      <c r="I18" s="58">
        <v>182060020</v>
      </c>
      <c r="J18" s="39" t="s">
        <v>20</v>
      </c>
      <c r="K18" s="39" t="s">
        <v>22</v>
      </c>
      <c r="L18" s="39" t="s">
        <v>43</v>
      </c>
      <c r="M18" s="39">
        <v>2023</v>
      </c>
      <c r="N18" s="39" t="s">
        <v>23</v>
      </c>
      <c r="O18" s="39" t="s">
        <v>1813</v>
      </c>
      <c r="P18" s="58">
        <v>2567989229</v>
      </c>
      <c r="Q18" s="39" t="s">
        <v>1595</v>
      </c>
      <c r="R18" s="124">
        <v>46244</v>
      </c>
      <c r="S18" s="124">
        <v>46387</v>
      </c>
      <c r="T18" s="58">
        <f ca="1">IF(Table2[[#This Row],[تاريخ نهاية التفويض]]="","",IFERROR(_xlfn.DAYS(Table2[[#This Row],[تاريخ نهاية التفويض]],TODAY()),""))</f>
        <v>127</v>
      </c>
      <c r="U18" s="42" t="s">
        <v>26</v>
      </c>
      <c r="V18" s="43">
        <v>46393</v>
      </c>
      <c r="W18" s="44">
        <f ca="1">IF(Table2[[#This Row],[تاريخ انتهاء التأمين]]="","",IFERROR(_xlfn.DAYS(Table2[[#This Row],[تاريخ انتهاء التأمين]],TODAY()),""))</f>
        <v>133</v>
      </c>
      <c r="X18" s="42" t="s">
        <v>27</v>
      </c>
      <c r="Y18" s="42" t="s">
        <v>28</v>
      </c>
      <c r="Z18" s="45">
        <v>1180</v>
      </c>
      <c r="AA18" s="46">
        <v>624890</v>
      </c>
      <c r="AB18" s="46" t="s">
        <v>1279</v>
      </c>
      <c r="AC18" s="46" t="s">
        <v>861</v>
      </c>
      <c r="AD18" s="46" t="s">
        <v>938</v>
      </c>
      <c r="AE18" s="47">
        <v>300</v>
      </c>
      <c r="AF18" s="48" t="s">
        <v>1147</v>
      </c>
      <c r="AG18" s="48" t="s">
        <v>861</v>
      </c>
      <c r="AH18" s="48" t="s">
        <v>1149</v>
      </c>
      <c r="AI18" s="90">
        <v>864454079675264</v>
      </c>
      <c r="AJ18" s="89">
        <v>46127</v>
      </c>
      <c r="AK18" s="102">
        <f ca="1">IF(Table2[[#This Row],[تاريخ انتهاء ال GPS]]="","",IFERROR(_xlfn.DAYS(Table2[[#This Row],[تاريخ انتهاء ال GPS]],TODAY()),""))</f>
        <v>-133</v>
      </c>
      <c r="AL18" s="49" t="s">
        <v>1535</v>
      </c>
      <c r="AM18" s="50">
        <v>46389</v>
      </c>
      <c r="AN18" s="51">
        <f ca="1">IF(Table2[[#This Row],[تاريخ انتهاء بطاقة التشغيل]]="","",IFERROR(_xlfn.DAYS(Table2[[#This Row],[تاريخ انتهاء بطاقة التشغيل]],TODAY()),""))</f>
        <v>129</v>
      </c>
      <c r="AO18" s="80">
        <v>47274</v>
      </c>
      <c r="AP18" s="52">
        <f>Table2[[#This Row],[تاريخ انتهاء رخصة السير هجري]]</f>
        <v>47274</v>
      </c>
      <c r="AQ18" s="53">
        <f ca="1">IF(Table2[[#This Row],[تاريخ انتهاء رخصة السير ميلادي]]="","",IFERROR(_xlfn.DAYS(Table2[[#This Row],[تاريخ انتهاء رخصة السير ميلادي]],TODAY()),""))</f>
        <v>1014</v>
      </c>
      <c r="AR18" s="55">
        <v>46399</v>
      </c>
      <c r="AS18" s="56">
        <f>Table2[[#This Row],[تاريخ انتهاء الفحص هجري]]</f>
        <v>46399</v>
      </c>
      <c r="AT18" s="106">
        <f ca="1">IF(Table2[[#This Row],[تاريخ انتهاء الفحص ميلادي]]="","",IFERROR(_xlfn.DAYS(Table2[[#This Row],[تاريخ انتهاء الفحص ميلادي]],TODAY()),""))</f>
        <v>139</v>
      </c>
      <c r="AU18" s="54"/>
      <c r="AV18" s="1"/>
      <c r="BE18" s="3"/>
      <c r="BH18" s="1"/>
    </row>
    <row r="19" spans="1:60" x14ac:dyDescent="0.3">
      <c r="A19" s="39" t="s">
        <v>19</v>
      </c>
      <c r="B19" s="39" t="s">
        <v>1193</v>
      </c>
      <c r="C19" s="39" t="s">
        <v>1193</v>
      </c>
      <c r="D19" s="39" t="s">
        <v>17</v>
      </c>
      <c r="E19" s="39" t="s">
        <v>819</v>
      </c>
      <c r="F19" s="40">
        <v>7025667531</v>
      </c>
      <c r="G19" s="41" t="s">
        <v>60</v>
      </c>
      <c r="H19" s="39" t="s">
        <v>61</v>
      </c>
      <c r="I19" s="58">
        <v>842060020</v>
      </c>
      <c r="J19" s="39" t="s">
        <v>20</v>
      </c>
      <c r="K19" s="39" t="s">
        <v>22</v>
      </c>
      <c r="L19" s="39" t="s">
        <v>43</v>
      </c>
      <c r="M19" s="39">
        <v>2023</v>
      </c>
      <c r="N19" s="39" t="s">
        <v>23</v>
      </c>
      <c r="O19" s="39" t="s">
        <v>1137</v>
      </c>
      <c r="P19" s="39" t="s">
        <v>1137</v>
      </c>
      <c r="Q19" s="39" t="s">
        <v>1137</v>
      </c>
      <c r="R19" s="124" t="s">
        <v>1137</v>
      </c>
      <c r="S19" s="124" t="s">
        <v>1137</v>
      </c>
      <c r="T19" s="124" t="s">
        <v>1137</v>
      </c>
      <c r="U19" s="42" t="s">
        <v>26</v>
      </c>
      <c r="V19" s="43">
        <v>46393</v>
      </c>
      <c r="W19" s="44">
        <f ca="1">IF(Table2[[#This Row],[تاريخ انتهاء التأمين]]="","",IFERROR(_xlfn.DAYS(Table2[[#This Row],[تاريخ انتهاء التأمين]],TODAY()),""))</f>
        <v>133</v>
      </c>
      <c r="X19" s="42" t="s">
        <v>27</v>
      </c>
      <c r="Y19" s="42" t="s">
        <v>28</v>
      </c>
      <c r="Z19" s="45">
        <v>1180</v>
      </c>
      <c r="AA19" s="46">
        <v>624883</v>
      </c>
      <c r="AB19" s="46" t="s">
        <v>1280</v>
      </c>
      <c r="AC19" s="46" t="s">
        <v>861</v>
      </c>
      <c r="AD19" s="46" t="s">
        <v>938</v>
      </c>
      <c r="AE19" s="47">
        <v>300</v>
      </c>
      <c r="AF19" s="48" t="s">
        <v>1147</v>
      </c>
      <c r="AG19" s="48" t="s">
        <v>861</v>
      </c>
      <c r="AH19" s="48" t="s">
        <v>1149</v>
      </c>
      <c r="AI19" s="90">
        <v>866069063561722</v>
      </c>
      <c r="AJ19" s="89">
        <v>46106</v>
      </c>
      <c r="AK19" s="102">
        <f ca="1">IF(Table2[[#This Row],[تاريخ انتهاء ال GPS]]="","",IFERROR(_xlfn.DAYS(Table2[[#This Row],[تاريخ انتهاء ال GPS]],TODAY()),""))</f>
        <v>-154</v>
      </c>
      <c r="AL19" s="49" t="s">
        <v>1022</v>
      </c>
      <c r="AM19" s="50">
        <v>46266</v>
      </c>
      <c r="AN19" s="51">
        <f ca="1">IF(Table2[[#This Row],[تاريخ انتهاء بطاقة التشغيل]]="","",IFERROR(_xlfn.DAYS(Table2[[#This Row],[تاريخ انتهاء بطاقة التشغيل]],TODAY()),""))</f>
        <v>6</v>
      </c>
      <c r="AO19" s="80">
        <v>47274</v>
      </c>
      <c r="AP19" s="52">
        <f>Table2[[#This Row],[تاريخ انتهاء رخصة السير هجري]]</f>
        <v>47274</v>
      </c>
      <c r="AQ19" s="53">
        <f ca="1">IF(Table2[[#This Row],[تاريخ انتهاء رخصة السير ميلادي]]="","",IFERROR(_xlfn.DAYS(Table2[[#This Row],[تاريخ انتهاء رخصة السير ميلادي]],TODAY()),""))</f>
        <v>1014</v>
      </c>
      <c r="AR19" s="55">
        <v>46401</v>
      </c>
      <c r="AS19" s="56">
        <f>Table2[[#This Row],[تاريخ انتهاء الفحص هجري]]</f>
        <v>46401</v>
      </c>
      <c r="AT19" s="106">
        <f ca="1">IF(Table2[[#This Row],[تاريخ انتهاء الفحص ميلادي]]="","",IFERROR(_xlfn.DAYS(Table2[[#This Row],[تاريخ انتهاء الفحص ميلادي]],TODAY()),""))</f>
        <v>141</v>
      </c>
      <c r="AU19" s="54"/>
      <c r="AV19" s="1"/>
      <c r="BE19" s="3"/>
      <c r="BH19" s="1"/>
    </row>
    <row r="20" spans="1:60" x14ac:dyDescent="0.3">
      <c r="A20" s="39" t="s">
        <v>19</v>
      </c>
      <c r="B20" s="39" t="s">
        <v>2002</v>
      </c>
      <c r="C20" s="39" t="s">
        <v>1187</v>
      </c>
      <c r="D20" s="39" t="s">
        <v>17</v>
      </c>
      <c r="E20" s="39" t="s">
        <v>819</v>
      </c>
      <c r="F20" s="40">
        <v>7025667531</v>
      </c>
      <c r="G20" s="41" t="s">
        <v>62</v>
      </c>
      <c r="H20" s="39" t="s">
        <v>63</v>
      </c>
      <c r="I20" s="58">
        <v>143060020</v>
      </c>
      <c r="J20" s="39" t="s">
        <v>20</v>
      </c>
      <c r="K20" s="39" t="s">
        <v>22</v>
      </c>
      <c r="L20" s="39" t="s">
        <v>43</v>
      </c>
      <c r="M20" s="39">
        <v>2023</v>
      </c>
      <c r="N20" s="39" t="s">
        <v>23</v>
      </c>
      <c r="O20" s="39" t="s">
        <v>1981</v>
      </c>
      <c r="P20" s="58">
        <v>2568200659</v>
      </c>
      <c r="Q20" s="39" t="s">
        <v>1596</v>
      </c>
      <c r="R20" s="124">
        <v>46249</v>
      </c>
      <c r="S20" s="124">
        <v>46387</v>
      </c>
      <c r="T20" s="58">
        <f ca="1">IF(Table2[[#This Row],[تاريخ نهاية التفويض]]="","",IFERROR(_xlfn.DAYS(Table2[[#This Row],[تاريخ نهاية التفويض]],TODAY()),""))</f>
        <v>127</v>
      </c>
      <c r="U20" s="42" t="s">
        <v>26</v>
      </c>
      <c r="V20" s="43">
        <v>46393</v>
      </c>
      <c r="W20" s="44">
        <f ca="1">IF(Table2[[#This Row],[تاريخ انتهاء التأمين]]="","",IFERROR(_xlfn.DAYS(Table2[[#This Row],[تاريخ انتهاء التأمين]],TODAY()),""))</f>
        <v>133</v>
      </c>
      <c r="X20" s="42" t="s">
        <v>27</v>
      </c>
      <c r="Y20" s="42" t="s">
        <v>28</v>
      </c>
      <c r="Z20" s="45">
        <v>1180</v>
      </c>
      <c r="AA20" s="46">
        <v>624892</v>
      </c>
      <c r="AB20" s="46" t="s">
        <v>1281</v>
      </c>
      <c r="AC20" s="46" t="s">
        <v>861</v>
      </c>
      <c r="AD20" s="46" t="s">
        <v>938</v>
      </c>
      <c r="AE20" s="47">
        <v>300</v>
      </c>
      <c r="AF20" s="48" t="s">
        <v>1147</v>
      </c>
      <c r="AG20" s="48" t="s">
        <v>861</v>
      </c>
      <c r="AH20" s="48" t="s">
        <v>1149</v>
      </c>
      <c r="AI20" s="90">
        <v>867747071401168</v>
      </c>
      <c r="AJ20" s="89">
        <v>46109</v>
      </c>
      <c r="AK20" s="102">
        <f ca="1">IF(Table2[[#This Row],[تاريخ انتهاء ال GPS]]="","",IFERROR(_xlfn.DAYS(Table2[[#This Row],[تاريخ انتهاء ال GPS]],TODAY()),""))</f>
        <v>-151</v>
      </c>
      <c r="AL20" s="49" t="s">
        <v>1023</v>
      </c>
      <c r="AM20" s="50">
        <v>46266</v>
      </c>
      <c r="AN20" s="51">
        <f ca="1">IF(Table2[[#This Row],[تاريخ انتهاء بطاقة التشغيل]]="","",IFERROR(_xlfn.DAYS(Table2[[#This Row],[تاريخ انتهاء بطاقة التشغيل]],TODAY()),""))</f>
        <v>6</v>
      </c>
      <c r="AO20" s="80">
        <v>47274</v>
      </c>
      <c r="AP20" s="52">
        <f>Table2[[#This Row],[تاريخ انتهاء رخصة السير هجري]]</f>
        <v>47274</v>
      </c>
      <c r="AQ20" s="53">
        <f ca="1">IF(Table2[[#This Row],[تاريخ انتهاء رخصة السير ميلادي]]="","",IFERROR(_xlfn.DAYS(Table2[[#This Row],[تاريخ انتهاء رخصة السير ميلادي]],TODAY()),""))</f>
        <v>1014</v>
      </c>
      <c r="AR20" s="55">
        <f>Table2[[#This Row],[تاريخ انتهاء الفحص ميلادي]]</f>
        <v>45657</v>
      </c>
      <c r="AS20" s="56">
        <v>45657</v>
      </c>
      <c r="AT20" s="106">
        <f ca="1">IF(Table2[[#This Row],[تاريخ انتهاء الفحص ميلادي]]="","",IFERROR(_xlfn.DAYS(Table2[[#This Row],[تاريخ انتهاء الفحص ميلادي]],TODAY()),""))</f>
        <v>-603</v>
      </c>
      <c r="AU20" s="54"/>
      <c r="AV20" s="1"/>
      <c r="BE20" s="3"/>
      <c r="BH20" s="1"/>
    </row>
    <row r="21" spans="1:60" x14ac:dyDescent="0.3">
      <c r="A21" s="39" t="s">
        <v>19</v>
      </c>
      <c r="B21" s="39" t="s">
        <v>1183</v>
      </c>
      <c r="C21" s="39" t="s">
        <v>1187</v>
      </c>
      <c r="D21" s="39" t="s">
        <v>17</v>
      </c>
      <c r="E21" s="39" t="s">
        <v>819</v>
      </c>
      <c r="F21" s="40">
        <v>7025667531</v>
      </c>
      <c r="G21" s="41" t="s">
        <v>65</v>
      </c>
      <c r="H21" s="39" t="s">
        <v>66</v>
      </c>
      <c r="I21" s="58">
        <v>972964020</v>
      </c>
      <c r="J21" s="39" t="s">
        <v>20</v>
      </c>
      <c r="K21" s="39" t="s">
        <v>21</v>
      </c>
      <c r="L21" s="39" t="s">
        <v>22</v>
      </c>
      <c r="M21" s="39">
        <v>2024</v>
      </c>
      <c r="N21" s="39" t="s">
        <v>64</v>
      </c>
      <c r="O21" s="39" t="s">
        <v>1814</v>
      </c>
      <c r="P21" s="58">
        <v>2559188822</v>
      </c>
      <c r="Q21" s="39" t="s">
        <v>1597</v>
      </c>
      <c r="R21" s="124">
        <v>46245</v>
      </c>
      <c r="S21" s="124">
        <v>46387</v>
      </c>
      <c r="T21" s="58">
        <f ca="1">IF(Table2[[#This Row],[تاريخ نهاية التفويض]]="","",IFERROR(_xlfn.DAYS(Table2[[#This Row],[تاريخ نهاية التفويض]],TODAY()),""))</f>
        <v>127</v>
      </c>
      <c r="U21" s="42" t="s">
        <v>26</v>
      </c>
      <c r="V21" s="43">
        <v>46393</v>
      </c>
      <c r="W21" s="44">
        <f ca="1">IF(Table2[[#This Row],[تاريخ انتهاء التأمين]]="","",IFERROR(_xlfn.DAYS(Table2[[#This Row],[تاريخ انتهاء التأمين]],TODAY()),""))</f>
        <v>133</v>
      </c>
      <c r="X21" s="42" t="s">
        <v>27</v>
      </c>
      <c r="Y21" s="42" t="s">
        <v>28</v>
      </c>
      <c r="Z21" s="45">
        <v>1180</v>
      </c>
      <c r="AA21" s="46">
        <v>609233</v>
      </c>
      <c r="AB21" s="46" t="s">
        <v>1282</v>
      </c>
      <c r="AC21" s="46" t="s">
        <v>861</v>
      </c>
      <c r="AD21" s="46" t="s">
        <v>938</v>
      </c>
      <c r="AE21" s="47">
        <v>300</v>
      </c>
      <c r="AF21" s="48" t="s">
        <v>1147</v>
      </c>
      <c r="AG21" s="48" t="s">
        <v>861</v>
      </c>
      <c r="AH21" s="48" t="s">
        <v>1149</v>
      </c>
      <c r="AI21" s="90">
        <v>867747075438679</v>
      </c>
      <c r="AJ21" s="89">
        <v>46110</v>
      </c>
      <c r="AK21" s="102">
        <f ca="1">IF(Table2[[#This Row],[تاريخ انتهاء ال GPS]]="","",IFERROR(_xlfn.DAYS(Table2[[#This Row],[تاريخ انتهاء ال GPS]],TODAY()),""))</f>
        <v>-150</v>
      </c>
      <c r="AL21" s="49" t="s">
        <v>1536</v>
      </c>
      <c r="AM21" s="50">
        <v>46621</v>
      </c>
      <c r="AN21" s="51">
        <f ca="1">IF(Table2[[#This Row],[تاريخ انتهاء بطاقة التشغيل]]="","",IFERROR(_xlfn.DAYS(Table2[[#This Row],[تاريخ انتهاء بطاقة التشغيل]],TODAY()),""))</f>
        <v>361</v>
      </c>
      <c r="AO21" s="80">
        <v>46362</v>
      </c>
      <c r="AP21" s="52">
        <f>Table2[[#This Row],[تاريخ انتهاء رخصة السير هجري]]</f>
        <v>46362</v>
      </c>
      <c r="AQ21" s="53">
        <f ca="1">IF(Table2[[#This Row],[تاريخ انتهاء رخصة السير ميلادي]]="","",IFERROR(_xlfn.DAYS(Table2[[#This Row],[تاريخ انتهاء رخصة السير ميلادي]],TODAY()),""))</f>
        <v>102</v>
      </c>
      <c r="AR21" s="55">
        <v>46576</v>
      </c>
      <c r="AS21" s="56">
        <f>Table2[[#This Row],[تاريخ انتهاء الفحص هجري]]</f>
        <v>46576</v>
      </c>
      <c r="AT21" s="106">
        <f ca="1">IF(Table2[[#This Row],[تاريخ انتهاء الفحص ميلادي]]="","",IFERROR(_xlfn.DAYS(Table2[[#This Row],[تاريخ انتهاء الفحص ميلادي]],TODAY()),""))</f>
        <v>316</v>
      </c>
      <c r="AU21" s="54"/>
      <c r="AV21" s="1"/>
      <c r="BE21" s="3"/>
      <c r="BH21" s="1"/>
    </row>
    <row r="22" spans="1:60" x14ac:dyDescent="0.3">
      <c r="A22" s="39" t="s">
        <v>19</v>
      </c>
      <c r="B22" s="39" t="s">
        <v>2000</v>
      </c>
      <c r="C22" s="39" t="s">
        <v>1187</v>
      </c>
      <c r="D22" s="39" t="s">
        <v>17</v>
      </c>
      <c r="E22" s="39" t="s">
        <v>819</v>
      </c>
      <c r="F22" s="40">
        <v>7025667531</v>
      </c>
      <c r="G22" s="41" t="s">
        <v>68</v>
      </c>
      <c r="H22" s="39" t="s">
        <v>69</v>
      </c>
      <c r="I22" s="58">
        <v>129717020</v>
      </c>
      <c r="J22" s="39" t="s">
        <v>20</v>
      </c>
      <c r="K22" s="39" t="s">
        <v>67</v>
      </c>
      <c r="L22" s="39" t="s">
        <v>22</v>
      </c>
      <c r="M22" s="39">
        <v>2024</v>
      </c>
      <c r="N22" s="39" t="s">
        <v>64</v>
      </c>
      <c r="O22" s="39" t="s">
        <v>1815</v>
      </c>
      <c r="P22" s="58">
        <v>2585711043</v>
      </c>
      <c r="Q22" s="39" t="s">
        <v>1598</v>
      </c>
      <c r="R22" s="124">
        <v>46243</v>
      </c>
      <c r="S22" s="124">
        <v>46387</v>
      </c>
      <c r="T22" s="58">
        <f ca="1">IF(Table2[[#This Row],[تاريخ نهاية التفويض]]="","",IFERROR(_xlfn.DAYS(Table2[[#This Row],[تاريخ نهاية التفويض]],TODAY()),""))</f>
        <v>127</v>
      </c>
      <c r="U22" s="42" t="s">
        <v>26</v>
      </c>
      <c r="V22" s="43">
        <v>46393</v>
      </c>
      <c r="W22" s="44">
        <f ca="1">IF(Table2[[#This Row],[تاريخ انتهاء التأمين]]="","",IFERROR(_xlfn.DAYS(Table2[[#This Row],[تاريخ انتهاء التأمين]],TODAY()),""))</f>
        <v>133</v>
      </c>
      <c r="X22" s="42" t="s">
        <v>27</v>
      </c>
      <c r="Y22" s="42" t="s">
        <v>28</v>
      </c>
      <c r="Z22" s="45">
        <v>1180</v>
      </c>
      <c r="AA22" s="46">
        <v>650576</v>
      </c>
      <c r="AB22" s="46" t="s">
        <v>1283</v>
      </c>
      <c r="AC22" s="46" t="s">
        <v>861</v>
      </c>
      <c r="AD22" s="46" t="s">
        <v>938</v>
      </c>
      <c r="AE22" s="47">
        <v>300</v>
      </c>
      <c r="AF22" s="48" t="s">
        <v>1147</v>
      </c>
      <c r="AG22" s="48" t="s">
        <v>861</v>
      </c>
      <c r="AH22" s="48" t="s">
        <v>1149</v>
      </c>
      <c r="AI22" s="90">
        <v>867747079073779</v>
      </c>
      <c r="AJ22" s="89">
        <v>46139</v>
      </c>
      <c r="AK22" s="102">
        <f ca="1">IF(Table2[[#This Row],[تاريخ انتهاء ال GPS]]="","",IFERROR(_xlfn.DAYS(Table2[[#This Row],[تاريخ انتهاء ال GPS]],TODAY()),""))</f>
        <v>-121</v>
      </c>
      <c r="AL22" s="49" t="s">
        <v>1530</v>
      </c>
      <c r="AM22" s="50">
        <v>46621</v>
      </c>
      <c r="AN22" s="51">
        <f ca="1">IF(Table2[[#This Row],[تاريخ انتهاء بطاقة التشغيل]]="","",IFERROR(_xlfn.DAYS(Table2[[#This Row],[تاريخ انتهاء بطاقة التشغيل]],TODAY()),""))</f>
        <v>361</v>
      </c>
      <c r="AO22" s="80">
        <v>46460</v>
      </c>
      <c r="AP22" s="52">
        <f>Table2[[#This Row],[تاريخ انتهاء رخصة السير هجري]]</f>
        <v>46460</v>
      </c>
      <c r="AQ22" s="53">
        <f ca="1">IF(Table2[[#This Row],[تاريخ انتهاء رخصة السير ميلادي]]="","",IFERROR(_xlfn.DAYS(Table2[[#This Row],[تاريخ انتهاء رخصة السير ميلادي]],TODAY()),""))</f>
        <v>200</v>
      </c>
      <c r="AR22" s="55">
        <v>46400</v>
      </c>
      <c r="AS22" s="56">
        <f>Table2[[#This Row],[تاريخ انتهاء الفحص هجري]]</f>
        <v>46400</v>
      </c>
      <c r="AT22" s="106">
        <f ca="1">IF(Table2[[#This Row],[تاريخ انتهاء الفحص ميلادي]]="","",IFERROR(_xlfn.DAYS(Table2[[#This Row],[تاريخ انتهاء الفحص ميلادي]],TODAY()),""))</f>
        <v>140</v>
      </c>
      <c r="AU22" s="54"/>
      <c r="AV22" s="1"/>
      <c r="BE22" s="3"/>
      <c r="BH22" s="1"/>
    </row>
    <row r="23" spans="1:60" x14ac:dyDescent="0.3">
      <c r="A23" s="39" t="s">
        <v>19</v>
      </c>
      <c r="B23" s="39" t="s">
        <v>1999</v>
      </c>
      <c r="C23" s="39" t="s">
        <v>1187</v>
      </c>
      <c r="D23" s="39" t="s">
        <v>17</v>
      </c>
      <c r="E23" s="39" t="s">
        <v>819</v>
      </c>
      <c r="F23" s="40">
        <v>7025667531</v>
      </c>
      <c r="G23" s="41" t="s">
        <v>70</v>
      </c>
      <c r="H23" s="39" t="s">
        <v>71</v>
      </c>
      <c r="I23" s="58">
        <v>349717020</v>
      </c>
      <c r="J23" s="39" t="s">
        <v>20</v>
      </c>
      <c r="K23" s="39" t="s">
        <v>67</v>
      </c>
      <c r="L23" s="39" t="s">
        <v>22</v>
      </c>
      <c r="M23" s="39">
        <v>2024</v>
      </c>
      <c r="N23" s="39" t="s">
        <v>64</v>
      </c>
      <c r="O23" s="39" t="s">
        <v>1816</v>
      </c>
      <c r="P23" s="58">
        <v>2586565455</v>
      </c>
      <c r="Q23" s="39" t="s">
        <v>1599</v>
      </c>
      <c r="R23" s="124">
        <v>46001</v>
      </c>
      <c r="S23" s="124">
        <v>46327</v>
      </c>
      <c r="T23" s="58">
        <f ca="1">IF(Table2[[#This Row],[تاريخ نهاية التفويض]]="","",IFERROR(_xlfn.DAYS(Table2[[#This Row],[تاريخ نهاية التفويض]],TODAY()),""))</f>
        <v>67</v>
      </c>
      <c r="U23" s="42" t="s">
        <v>26</v>
      </c>
      <c r="V23" s="43">
        <v>46393</v>
      </c>
      <c r="W23" s="44">
        <f ca="1">IF(Table2[[#This Row],[تاريخ انتهاء التأمين]]="","",IFERROR(_xlfn.DAYS(Table2[[#This Row],[تاريخ انتهاء التأمين]],TODAY()),""))</f>
        <v>133</v>
      </c>
      <c r="X23" s="42" t="s">
        <v>27</v>
      </c>
      <c r="Y23" s="42" t="s">
        <v>28</v>
      </c>
      <c r="Z23" s="45">
        <v>1180</v>
      </c>
      <c r="AA23" s="46">
        <v>650578</v>
      </c>
      <c r="AB23" s="46" t="s">
        <v>1284</v>
      </c>
      <c r="AC23" s="46" t="s">
        <v>861</v>
      </c>
      <c r="AD23" s="46" t="s">
        <v>938</v>
      </c>
      <c r="AE23" s="47">
        <v>300</v>
      </c>
      <c r="AF23" s="48" t="s">
        <v>1147</v>
      </c>
      <c r="AG23" s="48" t="s">
        <v>861</v>
      </c>
      <c r="AH23" s="48" t="s">
        <v>1149</v>
      </c>
      <c r="AI23" s="90">
        <v>867747078365788</v>
      </c>
      <c r="AJ23" s="89">
        <v>46139</v>
      </c>
      <c r="AK23" s="102">
        <f ca="1">IF(Table2[[#This Row],[تاريخ انتهاء ال GPS]]="","",IFERROR(_xlfn.DAYS(Table2[[#This Row],[تاريخ انتهاء ال GPS]],TODAY()),""))</f>
        <v>-121</v>
      </c>
      <c r="AL23" s="114" t="s">
        <v>1137</v>
      </c>
      <c r="AM23" s="129" t="s">
        <v>1137</v>
      </c>
      <c r="AN23" s="129" t="s">
        <v>1137</v>
      </c>
      <c r="AO23" s="80">
        <v>46460</v>
      </c>
      <c r="AP23" s="52">
        <f>Table2[[#This Row],[تاريخ انتهاء رخصة السير هجري]]</f>
        <v>46460</v>
      </c>
      <c r="AQ23" s="53">
        <f ca="1">IF(Table2[[#This Row],[تاريخ انتهاء رخصة السير ميلادي]]="","",IFERROR(_xlfn.DAYS(Table2[[#This Row],[تاريخ انتهاء رخصة السير ميلادي]],TODAY()),""))</f>
        <v>200</v>
      </c>
      <c r="AR23" s="55">
        <v>46400</v>
      </c>
      <c r="AS23" s="56">
        <f>Table2[[#This Row],[تاريخ انتهاء الفحص هجري]]</f>
        <v>46400</v>
      </c>
      <c r="AT23" s="106">
        <f ca="1">IF(Table2[[#This Row],[تاريخ انتهاء الفحص ميلادي]]="","",IFERROR(_xlfn.DAYS(Table2[[#This Row],[تاريخ انتهاء الفحص ميلادي]],TODAY()),""))</f>
        <v>140</v>
      </c>
      <c r="AU23" s="54"/>
      <c r="AV23" s="1"/>
      <c r="BE23" s="3"/>
      <c r="BH23" s="1"/>
    </row>
    <row r="24" spans="1:60" x14ac:dyDescent="0.3">
      <c r="A24" s="39" t="s">
        <v>19</v>
      </c>
      <c r="B24" s="39" t="s">
        <v>2000</v>
      </c>
      <c r="C24" s="39" t="s">
        <v>1187</v>
      </c>
      <c r="D24" s="39" t="s">
        <v>17</v>
      </c>
      <c r="E24" s="39" t="s">
        <v>819</v>
      </c>
      <c r="F24" s="40">
        <v>7025667531</v>
      </c>
      <c r="G24" s="41" t="s">
        <v>72</v>
      </c>
      <c r="H24" s="39" t="s">
        <v>73</v>
      </c>
      <c r="I24" s="58">
        <v>886817020</v>
      </c>
      <c r="J24" s="39" t="s">
        <v>20</v>
      </c>
      <c r="K24" s="39" t="s">
        <v>67</v>
      </c>
      <c r="L24" s="39" t="s">
        <v>22</v>
      </c>
      <c r="M24" s="39">
        <v>2024</v>
      </c>
      <c r="N24" s="39" t="s">
        <v>64</v>
      </c>
      <c r="O24" s="39" t="s">
        <v>1810</v>
      </c>
      <c r="P24" s="58">
        <v>2600468512</v>
      </c>
      <c r="Q24" s="39" t="s">
        <v>1600</v>
      </c>
      <c r="R24" s="124">
        <v>46243</v>
      </c>
      <c r="S24" s="124">
        <v>46387</v>
      </c>
      <c r="T24" s="58">
        <f ca="1">IF(Table2[[#This Row],[تاريخ نهاية التفويض]]="","",IFERROR(_xlfn.DAYS(Table2[[#This Row],[تاريخ نهاية التفويض]],TODAY()),""))</f>
        <v>127</v>
      </c>
      <c r="U24" s="42" t="s">
        <v>26</v>
      </c>
      <c r="V24" s="43">
        <v>46393</v>
      </c>
      <c r="W24" s="44">
        <f ca="1">IF(Table2[[#This Row],[تاريخ انتهاء التأمين]]="","",IFERROR(_xlfn.DAYS(Table2[[#This Row],[تاريخ انتهاء التأمين]],TODAY()),""))</f>
        <v>133</v>
      </c>
      <c r="X24" s="42" t="s">
        <v>27</v>
      </c>
      <c r="Y24" s="42" t="s">
        <v>28</v>
      </c>
      <c r="Z24" s="45">
        <v>1180</v>
      </c>
      <c r="AA24" s="46">
        <v>650580</v>
      </c>
      <c r="AB24" s="46" t="s">
        <v>1285</v>
      </c>
      <c r="AC24" s="46" t="s">
        <v>861</v>
      </c>
      <c r="AD24" s="46" t="s">
        <v>938</v>
      </c>
      <c r="AE24" s="47">
        <v>300</v>
      </c>
      <c r="AF24" s="48" t="s">
        <v>1147</v>
      </c>
      <c r="AG24" s="48" t="s">
        <v>861</v>
      </c>
      <c r="AH24" s="48" t="s">
        <v>1149</v>
      </c>
      <c r="AI24" s="90">
        <v>867747079073829</v>
      </c>
      <c r="AJ24" s="89">
        <v>46139</v>
      </c>
      <c r="AK24" s="102">
        <f ca="1">IF(Table2[[#This Row],[تاريخ انتهاء ال GPS]]="","",IFERROR(_xlfn.DAYS(Table2[[#This Row],[تاريخ انتهاء ال GPS]],TODAY()),""))</f>
        <v>-121</v>
      </c>
      <c r="AL24" s="49" t="s">
        <v>1537</v>
      </c>
      <c r="AM24" s="50">
        <v>46621</v>
      </c>
      <c r="AN24" s="51">
        <f ca="1">IF(Table2[[#This Row],[تاريخ انتهاء بطاقة التشغيل]]="","",IFERROR(_xlfn.DAYS(Table2[[#This Row],[تاريخ انتهاء بطاقة التشغيل]],TODAY()),""))</f>
        <v>361</v>
      </c>
      <c r="AO24" s="80">
        <v>46460</v>
      </c>
      <c r="AP24" s="52">
        <f>Table2[[#This Row],[تاريخ انتهاء رخصة السير هجري]]</f>
        <v>46460</v>
      </c>
      <c r="AQ24" s="53">
        <f ca="1">IF(Table2[[#This Row],[تاريخ انتهاء رخصة السير ميلادي]]="","",IFERROR(_xlfn.DAYS(Table2[[#This Row],[تاريخ انتهاء رخصة السير ميلادي]],TODAY()),""))</f>
        <v>200</v>
      </c>
      <c r="AR24" s="55">
        <v>46399</v>
      </c>
      <c r="AS24" s="56">
        <f>Table2[[#This Row],[تاريخ انتهاء الفحص هجري]]</f>
        <v>46399</v>
      </c>
      <c r="AT24" s="106">
        <f ca="1">IF(Table2[[#This Row],[تاريخ انتهاء الفحص ميلادي]]="","",IFERROR(_xlfn.DAYS(Table2[[#This Row],[تاريخ انتهاء الفحص ميلادي]],TODAY()),""))</f>
        <v>139</v>
      </c>
      <c r="AU24" s="54"/>
      <c r="AV24" s="1"/>
      <c r="BE24" s="3"/>
      <c r="BH24" s="1"/>
    </row>
    <row r="25" spans="1:60" x14ac:dyDescent="0.3">
      <c r="A25" s="39" t="s">
        <v>19</v>
      </c>
      <c r="B25" s="39" t="s">
        <v>2002</v>
      </c>
      <c r="C25" s="39" t="s">
        <v>1187</v>
      </c>
      <c r="D25" s="39" t="s">
        <v>17</v>
      </c>
      <c r="E25" s="39" t="s">
        <v>819</v>
      </c>
      <c r="F25" s="40">
        <v>7025667531</v>
      </c>
      <c r="G25" s="41" t="s">
        <v>74</v>
      </c>
      <c r="H25" s="39" t="s">
        <v>75</v>
      </c>
      <c r="I25" s="58">
        <v>276817020</v>
      </c>
      <c r="J25" s="39" t="s">
        <v>20</v>
      </c>
      <c r="K25" s="39" t="s">
        <v>67</v>
      </c>
      <c r="L25" s="39" t="s">
        <v>22</v>
      </c>
      <c r="M25" s="39">
        <v>2024</v>
      </c>
      <c r="N25" s="39" t="s">
        <v>64</v>
      </c>
      <c r="O25" s="39" t="s">
        <v>1817</v>
      </c>
      <c r="P25" s="58">
        <v>2578797025</v>
      </c>
      <c r="Q25" s="39" t="s">
        <v>1601</v>
      </c>
      <c r="R25" s="124">
        <v>46242</v>
      </c>
      <c r="S25" s="124">
        <v>46387</v>
      </c>
      <c r="T25" s="58">
        <f ca="1">IF(Table2[[#This Row],[تاريخ نهاية التفويض]]="","",IFERROR(_xlfn.DAYS(Table2[[#This Row],[تاريخ نهاية التفويض]],TODAY()),""))</f>
        <v>127</v>
      </c>
      <c r="U25" s="42" t="s">
        <v>26</v>
      </c>
      <c r="V25" s="43">
        <v>46393</v>
      </c>
      <c r="W25" s="44">
        <f ca="1">IF(Table2[[#This Row],[تاريخ انتهاء التأمين]]="","",IFERROR(_xlfn.DAYS(Table2[[#This Row],[تاريخ انتهاء التأمين]],TODAY()),""))</f>
        <v>133</v>
      </c>
      <c r="X25" s="42" t="s">
        <v>27</v>
      </c>
      <c r="Y25" s="42" t="s">
        <v>28</v>
      </c>
      <c r="Z25" s="45">
        <v>1180</v>
      </c>
      <c r="AA25" s="46">
        <v>650582</v>
      </c>
      <c r="AB25" s="46" t="s">
        <v>1286</v>
      </c>
      <c r="AC25" s="46" t="s">
        <v>861</v>
      </c>
      <c r="AD25" s="46" t="s">
        <v>938</v>
      </c>
      <c r="AE25" s="47">
        <v>300</v>
      </c>
      <c r="AF25" s="48" t="s">
        <v>1147</v>
      </c>
      <c r="AG25" s="48" t="s">
        <v>861</v>
      </c>
      <c r="AH25" s="48" t="s">
        <v>1149</v>
      </c>
      <c r="AI25" s="90">
        <v>867747079073647</v>
      </c>
      <c r="AJ25" s="89">
        <v>46139</v>
      </c>
      <c r="AK25" s="102">
        <f ca="1">IF(Table2[[#This Row],[تاريخ انتهاء ال GPS]]="","",IFERROR(_xlfn.DAYS(Table2[[#This Row],[تاريخ انتهاء ال GPS]],TODAY()),""))</f>
        <v>-121</v>
      </c>
      <c r="AL25" s="49" t="s">
        <v>1101</v>
      </c>
      <c r="AM25" s="50">
        <v>46266</v>
      </c>
      <c r="AN25" s="51">
        <f ca="1">IF(Table2[[#This Row],[تاريخ انتهاء بطاقة التشغيل]]="","",IFERROR(_xlfn.DAYS(Table2[[#This Row],[تاريخ انتهاء بطاقة التشغيل]],TODAY()),""))</f>
        <v>6</v>
      </c>
      <c r="AO25" s="80">
        <v>46460</v>
      </c>
      <c r="AP25" s="52">
        <f>Table2[[#This Row],[تاريخ انتهاء رخصة السير هجري]]</f>
        <v>46460</v>
      </c>
      <c r="AQ25" s="53">
        <f ca="1">IF(Table2[[#This Row],[تاريخ انتهاء رخصة السير ميلادي]]="","",IFERROR(_xlfn.DAYS(Table2[[#This Row],[تاريخ انتهاء رخصة السير ميلادي]],TODAY()),""))</f>
        <v>200</v>
      </c>
      <c r="AR25" s="55">
        <v>46399</v>
      </c>
      <c r="AS25" s="56">
        <f>Table2[[#This Row],[تاريخ انتهاء الفحص هجري]]</f>
        <v>46399</v>
      </c>
      <c r="AT25" s="106">
        <f ca="1">IF(Table2[[#This Row],[تاريخ انتهاء الفحص ميلادي]]="","",IFERROR(_xlfn.DAYS(Table2[[#This Row],[تاريخ انتهاء الفحص ميلادي]],TODAY()),""))</f>
        <v>139</v>
      </c>
      <c r="AU25" s="54"/>
      <c r="AV25" s="1"/>
      <c r="BE25" s="3"/>
      <c r="BH25" s="1"/>
    </row>
    <row r="26" spans="1:60" x14ac:dyDescent="0.3">
      <c r="A26" s="39" t="s">
        <v>19</v>
      </c>
      <c r="B26" s="39" t="s">
        <v>1999</v>
      </c>
      <c r="C26" s="39" t="s">
        <v>1187</v>
      </c>
      <c r="D26" s="39" t="s">
        <v>17</v>
      </c>
      <c r="E26" s="39" t="s">
        <v>819</v>
      </c>
      <c r="F26" s="40">
        <v>7025667531</v>
      </c>
      <c r="G26" s="41" t="s">
        <v>76</v>
      </c>
      <c r="H26" s="39" t="s">
        <v>77</v>
      </c>
      <c r="I26" s="58">
        <v>666817020</v>
      </c>
      <c r="J26" s="39" t="s">
        <v>20</v>
      </c>
      <c r="K26" s="39" t="s">
        <v>67</v>
      </c>
      <c r="L26" s="39" t="s">
        <v>22</v>
      </c>
      <c r="M26" s="39">
        <v>2024</v>
      </c>
      <c r="N26" s="39" t="s">
        <v>64</v>
      </c>
      <c r="O26" s="39" t="s">
        <v>1818</v>
      </c>
      <c r="P26" s="58">
        <v>2600302281</v>
      </c>
      <c r="Q26" s="39" t="s">
        <v>1602</v>
      </c>
      <c r="R26" s="124">
        <v>46001</v>
      </c>
      <c r="S26" s="124">
        <v>46327</v>
      </c>
      <c r="T26" s="58">
        <f ca="1">IF(Table2[[#This Row],[تاريخ نهاية التفويض]]="","",IFERROR(_xlfn.DAYS(Table2[[#This Row],[تاريخ نهاية التفويض]],TODAY()),""))</f>
        <v>67</v>
      </c>
      <c r="U26" s="42" t="s">
        <v>26</v>
      </c>
      <c r="V26" s="43">
        <v>46393</v>
      </c>
      <c r="W26" s="44">
        <f ca="1">IF(Table2[[#This Row],[تاريخ انتهاء التأمين]]="","",IFERROR(_xlfn.DAYS(Table2[[#This Row],[تاريخ انتهاء التأمين]],TODAY()),""))</f>
        <v>133</v>
      </c>
      <c r="X26" s="42" t="s">
        <v>27</v>
      </c>
      <c r="Y26" s="42" t="s">
        <v>28</v>
      </c>
      <c r="Z26" s="45">
        <v>1180</v>
      </c>
      <c r="AA26" s="46">
        <v>650584</v>
      </c>
      <c r="AB26" s="46" t="s">
        <v>1287</v>
      </c>
      <c r="AC26" s="46" t="s">
        <v>861</v>
      </c>
      <c r="AD26" s="46" t="s">
        <v>938</v>
      </c>
      <c r="AE26" s="47">
        <v>300</v>
      </c>
      <c r="AF26" s="48" t="s">
        <v>1147</v>
      </c>
      <c r="AG26" s="48" t="s">
        <v>861</v>
      </c>
      <c r="AH26" s="48" t="s">
        <v>1149</v>
      </c>
      <c r="AI26" s="90">
        <v>867747078359534</v>
      </c>
      <c r="AJ26" s="89">
        <v>46139</v>
      </c>
      <c r="AK26" s="102">
        <f ca="1">IF(Table2[[#This Row],[تاريخ انتهاء ال GPS]]="","",IFERROR(_xlfn.DAYS(Table2[[#This Row],[تاريخ انتهاء ال GPS]],TODAY()),""))</f>
        <v>-121</v>
      </c>
      <c r="AL26" s="114" t="s">
        <v>1137</v>
      </c>
      <c r="AM26" s="129" t="s">
        <v>1137</v>
      </c>
      <c r="AN26" s="129" t="s">
        <v>1137</v>
      </c>
      <c r="AO26" s="80">
        <v>46460</v>
      </c>
      <c r="AP26" s="52">
        <f>Table2[[#This Row],[تاريخ انتهاء رخصة السير هجري]]</f>
        <v>46460</v>
      </c>
      <c r="AQ26" s="53">
        <f ca="1">IF(Table2[[#This Row],[تاريخ انتهاء رخصة السير ميلادي]]="","",IFERROR(_xlfn.DAYS(Table2[[#This Row],[تاريخ انتهاء رخصة السير ميلادي]],TODAY()),""))</f>
        <v>200</v>
      </c>
      <c r="AR26" s="55">
        <v>46399</v>
      </c>
      <c r="AS26" s="56">
        <f>Table2[[#This Row],[تاريخ انتهاء الفحص هجري]]</f>
        <v>46399</v>
      </c>
      <c r="AT26" s="106">
        <f ca="1">IF(Table2[[#This Row],[تاريخ انتهاء الفحص ميلادي]]="","",IFERROR(_xlfn.DAYS(Table2[[#This Row],[تاريخ انتهاء الفحص ميلادي]],TODAY()),""))</f>
        <v>139</v>
      </c>
      <c r="AU26" s="54"/>
      <c r="AV26" s="1"/>
      <c r="BE26" s="3"/>
      <c r="BH26" s="1"/>
    </row>
    <row r="27" spans="1:60" x14ac:dyDescent="0.3">
      <c r="A27" s="39" t="s">
        <v>19</v>
      </c>
      <c r="B27" s="39" t="s">
        <v>2000</v>
      </c>
      <c r="C27" s="39" t="s">
        <v>1187</v>
      </c>
      <c r="D27" s="39" t="s">
        <v>17</v>
      </c>
      <c r="E27" s="39" t="s">
        <v>819</v>
      </c>
      <c r="F27" s="40">
        <v>7025667531</v>
      </c>
      <c r="G27" s="41" t="s">
        <v>78</v>
      </c>
      <c r="H27" s="39" t="s">
        <v>79</v>
      </c>
      <c r="I27" s="58">
        <v>956817020</v>
      </c>
      <c r="J27" s="39" t="s">
        <v>20</v>
      </c>
      <c r="K27" s="39" t="s">
        <v>67</v>
      </c>
      <c r="L27" s="39" t="s">
        <v>22</v>
      </c>
      <c r="M27" s="39">
        <v>2024</v>
      </c>
      <c r="N27" s="39" t="s">
        <v>64</v>
      </c>
      <c r="O27" s="39" t="s">
        <v>1819</v>
      </c>
      <c r="P27" s="58">
        <v>2613704226</v>
      </c>
      <c r="Q27" s="39" t="s">
        <v>1603</v>
      </c>
      <c r="R27" s="124">
        <v>46242</v>
      </c>
      <c r="S27" s="124">
        <v>46387</v>
      </c>
      <c r="T27" s="58">
        <f ca="1">IF(Table2[[#This Row],[تاريخ نهاية التفويض]]="","",IFERROR(_xlfn.DAYS(Table2[[#This Row],[تاريخ نهاية التفويض]],TODAY()),""))</f>
        <v>127</v>
      </c>
      <c r="U27" s="42" t="s">
        <v>26</v>
      </c>
      <c r="V27" s="43">
        <v>46393</v>
      </c>
      <c r="W27" s="44">
        <f ca="1">IF(Table2[[#This Row],[تاريخ انتهاء التأمين]]="","",IFERROR(_xlfn.DAYS(Table2[[#This Row],[تاريخ انتهاء التأمين]],TODAY()),""))</f>
        <v>133</v>
      </c>
      <c r="X27" s="42" t="s">
        <v>27</v>
      </c>
      <c r="Y27" s="42" t="s">
        <v>28</v>
      </c>
      <c r="Z27" s="45">
        <v>1180</v>
      </c>
      <c r="AA27" s="46">
        <v>650577</v>
      </c>
      <c r="AB27" s="46" t="s">
        <v>1288</v>
      </c>
      <c r="AC27" s="46" t="s">
        <v>861</v>
      </c>
      <c r="AD27" s="46" t="s">
        <v>938</v>
      </c>
      <c r="AE27" s="47">
        <v>300</v>
      </c>
      <c r="AF27" s="48" t="s">
        <v>1147</v>
      </c>
      <c r="AG27" s="48" t="s">
        <v>861</v>
      </c>
      <c r="AH27" s="48" t="s">
        <v>1149</v>
      </c>
      <c r="AI27" s="90">
        <v>867747079073944</v>
      </c>
      <c r="AJ27" s="89">
        <v>46139</v>
      </c>
      <c r="AK27" s="102">
        <f ca="1">IF(Table2[[#This Row],[تاريخ انتهاء ال GPS]]="","",IFERROR(_xlfn.DAYS(Table2[[#This Row],[تاريخ انتهاء ال GPS]],TODAY()),""))</f>
        <v>-121</v>
      </c>
      <c r="AL27" s="49" t="s">
        <v>1538</v>
      </c>
      <c r="AM27" s="50">
        <v>46621</v>
      </c>
      <c r="AN27" s="51">
        <f ca="1">IF(Table2[[#This Row],[تاريخ انتهاء بطاقة التشغيل]]="","",IFERROR(_xlfn.DAYS(Table2[[#This Row],[تاريخ انتهاء بطاقة التشغيل]],TODAY()),""))</f>
        <v>361</v>
      </c>
      <c r="AO27" s="80">
        <v>46460</v>
      </c>
      <c r="AP27" s="52">
        <f>Table2[[#This Row],[تاريخ انتهاء رخصة السير هجري]]</f>
        <v>46460</v>
      </c>
      <c r="AQ27" s="53">
        <f ca="1">IF(Table2[[#This Row],[تاريخ انتهاء رخصة السير ميلادي]]="","",IFERROR(_xlfn.DAYS(Table2[[#This Row],[تاريخ انتهاء رخصة السير ميلادي]],TODAY()),""))</f>
        <v>200</v>
      </c>
      <c r="AR27" s="55">
        <v>46400</v>
      </c>
      <c r="AS27" s="56">
        <f>Table2[[#This Row],[تاريخ انتهاء الفحص هجري]]</f>
        <v>46400</v>
      </c>
      <c r="AT27" s="106">
        <f ca="1">IF(Table2[[#This Row],[تاريخ انتهاء الفحص ميلادي]]="","",IFERROR(_xlfn.DAYS(Table2[[#This Row],[تاريخ انتهاء الفحص ميلادي]],TODAY()),""))</f>
        <v>140</v>
      </c>
      <c r="AU27" s="54"/>
      <c r="AV27" s="1"/>
      <c r="BE27" s="3"/>
      <c r="BH27" s="1"/>
    </row>
    <row r="28" spans="1:60" x14ac:dyDescent="0.3">
      <c r="A28" s="39" t="s">
        <v>19</v>
      </c>
      <c r="B28" s="39" t="s">
        <v>1183</v>
      </c>
      <c r="C28" s="39" t="s">
        <v>1187</v>
      </c>
      <c r="D28" s="39" t="s">
        <v>17</v>
      </c>
      <c r="E28" s="39" t="s">
        <v>819</v>
      </c>
      <c r="F28" s="40">
        <v>7025667531</v>
      </c>
      <c r="G28" s="41" t="s">
        <v>80</v>
      </c>
      <c r="H28" s="39" t="s">
        <v>81</v>
      </c>
      <c r="I28" s="58">
        <v>746817020</v>
      </c>
      <c r="J28" s="39" t="s">
        <v>20</v>
      </c>
      <c r="K28" s="39" t="s">
        <v>67</v>
      </c>
      <c r="L28" s="39" t="s">
        <v>22</v>
      </c>
      <c r="M28" s="39">
        <v>2024</v>
      </c>
      <c r="N28" s="39" t="s">
        <v>64</v>
      </c>
      <c r="O28" s="39" t="s">
        <v>1820</v>
      </c>
      <c r="P28" s="58">
        <v>2560884062</v>
      </c>
      <c r="Q28" s="39" t="s">
        <v>1604</v>
      </c>
      <c r="R28" s="124">
        <v>46245</v>
      </c>
      <c r="S28" s="124">
        <v>46387</v>
      </c>
      <c r="T28" s="58">
        <f ca="1">IF(Table2[[#This Row],[تاريخ نهاية التفويض]]="","",IFERROR(_xlfn.DAYS(Table2[[#This Row],[تاريخ نهاية التفويض]],TODAY()),""))</f>
        <v>127</v>
      </c>
      <c r="U28" s="42" t="s">
        <v>26</v>
      </c>
      <c r="V28" s="43">
        <v>46393</v>
      </c>
      <c r="W28" s="44">
        <f ca="1">IF(Table2[[#This Row],[تاريخ انتهاء التأمين]]="","",IFERROR(_xlfn.DAYS(Table2[[#This Row],[تاريخ انتهاء التأمين]],TODAY()),""))</f>
        <v>133</v>
      </c>
      <c r="X28" s="42" t="s">
        <v>27</v>
      </c>
      <c r="Y28" s="42" t="s">
        <v>28</v>
      </c>
      <c r="Z28" s="45">
        <v>1180</v>
      </c>
      <c r="AA28" s="46">
        <v>650579</v>
      </c>
      <c r="AB28" s="46" t="s">
        <v>1289</v>
      </c>
      <c r="AC28" s="46" t="s">
        <v>861</v>
      </c>
      <c r="AD28" s="46" t="s">
        <v>938</v>
      </c>
      <c r="AE28" s="47">
        <v>300</v>
      </c>
      <c r="AF28" s="48" t="s">
        <v>1147</v>
      </c>
      <c r="AG28" s="48" t="s">
        <v>861</v>
      </c>
      <c r="AH28" s="48" t="s">
        <v>1149</v>
      </c>
      <c r="AI28" s="90">
        <v>867747078728811</v>
      </c>
      <c r="AJ28" s="89">
        <v>46139</v>
      </c>
      <c r="AK28" s="102">
        <f ca="1">IF(Table2[[#This Row],[تاريخ انتهاء ال GPS]]="","",IFERROR(_xlfn.DAYS(Table2[[#This Row],[تاريخ انتهاء ال GPS]],TODAY()),""))</f>
        <v>-121</v>
      </c>
      <c r="AL28" s="49" t="s">
        <v>1102</v>
      </c>
      <c r="AM28" s="50">
        <v>46266</v>
      </c>
      <c r="AN28" s="51">
        <f ca="1">IF(Table2[[#This Row],[تاريخ انتهاء بطاقة التشغيل]]="","",IFERROR(_xlfn.DAYS(Table2[[#This Row],[تاريخ انتهاء بطاقة التشغيل]],TODAY()),""))</f>
        <v>6</v>
      </c>
      <c r="AO28" s="80">
        <v>46460</v>
      </c>
      <c r="AP28" s="52">
        <f>Table2[[#This Row],[تاريخ انتهاء رخصة السير هجري]]</f>
        <v>46460</v>
      </c>
      <c r="AQ28" s="53">
        <f ca="1">IF(Table2[[#This Row],[تاريخ انتهاء رخصة السير ميلادي]]="","",IFERROR(_xlfn.DAYS(Table2[[#This Row],[تاريخ انتهاء رخصة السير ميلادي]],TODAY()),""))</f>
        <v>200</v>
      </c>
      <c r="AR28" s="55">
        <v>46400</v>
      </c>
      <c r="AS28" s="56">
        <f>Table2[[#This Row],[تاريخ انتهاء الفحص هجري]]</f>
        <v>46400</v>
      </c>
      <c r="AT28" s="106">
        <f ca="1">IF(Table2[[#This Row],[تاريخ انتهاء الفحص ميلادي]]="","",IFERROR(_xlfn.DAYS(Table2[[#This Row],[تاريخ انتهاء الفحص ميلادي]],TODAY()),""))</f>
        <v>140</v>
      </c>
      <c r="AU28" s="54"/>
      <c r="AV28" s="1"/>
      <c r="BE28" s="3"/>
      <c r="BH28" s="1"/>
    </row>
    <row r="29" spans="1:60" x14ac:dyDescent="0.3">
      <c r="A29" s="39" t="s">
        <v>19</v>
      </c>
      <c r="B29" s="39" t="s">
        <v>1193</v>
      </c>
      <c r="C29" s="39" t="s">
        <v>1193</v>
      </c>
      <c r="D29" s="39" t="s">
        <v>17</v>
      </c>
      <c r="E29" s="39" t="s">
        <v>819</v>
      </c>
      <c r="F29" s="40">
        <v>7025667531</v>
      </c>
      <c r="G29" s="41" t="s">
        <v>82</v>
      </c>
      <c r="H29" s="39" t="s">
        <v>83</v>
      </c>
      <c r="I29" s="58">
        <v>736817020</v>
      </c>
      <c r="J29" s="39" t="s">
        <v>20</v>
      </c>
      <c r="K29" s="39" t="s">
        <v>67</v>
      </c>
      <c r="L29" s="39" t="s">
        <v>22</v>
      </c>
      <c r="M29" s="39">
        <v>2024</v>
      </c>
      <c r="N29" s="39" t="s">
        <v>64</v>
      </c>
      <c r="O29" s="39" t="s">
        <v>1137</v>
      </c>
      <c r="P29" s="39" t="s">
        <v>1137</v>
      </c>
      <c r="Q29" s="39" t="s">
        <v>1137</v>
      </c>
      <c r="R29" s="124" t="s">
        <v>1137</v>
      </c>
      <c r="S29" s="124" t="s">
        <v>1137</v>
      </c>
      <c r="T29" s="124" t="s">
        <v>1137</v>
      </c>
      <c r="U29" s="42" t="s">
        <v>26</v>
      </c>
      <c r="V29" s="43">
        <v>46393</v>
      </c>
      <c r="W29" s="44">
        <f ca="1">IF(Table2[[#This Row],[تاريخ انتهاء التأمين]]="","",IFERROR(_xlfn.DAYS(Table2[[#This Row],[تاريخ انتهاء التأمين]],TODAY()),""))</f>
        <v>133</v>
      </c>
      <c r="X29" s="42" t="s">
        <v>27</v>
      </c>
      <c r="Y29" s="42" t="s">
        <v>28</v>
      </c>
      <c r="Z29" s="45">
        <v>1180</v>
      </c>
      <c r="AA29" s="46">
        <v>650581</v>
      </c>
      <c r="AB29" s="46" t="s">
        <v>1290</v>
      </c>
      <c r="AC29" s="46" t="s">
        <v>861</v>
      </c>
      <c r="AD29" s="46" t="s">
        <v>938</v>
      </c>
      <c r="AE29" s="47">
        <v>300</v>
      </c>
      <c r="AF29" s="48" t="s">
        <v>1147</v>
      </c>
      <c r="AG29" s="48" t="s">
        <v>861</v>
      </c>
      <c r="AH29" s="48" t="s">
        <v>1149</v>
      </c>
      <c r="AI29" s="90">
        <v>867747079073993</v>
      </c>
      <c r="AJ29" s="89">
        <v>46139</v>
      </c>
      <c r="AK29" s="102">
        <f ca="1">IF(Table2[[#This Row],[تاريخ انتهاء ال GPS]]="","",IFERROR(_xlfn.DAYS(Table2[[#This Row],[تاريخ انتهاء ال GPS]],TODAY()),""))</f>
        <v>-121</v>
      </c>
      <c r="AL29" s="49" t="s">
        <v>1539</v>
      </c>
      <c r="AM29" s="50">
        <v>46621</v>
      </c>
      <c r="AN29" s="51">
        <f ca="1">IF(Table2[[#This Row],[تاريخ انتهاء بطاقة التشغيل]]="","",IFERROR(_xlfn.DAYS(Table2[[#This Row],[تاريخ انتهاء بطاقة التشغيل]],TODAY()),""))</f>
        <v>361</v>
      </c>
      <c r="AO29" s="80">
        <v>46460</v>
      </c>
      <c r="AP29" s="52">
        <f>Table2[[#This Row],[تاريخ انتهاء رخصة السير هجري]]</f>
        <v>46460</v>
      </c>
      <c r="AQ29" s="53">
        <f ca="1">IF(Table2[[#This Row],[تاريخ انتهاء رخصة السير ميلادي]]="","",IFERROR(_xlfn.DAYS(Table2[[#This Row],[تاريخ انتهاء رخصة السير ميلادي]],TODAY()),""))</f>
        <v>200</v>
      </c>
      <c r="AR29" s="55">
        <v>46399</v>
      </c>
      <c r="AS29" s="56">
        <f>Table2[[#This Row],[تاريخ انتهاء الفحص هجري]]</f>
        <v>46399</v>
      </c>
      <c r="AT29" s="106">
        <f ca="1">IF(Table2[[#This Row],[تاريخ انتهاء الفحص ميلادي]]="","",IFERROR(_xlfn.DAYS(Table2[[#This Row],[تاريخ انتهاء الفحص ميلادي]],TODAY()),""))</f>
        <v>139</v>
      </c>
      <c r="AU29" s="54"/>
      <c r="AV29" s="1"/>
      <c r="BE29" s="3"/>
      <c r="BH29" s="1"/>
    </row>
    <row r="30" spans="1:60" x14ac:dyDescent="0.3">
      <c r="A30" s="39" t="s">
        <v>19</v>
      </c>
      <c r="B30" s="39" t="s">
        <v>2003</v>
      </c>
      <c r="C30" s="39" t="s">
        <v>2004</v>
      </c>
      <c r="D30" s="39" t="s">
        <v>17</v>
      </c>
      <c r="E30" s="39" t="s">
        <v>819</v>
      </c>
      <c r="F30" s="40">
        <v>7025667531</v>
      </c>
      <c r="G30" s="41" t="s">
        <v>84</v>
      </c>
      <c r="H30" s="39" t="s">
        <v>85</v>
      </c>
      <c r="I30" s="58">
        <v>826817020</v>
      </c>
      <c r="J30" s="39" t="s">
        <v>20</v>
      </c>
      <c r="K30" s="39" t="s">
        <v>67</v>
      </c>
      <c r="L30" s="39" t="s">
        <v>22</v>
      </c>
      <c r="M30" s="39">
        <v>2024</v>
      </c>
      <c r="N30" s="39" t="s">
        <v>64</v>
      </c>
      <c r="O30" s="39" t="s">
        <v>1821</v>
      </c>
      <c r="P30" s="58">
        <v>2567992678</v>
      </c>
      <c r="Q30" s="39" t="s">
        <v>1605</v>
      </c>
      <c r="R30" s="124">
        <v>46175</v>
      </c>
      <c r="S30" s="124">
        <v>46387</v>
      </c>
      <c r="T30" s="58">
        <f ca="1">IF(Table2[[#This Row],[تاريخ نهاية التفويض]]="","",IFERROR(_xlfn.DAYS(Table2[[#This Row],[تاريخ نهاية التفويض]],TODAY()),""))</f>
        <v>127</v>
      </c>
      <c r="U30" s="42" t="s">
        <v>26</v>
      </c>
      <c r="V30" s="43">
        <v>46393</v>
      </c>
      <c r="W30" s="44">
        <f ca="1">IF(Table2[[#This Row],[تاريخ انتهاء التأمين]]="","",IFERROR(_xlfn.DAYS(Table2[[#This Row],[تاريخ انتهاء التأمين]],TODAY()),""))</f>
        <v>133</v>
      </c>
      <c r="X30" s="42" t="s">
        <v>27</v>
      </c>
      <c r="Y30" s="42" t="s">
        <v>28</v>
      </c>
      <c r="Z30" s="45">
        <v>1180</v>
      </c>
      <c r="AA30" s="46">
        <v>650583</v>
      </c>
      <c r="AB30" s="46" t="s">
        <v>1291</v>
      </c>
      <c r="AC30" s="46" t="s">
        <v>861</v>
      </c>
      <c r="AD30" s="46" t="s">
        <v>938</v>
      </c>
      <c r="AE30" s="47">
        <v>300</v>
      </c>
      <c r="AF30" s="48" t="s">
        <v>1147</v>
      </c>
      <c r="AG30" s="48" t="s">
        <v>1173</v>
      </c>
      <c r="AH30" s="48" t="s">
        <v>1149</v>
      </c>
      <c r="AI30" s="90">
        <v>867747075445526</v>
      </c>
      <c r="AJ30" s="89">
        <v>46109</v>
      </c>
      <c r="AK30" s="102">
        <f ca="1">IF(Table2[[#This Row],[تاريخ انتهاء ال GPS]]="","",IFERROR(_xlfn.DAYS(Table2[[#This Row],[تاريخ انتهاء ال GPS]],TODAY()),""))</f>
        <v>-151</v>
      </c>
      <c r="AL30" s="49" t="s">
        <v>1103</v>
      </c>
      <c r="AM30" s="50">
        <v>46266</v>
      </c>
      <c r="AN30" s="51">
        <f ca="1">IF(Table2[[#This Row],[تاريخ انتهاء بطاقة التشغيل]]="","",IFERROR(_xlfn.DAYS(Table2[[#This Row],[تاريخ انتهاء بطاقة التشغيل]],TODAY()),""))</f>
        <v>6</v>
      </c>
      <c r="AO30" s="80">
        <v>46460</v>
      </c>
      <c r="AP30" s="52">
        <f>Table2[[#This Row],[تاريخ انتهاء رخصة السير هجري]]</f>
        <v>46460</v>
      </c>
      <c r="AQ30" s="53">
        <f ca="1">IF(Table2[[#This Row],[تاريخ انتهاء رخصة السير ميلادي]]="","",IFERROR(_xlfn.DAYS(Table2[[#This Row],[تاريخ انتهاء رخصة السير ميلادي]],TODAY()),""))</f>
        <v>200</v>
      </c>
      <c r="AR30" s="55">
        <v>46397</v>
      </c>
      <c r="AS30" s="56">
        <f>Table2[[#This Row],[تاريخ انتهاء الفحص هجري]]</f>
        <v>46397</v>
      </c>
      <c r="AT30" s="106">
        <f ca="1">IF(Table2[[#This Row],[تاريخ انتهاء الفحص ميلادي]]="","",IFERROR(_xlfn.DAYS(Table2[[#This Row],[تاريخ انتهاء الفحص ميلادي]],TODAY()),""))</f>
        <v>137</v>
      </c>
      <c r="AU30" s="54"/>
      <c r="AV30" s="1"/>
      <c r="BE30" s="3"/>
      <c r="BH30" s="1"/>
    </row>
    <row r="31" spans="1:60" x14ac:dyDescent="0.3">
      <c r="A31" s="39" t="s">
        <v>19</v>
      </c>
      <c r="B31" s="39" t="s">
        <v>1193</v>
      </c>
      <c r="C31" s="39" t="s">
        <v>1193</v>
      </c>
      <c r="D31" s="39" t="s">
        <v>17</v>
      </c>
      <c r="E31" s="39" t="s">
        <v>819</v>
      </c>
      <c r="F31" s="40">
        <v>7025667531</v>
      </c>
      <c r="G31" s="41" t="s">
        <v>86</v>
      </c>
      <c r="H31" s="39" t="s">
        <v>87</v>
      </c>
      <c r="I31" s="58">
        <v>126817020</v>
      </c>
      <c r="J31" s="39" t="s">
        <v>20</v>
      </c>
      <c r="K31" s="39" t="s">
        <v>67</v>
      </c>
      <c r="L31" s="39" t="s">
        <v>22</v>
      </c>
      <c r="M31" s="39">
        <v>2024</v>
      </c>
      <c r="N31" s="39" t="s">
        <v>64</v>
      </c>
      <c r="O31" s="39" t="s">
        <v>1137</v>
      </c>
      <c r="P31" s="39" t="s">
        <v>1137</v>
      </c>
      <c r="Q31" s="39" t="s">
        <v>1137</v>
      </c>
      <c r="R31" s="124" t="s">
        <v>1137</v>
      </c>
      <c r="S31" s="124" t="s">
        <v>1137</v>
      </c>
      <c r="T31" s="124" t="s">
        <v>1137</v>
      </c>
      <c r="U31" s="42" t="s">
        <v>26</v>
      </c>
      <c r="V31" s="43">
        <v>46393</v>
      </c>
      <c r="W31" s="44">
        <f ca="1">IF(Table2[[#This Row],[تاريخ انتهاء التأمين]]="","",IFERROR(_xlfn.DAYS(Table2[[#This Row],[تاريخ انتهاء التأمين]],TODAY()),""))</f>
        <v>133</v>
      </c>
      <c r="X31" s="42" t="s">
        <v>27</v>
      </c>
      <c r="Y31" s="42" t="s">
        <v>28</v>
      </c>
      <c r="Z31" s="45">
        <v>1180</v>
      </c>
      <c r="AA31" s="46">
        <v>833939</v>
      </c>
      <c r="AB31" s="46" t="s">
        <v>1292</v>
      </c>
      <c r="AC31" s="46" t="s">
        <v>861</v>
      </c>
      <c r="AD31" s="46" t="s">
        <v>938</v>
      </c>
      <c r="AE31" s="47">
        <v>300</v>
      </c>
      <c r="AF31" s="48" t="s">
        <v>1147</v>
      </c>
      <c r="AG31" s="48" t="s">
        <v>861</v>
      </c>
      <c r="AH31" s="48" t="s">
        <v>1149</v>
      </c>
      <c r="AI31" s="90">
        <v>867747078359815</v>
      </c>
      <c r="AJ31" s="89">
        <v>46139</v>
      </c>
      <c r="AK31" s="102">
        <f ca="1">IF(Table2[[#This Row],[تاريخ انتهاء ال GPS]]="","",IFERROR(_xlfn.DAYS(Table2[[#This Row],[تاريخ انتهاء ال GPS]],TODAY()),""))</f>
        <v>-121</v>
      </c>
      <c r="AL31" s="49" t="s">
        <v>1104</v>
      </c>
      <c r="AM31" s="50">
        <v>46266</v>
      </c>
      <c r="AN31" s="51">
        <f ca="1">IF(Table2[[#This Row],[تاريخ انتهاء بطاقة التشغيل]]="","",IFERROR(_xlfn.DAYS(Table2[[#This Row],[تاريخ انتهاء بطاقة التشغيل]],TODAY()),""))</f>
        <v>6</v>
      </c>
      <c r="AO31" s="80">
        <v>46460</v>
      </c>
      <c r="AP31" s="52">
        <f>Table2[[#This Row],[تاريخ انتهاء رخصة السير هجري]]</f>
        <v>46460</v>
      </c>
      <c r="AQ31" s="53">
        <f ca="1">IF(Table2[[#This Row],[تاريخ انتهاء رخصة السير ميلادي]]="","",IFERROR(_xlfn.DAYS(Table2[[#This Row],[تاريخ انتهاء رخصة السير ميلادي]],TODAY()),""))</f>
        <v>200</v>
      </c>
      <c r="AR31" s="55">
        <v>46423</v>
      </c>
      <c r="AS31" s="56">
        <f>Table2[[#This Row],[تاريخ انتهاء الفحص هجري]]</f>
        <v>46423</v>
      </c>
      <c r="AT31" s="106">
        <f ca="1">IF(Table2[[#This Row],[تاريخ انتهاء الفحص ميلادي]]="","",IFERROR(_xlfn.DAYS(Table2[[#This Row],[تاريخ انتهاء الفحص ميلادي]],TODAY()),""))</f>
        <v>163</v>
      </c>
      <c r="AU31" s="54"/>
      <c r="AV31" s="1"/>
      <c r="BE31" s="3"/>
      <c r="BH31" s="1"/>
    </row>
    <row r="32" spans="1:60" x14ac:dyDescent="0.3">
      <c r="A32" s="39" t="s">
        <v>19</v>
      </c>
      <c r="B32" s="39" t="s">
        <v>1193</v>
      </c>
      <c r="C32" s="39" t="s">
        <v>1193</v>
      </c>
      <c r="D32" s="39" t="s">
        <v>17</v>
      </c>
      <c r="E32" s="39" t="s">
        <v>819</v>
      </c>
      <c r="F32" s="40">
        <v>7025667531</v>
      </c>
      <c r="G32" s="41" t="s">
        <v>88</v>
      </c>
      <c r="H32" s="39" t="s">
        <v>89</v>
      </c>
      <c r="I32" s="58">
        <v>262917020</v>
      </c>
      <c r="J32" s="39" t="s">
        <v>20</v>
      </c>
      <c r="K32" s="39" t="s">
        <v>67</v>
      </c>
      <c r="L32" s="39" t="s">
        <v>22</v>
      </c>
      <c r="M32" s="39">
        <v>2024</v>
      </c>
      <c r="N32" s="39" t="s">
        <v>64</v>
      </c>
      <c r="O32" s="39" t="s">
        <v>1137</v>
      </c>
      <c r="P32" s="39" t="s">
        <v>1137</v>
      </c>
      <c r="Q32" s="39" t="s">
        <v>1137</v>
      </c>
      <c r="R32" s="124" t="s">
        <v>1137</v>
      </c>
      <c r="S32" s="124" t="s">
        <v>1137</v>
      </c>
      <c r="T32" s="124" t="s">
        <v>1137</v>
      </c>
      <c r="U32" s="42" t="s">
        <v>26</v>
      </c>
      <c r="V32" s="43">
        <v>46393</v>
      </c>
      <c r="W32" s="44">
        <f ca="1">IF(Table2[[#This Row],[تاريخ انتهاء التأمين]]="","",IFERROR(_xlfn.DAYS(Table2[[#This Row],[تاريخ انتهاء التأمين]],TODAY()),""))</f>
        <v>133</v>
      </c>
      <c r="X32" s="42" t="s">
        <v>27</v>
      </c>
      <c r="Y32" s="42" t="s">
        <v>28</v>
      </c>
      <c r="Z32" s="45">
        <v>1180</v>
      </c>
      <c r="AA32" s="46">
        <v>650585</v>
      </c>
      <c r="AB32" s="46" t="s">
        <v>1138</v>
      </c>
      <c r="AC32" s="46" t="s">
        <v>861</v>
      </c>
      <c r="AD32" s="46" t="s">
        <v>938</v>
      </c>
      <c r="AE32" s="47">
        <v>300</v>
      </c>
      <c r="AF32" s="48" t="s">
        <v>1147</v>
      </c>
      <c r="AG32" s="48" t="s">
        <v>861</v>
      </c>
      <c r="AH32" s="48" t="s">
        <v>1149</v>
      </c>
      <c r="AI32" s="90">
        <v>867747078364963</v>
      </c>
      <c r="AJ32" s="89">
        <v>46140</v>
      </c>
      <c r="AK32" s="102">
        <f ca="1">IF(Table2[[#This Row],[تاريخ انتهاء ال GPS]]="","",IFERROR(_xlfn.DAYS(Table2[[#This Row],[تاريخ انتهاء ال GPS]],TODAY()),""))</f>
        <v>-120</v>
      </c>
      <c r="AL32" s="49" t="s">
        <v>1105</v>
      </c>
      <c r="AM32" s="50">
        <v>46266</v>
      </c>
      <c r="AN32" s="51">
        <f ca="1">IF(Table2[[#This Row],[تاريخ انتهاء بطاقة التشغيل]]="","",IFERROR(_xlfn.DAYS(Table2[[#This Row],[تاريخ انتهاء بطاقة التشغيل]],TODAY()),""))</f>
        <v>6</v>
      </c>
      <c r="AO32" s="80">
        <v>46460</v>
      </c>
      <c r="AP32" s="52">
        <f>Table2[[#This Row],[تاريخ انتهاء رخصة السير هجري]]</f>
        <v>46460</v>
      </c>
      <c r="AQ32" s="53">
        <f ca="1">IF(Table2[[#This Row],[تاريخ انتهاء رخصة السير ميلادي]]="","",IFERROR(_xlfn.DAYS(Table2[[#This Row],[تاريخ انتهاء رخصة السير ميلادي]],TODAY()),""))</f>
        <v>200</v>
      </c>
      <c r="AR32" s="55">
        <v>46399</v>
      </c>
      <c r="AS32" s="56">
        <f>Table2[[#This Row],[تاريخ انتهاء الفحص هجري]]</f>
        <v>46399</v>
      </c>
      <c r="AT32" s="106">
        <f ca="1">IF(Table2[[#This Row],[تاريخ انتهاء الفحص ميلادي]]="","",IFERROR(_xlfn.DAYS(Table2[[#This Row],[تاريخ انتهاء الفحص ميلادي]],TODAY()),""))</f>
        <v>139</v>
      </c>
      <c r="AU32" s="54"/>
      <c r="AV32" s="1"/>
      <c r="BE32" s="3"/>
      <c r="BH32" s="1"/>
    </row>
    <row r="33" spans="1:60" x14ac:dyDescent="0.3">
      <c r="A33" s="39" t="s">
        <v>19</v>
      </c>
      <c r="B33" s="39" t="s">
        <v>1193</v>
      </c>
      <c r="C33" s="39" t="s">
        <v>1193</v>
      </c>
      <c r="D33" s="39" t="s">
        <v>17</v>
      </c>
      <c r="E33" s="39" t="s">
        <v>819</v>
      </c>
      <c r="F33" s="40">
        <v>7025667531</v>
      </c>
      <c r="G33" s="41" t="s">
        <v>90</v>
      </c>
      <c r="H33" s="39" t="s">
        <v>91</v>
      </c>
      <c r="I33" s="58">
        <v>452917020</v>
      </c>
      <c r="J33" s="39" t="s">
        <v>20</v>
      </c>
      <c r="K33" s="39" t="s">
        <v>67</v>
      </c>
      <c r="L33" s="39" t="s">
        <v>22</v>
      </c>
      <c r="M33" s="39">
        <v>2024</v>
      </c>
      <c r="N33" s="39" t="s">
        <v>64</v>
      </c>
      <c r="O33" s="39" t="s">
        <v>1137</v>
      </c>
      <c r="P33" s="39" t="s">
        <v>1137</v>
      </c>
      <c r="Q33" s="39" t="s">
        <v>1137</v>
      </c>
      <c r="R33" s="124" t="s">
        <v>1137</v>
      </c>
      <c r="S33" s="124" t="s">
        <v>1137</v>
      </c>
      <c r="T33" s="124" t="s">
        <v>1137</v>
      </c>
      <c r="U33" s="42" t="s">
        <v>26</v>
      </c>
      <c r="V33" s="43">
        <v>46393</v>
      </c>
      <c r="W33" s="44">
        <f ca="1">IF(Table2[[#This Row],[تاريخ انتهاء التأمين]]="","",IFERROR(_xlfn.DAYS(Table2[[#This Row],[تاريخ انتهاء التأمين]],TODAY()),""))</f>
        <v>133</v>
      </c>
      <c r="X33" s="42" t="s">
        <v>27</v>
      </c>
      <c r="Y33" s="42" t="s">
        <v>28</v>
      </c>
      <c r="Z33" s="45">
        <v>1180</v>
      </c>
      <c r="AA33" s="46">
        <v>650587</v>
      </c>
      <c r="AB33" s="46" t="s">
        <v>1293</v>
      </c>
      <c r="AC33" s="46" t="s">
        <v>861</v>
      </c>
      <c r="AD33" s="46" t="s">
        <v>938</v>
      </c>
      <c r="AE33" s="47">
        <v>300</v>
      </c>
      <c r="AF33" s="114" t="s">
        <v>1137</v>
      </c>
      <c r="AG33" s="114" t="s">
        <v>1137</v>
      </c>
      <c r="AH33" s="114" t="s">
        <v>1137</v>
      </c>
      <c r="AI33" s="114" t="s">
        <v>1137</v>
      </c>
      <c r="AJ33" s="129" t="s">
        <v>1137</v>
      </c>
      <c r="AK33" s="129" t="s">
        <v>1137</v>
      </c>
      <c r="AL33" s="49" t="s">
        <v>1106</v>
      </c>
      <c r="AM33" s="50">
        <v>46266</v>
      </c>
      <c r="AN33" s="51">
        <f ca="1">IF(Table2[[#This Row],[تاريخ انتهاء بطاقة التشغيل]]="","",IFERROR(_xlfn.DAYS(Table2[[#This Row],[تاريخ انتهاء بطاقة التشغيل]],TODAY()),""))</f>
        <v>6</v>
      </c>
      <c r="AO33" s="80">
        <v>46460</v>
      </c>
      <c r="AP33" s="52">
        <f>Table2[[#This Row],[تاريخ انتهاء رخصة السير هجري]]</f>
        <v>46460</v>
      </c>
      <c r="AQ33" s="53">
        <f ca="1">IF(Table2[[#This Row],[تاريخ انتهاء رخصة السير ميلادي]]="","",IFERROR(_xlfn.DAYS(Table2[[#This Row],[تاريخ انتهاء رخصة السير ميلادي]],TODAY()),""))</f>
        <v>200</v>
      </c>
      <c r="AR33" s="55">
        <v>46401</v>
      </c>
      <c r="AS33" s="56">
        <f>Table2[[#This Row],[تاريخ انتهاء الفحص هجري]]</f>
        <v>46401</v>
      </c>
      <c r="AT33" s="106">
        <f ca="1">IF(Table2[[#This Row],[تاريخ انتهاء الفحص ميلادي]]="","",IFERROR(_xlfn.DAYS(Table2[[#This Row],[تاريخ انتهاء الفحص ميلادي]],TODAY()),""))</f>
        <v>141</v>
      </c>
      <c r="AU33" s="54" t="s">
        <v>1501</v>
      </c>
      <c r="AV33" s="1"/>
      <c r="BE33" s="3"/>
      <c r="BH33" s="1"/>
    </row>
    <row r="34" spans="1:60" x14ac:dyDescent="0.3">
      <c r="A34" s="39" t="s">
        <v>19</v>
      </c>
      <c r="B34" s="39" t="s">
        <v>1183</v>
      </c>
      <c r="C34" s="39" t="s">
        <v>1187</v>
      </c>
      <c r="D34" s="39" t="s">
        <v>17</v>
      </c>
      <c r="E34" s="39" t="s">
        <v>819</v>
      </c>
      <c r="F34" s="40">
        <v>7025667531</v>
      </c>
      <c r="G34" s="41" t="s">
        <v>92</v>
      </c>
      <c r="H34" s="39" t="s">
        <v>93</v>
      </c>
      <c r="I34" s="58">
        <v>232917020</v>
      </c>
      <c r="J34" s="39" t="s">
        <v>20</v>
      </c>
      <c r="K34" s="39" t="s">
        <v>67</v>
      </c>
      <c r="L34" s="39" t="s">
        <v>22</v>
      </c>
      <c r="M34" s="39">
        <v>2024</v>
      </c>
      <c r="N34" s="39" t="s">
        <v>64</v>
      </c>
      <c r="O34" s="39" t="s">
        <v>1822</v>
      </c>
      <c r="P34" s="58">
        <v>2559106857</v>
      </c>
      <c r="Q34" s="39" t="s">
        <v>1606</v>
      </c>
      <c r="R34" s="124">
        <v>46245</v>
      </c>
      <c r="S34" s="124">
        <v>46387</v>
      </c>
      <c r="T34" s="58">
        <f ca="1">IF(Table2[[#This Row],[تاريخ نهاية التفويض]]="","",IFERROR(_xlfn.DAYS(Table2[[#This Row],[تاريخ نهاية التفويض]],TODAY()),""))</f>
        <v>127</v>
      </c>
      <c r="U34" s="42" t="s">
        <v>26</v>
      </c>
      <c r="V34" s="43">
        <v>46393</v>
      </c>
      <c r="W34" s="44">
        <f ca="1">IF(Table2[[#This Row],[تاريخ انتهاء التأمين]]="","",IFERROR(_xlfn.DAYS(Table2[[#This Row],[تاريخ انتهاء التأمين]],TODAY()),""))</f>
        <v>133</v>
      </c>
      <c r="X34" s="42" t="s">
        <v>27</v>
      </c>
      <c r="Y34" s="42" t="s">
        <v>28</v>
      </c>
      <c r="Z34" s="45">
        <v>1180</v>
      </c>
      <c r="AA34" s="46">
        <v>833953</v>
      </c>
      <c r="AB34" s="46" t="s">
        <v>1294</v>
      </c>
      <c r="AC34" s="46" t="s">
        <v>861</v>
      </c>
      <c r="AD34" s="46" t="s">
        <v>938</v>
      </c>
      <c r="AE34" s="47">
        <v>300</v>
      </c>
      <c r="AF34" s="48" t="s">
        <v>1147</v>
      </c>
      <c r="AG34" s="48" t="s">
        <v>861</v>
      </c>
      <c r="AH34" s="48" t="s">
        <v>1149</v>
      </c>
      <c r="AI34" s="90">
        <v>867747078359609</v>
      </c>
      <c r="AJ34" s="89">
        <v>46139</v>
      </c>
      <c r="AK34" s="102">
        <f ca="1">IF(Table2[[#This Row],[تاريخ انتهاء ال GPS]]="","",IFERROR(_xlfn.DAYS(Table2[[#This Row],[تاريخ انتهاء ال GPS]],TODAY()),""))</f>
        <v>-121</v>
      </c>
      <c r="AL34" s="49" t="s">
        <v>1540</v>
      </c>
      <c r="AM34" s="50">
        <v>46621</v>
      </c>
      <c r="AN34" s="51">
        <f ca="1">IF(Table2[[#This Row],[تاريخ انتهاء بطاقة التشغيل]]="","",IFERROR(_xlfn.DAYS(Table2[[#This Row],[تاريخ انتهاء بطاقة التشغيل]],TODAY()),""))</f>
        <v>361</v>
      </c>
      <c r="AO34" s="80">
        <v>46460</v>
      </c>
      <c r="AP34" s="52">
        <f>Table2[[#This Row],[تاريخ انتهاء رخصة السير هجري]]</f>
        <v>46460</v>
      </c>
      <c r="AQ34" s="53">
        <f ca="1">IF(Table2[[#This Row],[تاريخ انتهاء رخصة السير ميلادي]]="","",IFERROR(_xlfn.DAYS(Table2[[#This Row],[تاريخ انتهاء رخصة السير ميلادي]],TODAY()),""))</f>
        <v>200</v>
      </c>
      <c r="AR34" s="55">
        <v>46399</v>
      </c>
      <c r="AS34" s="56">
        <f>Table2[[#This Row],[تاريخ انتهاء الفحص هجري]]</f>
        <v>46399</v>
      </c>
      <c r="AT34" s="106">
        <f ca="1">IF(Table2[[#This Row],[تاريخ انتهاء الفحص ميلادي]]="","",IFERROR(_xlfn.DAYS(Table2[[#This Row],[تاريخ انتهاء الفحص ميلادي]],TODAY()),""))</f>
        <v>139</v>
      </c>
      <c r="AU34" s="54"/>
      <c r="AV34" s="1"/>
      <c r="BE34" s="3"/>
      <c r="BH34" s="1"/>
    </row>
    <row r="35" spans="1:60" x14ac:dyDescent="0.3">
      <c r="A35" s="39" t="s">
        <v>19</v>
      </c>
      <c r="B35" s="39" t="s">
        <v>1193</v>
      </c>
      <c r="C35" s="39" t="s">
        <v>1193</v>
      </c>
      <c r="D35" s="39" t="s">
        <v>17</v>
      </c>
      <c r="E35" s="39" t="s">
        <v>819</v>
      </c>
      <c r="F35" s="40">
        <v>7025667531</v>
      </c>
      <c r="G35" s="41" t="s">
        <v>94</v>
      </c>
      <c r="H35" s="39" t="s">
        <v>95</v>
      </c>
      <c r="I35" s="58">
        <v>156917020</v>
      </c>
      <c r="J35" s="39" t="s">
        <v>20</v>
      </c>
      <c r="K35" s="39" t="s">
        <v>67</v>
      </c>
      <c r="L35" s="39" t="s">
        <v>22</v>
      </c>
      <c r="M35" s="39">
        <v>2024</v>
      </c>
      <c r="N35" s="39" t="s">
        <v>64</v>
      </c>
      <c r="O35" s="39" t="s">
        <v>1137</v>
      </c>
      <c r="P35" s="39" t="s">
        <v>1137</v>
      </c>
      <c r="Q35" s="39" t="s">
        <v>1137</v>
      </c>
      <c r="R35" s="124" t="s">
        <v>1137</v>
      </c>
      <c r="S35" s="124" t="s">
        <v>1137</v>
      </c>
      <c r="T35" s="124" t="s">
        <v>1137</v>
      </c>
      <c r="U35" s="42" t="s">
        <v>26</v>
      </c>
      <c r="V35" s="43">
        <v>46393</v>
      </c>
      <c r="W35" s="44">
        <f ca="1">IF(Table2[[#This Row],[تاريخ انتهاء التأمين]]="","",IFERROR(_xlfn.DAYS(Table2[[#This Row],[تاريخ انتهاء التأمين]],TODAY()),""))</f>
        <v>133</v>
      </c>
      <c r="X35" s="42" t="s">
        <v>27</v>
      </c>
      <c r="Y35" s="42" t="s">
        <v>28</v>
      </c>
      <c r="Z35" s="45">
        <v>1180</v>
      </c>
      <c r="AA35" s="46">
        <v>833955</v>
      </c>
      <c r="AB35" s="46" t="s">
        <v>1295</v>
      </c>
      <c r="AC35" s="46" t="s">
        <v>861</v>
      </c>
      <c r="AD35" s="46" t="s">
        <v>938</v>
      </c>
      <c r="AE35" s="47">
        <v>300</v>
      </c>
      <c r="AF35" s="48" t="s">
        <v>1147</v>
      </c>
      <c r="AG35" s="48" t="s">
        <v>861</v>
      </c>
      <c r="AH35" s="48" t="s">
        <v>1149</v>
      </c>
      <c r="AI35" s="90">
        <v>867747078359658</v>
      </c>
      <c r="AJ35" s="89">
        <v>46139</v>
      </c>
      <c r="AK35" s="102">
        <f ca="1">IF(Table2[[#This Row],[تاريخ انتهاء ال GPS]]="","",IFERROR(_xlfn.DAYS(Table2[[#This Row],[تاريخ انتهاء ال GPS]],TODAY()),""))</f>
        <v>-121</v>
      </c>
      <c r="AL35" s="49" t="s">
        <v>1107</v>
      </c>
      <c r="AM35" s="50">
        <v>46266</v>
      </c>
      <c r="AN35" s="51">
        <f ca="1">IF(Table2[[#This Row],[تاريخ انتهاء بطاقة التشغيل]]="","",IFERROR(_xlfn.DAYS(Table2[[#This Row],[تاريخ انتهاء بطاقة التشغيل]],TODAY()),""))</f>
        <v>6</v>
      </c>
      <c r="AO35" s="80">
        <v>46460</v>
      </c>
      <c r="AP35" s="52">
        <f>Table2[[#This Row],[تاريخ انتهاء رخصة السير هجري]]</f>
        <v>46460</v>
      </c>
      <c r="AQ35" s="53">
        <f ca="1">IF(Table2[[#This Row],[تاريخ انتهاء رخصة السير ميلادي]]="","",IFERROR(_xlfn.DAYS(Table2[[#This Row],[تاريخ انتهاء رخصة السير ميلادي]],TODAY()),""))</f>
        <v>200</v>
      </c>
      <c r="AR35" s="55">
        <v>46399</v>
      </c>
      <c r="AS35" s="56">
        <f>Table2[[#This Row],[تاريخ انتهاء الفحص هجري]]</f>
        <v>46399</v>
      </c>
      <c r="AT35" s="106">
        <f ca="1">IF(Table2[[#This Row],[تاريخ انتهاء الفحص ميلادي]]="","",IFERROR(_xlfn.DAYS(Table2[[#This Row],[تاريخ انتهاء الفحص ميلادي]],TODAY()),""))</f>
        <v>139</v>
      </c>
      <c r="AU35" s="54"/>
      <c r="AV35" s="1"/>
      <c r="BE35" s="3"/>
      <c r="BH35" s="1"/>
    </row>
    <row r="36" spans="1:60" x14ac:dyDescent="0.3">
      <c r="A36" s="39" t="s">
        <v>19</v>
      </c>
      <c r="B36" s="39" t="s">
        <v>2000</v>
      </c>
      <c r="C36" s="39" t="s">
        <v>1187</v>
      </c>
      <c r="D36" s="39" t="s">
        <v>17</v>
      </c>
      <c r="E36" s="39" t="s">
        <v>819</v>
      </c>
      <c r="F36" s="40">
        <v>7025667531</v>
      </c>
      <c r="G36" s="41" t="s">
        <v>96</v>
      </c>
      <c r="H36" s="39" t="s">
        <v>97</v>
      </c>
      <c r="I36" s="58">
        <v>246917020</v>
      </c>
      <c r="J36" s="39" t="s">
        <v>20</v>
      </c>
      <c r="K36" s="39" t="s">
        <v>67</v>
      </c>
      <c r="L36" s="39" t="s">
        <v>22</v>
      </c>
      <c r="M36" s="39">
        <v>2024</v>
      </c>
      <c r="N36" s="39" t="s">
        <v>64</v>
      </c>
      <c r="O36" s="39" t="s">
        <v>1982</v>
      </c>
      <c r="P36" s="58">
        <v>2607007255</v>
      </c>
      <c r="Q36" s="39" t="s">
        <v>1607</v>
      </c>
      <c r="R36" s="124">
        <v>46249</v>
      </c>
      <c r="S36" s="124">
        <v>46387</v>
      </c>
      <c r="T36" s="58">
        <f ca="1">IF(Table2[[#This Row],[تاريخ نهاية التفويض]]="","",IFERROR(_xlfn.DAYS(Table2[[#This Row],[تاريخ نهاية التفويض]],TODAY()),""))</f>
        <v>127</v>
      </c>
      <c r="U36" s="42" t="s">
        <v>26</v>
      </c>
      <c r="V36" s="43">
        <v>46393</v>
      </c>
      <c r="W36" s="44">
        <f ca="1">IF(Table2[[#This Row],[تاريخ انتهاء التأمين]]="","",IFERROR(_xlfn.DAYS(Table2[[#This Row],[تاريخ انتهاء التأمين]],TODAY()),""))</f>
        <v>133</v>
      </c>
      <c r="X36" s="42" t="s">
        <v>27</v>
      </c>
      <c r="Y36" s="42" t="s">
        <v>28</v>
      </c>
      <c r="Z36" s="45">
        <v>1180</v>
      </c>
      <c r="AA36" s="46">
        <v>833941</v>
      </c>
      <c r="AB36" s="46" t="s">
        <v>1296</v>
      </c>
      <c r="AC36" s="46" t="s">
        <v>861</v>
      </c>
      <c r="AD36" s="46" t="s">
        <v>938</v>
      </c>
      <c r="AE36" s="47">
        <v>300</v>
      </c>
      <c r="AF36" s="48" t="s">
        <v>1147</v>
      </c>
      <c r="AG36" s="48" t="s">
        <v>861</v>
      </c>
      <c r="AH36" s="48" t="s">
        <v>1149</v>
      </c>
      <c r="AI36" s="90">
        <v>867747078359492</v>
      </c>
      <c r="AJ36" s="89">
        <v>46139</v>
      </c>
      <c r="AK36" s="102">
        <f ca="1">IF(Table2[[#This Row],[تاريخ انتهاء ال GPS]]="","",IFERROR(_xlfn.DAYS(Table2[[#This Row],[تاريخ انتهاء ال GPS]],TODAY()),""))</f>
        <v>-121</v>
      </c>
      <c r="AL36" s="49" t="s">
        <v>1541</v>
      </c>
      <c r="AM36" s="50">
        <v>46621</v>
      </c>
      <c r="AN36" s="51">
        <f ca="1">IF(Table2[[#This Row],[تاريخ انتهاء بطاقة التشغيل]]="","",IFERROR(_xlfn.DAYS(Table2[[#This Row],[تاريخ انتهاء بطاقة التشغيل]],TODAY()),""))</f>
        <v>361</v>
      </c>
      <c r="AO36" s="80">
        <v>46460</v>
      </c>
      <c r="AP36" s="52">
        <f>Table2[[#This Row],[تاريخ انتهاء رخصة السير هجري]]</f>
        <v>46460</v>
      </c>
      <c r="AQ36" s="53">
        <f ca="1">IF(Table2[[#This Row],[تاريخ انتهاء رخصة السير ميلادي]]="","",IFERROR(_xlfn.DAYS(Table2[[#This Row],[تاريخ انتهاء رخصة السير ميلادي]],TODAY()),""))</f>
        <v>200</v>
      </c>
      <c r="AR36" s="55">
        <v>46400</v>
      </c>
      <c r="AS36" s="56">
        <f>Table2[[#This Row],[تاريخ انتهاء الفحص هجري]]</f>
        <v>46400</v>
      </c>
      <c r="AT36" s="106">
        <f ca="1">IF(Table2[[#This Row],[تاريخ انتهاء الفحص ميلادي]]="","",IFERROR(_xlfn.DAYS(Table2[[#This Row],[تاريخ انتهاء الفحص ميلادي]],TODAY()),""))</f>
        <v>140</v>
      </c>
      <c r="AU36" s="54"/>
      <c r="AV36" s="1"/>
      <c r="BE36" s="3"/>
      <c r="BH36" s="1"/>
    </row>
    <row r="37" spans="1:60" x14ac:dyDescent="0.3">
      <c r="A37" s="39" t="s">
        <v>19</v>
      </c>
      <c r="B37" s="39" t="s">
        <v>1193</v>
      </c>
      <c r="C37" s="39" t="s">
        <v>1193</v>
      </c>
      <c r="D37" s="39" t="s">
        <v>17</v>
      </c>
      <c r="E37" s="39" t="s">
        <v>819</v>
      </c>
      <c r="F37" s="40">
        <v>7025667531</v>
      </c>
      <c r="G37" s="41" t="s">
        <v>98</v>
      </c>
      <c r="H37" s="39" t="s">
        <v>99</v>
      </c>
      <c r="I37" s="58">
        <v>536917020</v>
      </c>
      <c r="J37" s="39" t="s">
        <v>20</v>
      </c>
      <c r="K37" s="39" t="s">
        <v>67</v>
      </c>
      <c r="L37" s="39" t="s">
        <v>22</v>
      </c>
      <c r="M37" s="39">
        <v>2024</v>
      </c>
      <c r="N37" s="39" t="s">
        <v>64</v>
      </c>
      <c r="O37" s="39" t="s">
        <v>1137</v>
      </c>
      <c r="P37" s="39" t="s">
        <v>1137</v>
      </c>
      <c r="Q37" s="39" t="s">
        <v>1137</v>
      </c>
      <c r="R37" s="124" t="s">
        <v>1137</v>
      </c>
      <c r="S37" s="124" t="s">
        <v>1137</v>
      </c>
      <c r="T37" s="124" t="s">
        <v>1137</v>
      </c>
      <c r="U37" s="42" t="s">
        <v>26</v>
      </c>
      <c r="V37" s="43">
        <v>46393</v>
      </c>
      <c r="W37" s="44">
        <f ca="1">IF(Table2[[#This Row],[تاريخ انتهاء التأمين]]="","",IFERROR(_xlfn.DAYS(Table2[[#This Row],[تاريخ انتهاء التأمين]],TODAY()),""))</f>
        <v>133</v>
      </c>
      <c r="X37" s="42" t="s">
        <v>27</v>
      </c>
      <c r="Y37" s="42" t="s">
        <v>28</v>
      </c>
      <c r="Z37" s="45">
        <v>1180</v>
      </c>
      <c r="AA37" s="46">
        <v>650586</v>
      </c>
      <c r="AB37" s="46" t="s">
        <v>1297</v>
      </c>
      <c r="AC37" s="46" t="s">
        <v>861</v>
      </c>
      <c r="AD37" s="46" t="s">
        <v>938</v>
      </c>
      <c r="AE37" s="47">
        <v>300</v>
      </c>
      <c r="AF37" s="48" t="s">
        <v>1147</v>
      </c>
      <c r="AG37" s="48" t="s">
        <v>861</v>
      </c>
      <c r="AH37" s="48" t="s">
        <v>1149</v>
      </c>
      <c r="AI37" s="90">
        <v>867747078359419</v>
      </c>
      <c r="AJ37" s="89">
        <v>46139</v>
      </c>
      <c r="AK37" s="102">
        <f ca="1">IF(Table2[[#This Row],[تاريخ انتهاء ال GPS]]="","",IFERROR(_xlfn.DAYS(Table2[[#This Row],[تاريخ انتهاء ال GPS]],TODAY()),""))</f>
        <v>-121</v>
      </c>
      <c r="AL37" s="49" t="s">
        <v>1108</v>
      </c>
      <c r="AM37" s="50">
        <v>46266</v>
      </c>
      <c r="AN37" s="51">
        <f ca="1">IF(Table2[[#This Row],[تاريخ انتهاء بطاقة التشغيل]]="","",IFERROR(_xlfn.DAYS(Table2[[#This Row],[تاريخ انتهاء بطاقة التشغيل]],TODAY()),""))</f>
        <v>6</v>
      </c>
      <c r="AO37" s="80">
        <v>46460</v>
      </c>
      <c r="AP37" s="52">
        <f>Table2[[#This Row],[تاريخ انتهاء رخصة السير هجري]]</f>
        <v>46460</v>
      </c>
      <c r="AQ37" s="53">
        <f ca="1">IF(Table2[[#This Row],[تاريخ انتهاء رخصة السير ميلادي]]="","",IFERROR(_xlfn.DAYS(Table2[[#This Row],[تاريخ انتهاء رخصة السير ميلادي]],TODAY()),""))</f>
        <v>200</v>
      </c>
      <c r="AR37" s="55">
        <v>46400</v>
      </c>
      <c r="AS37" s="56">
        <f>Table2[[#This Row],[تاريخ انتهاء الفحص هجري]]</f>
        <v>46400</v>
      </c>
      <c r="AT37" s="106">
        <f ca="1">IF(Table2[[#This Row],[تاريخ انتهاء الفحص ميلادي]]="","",IFERROR(_xlfn.DAYS(Table2[[#This Row],[تاريخ انتهاء الفحص ميلادي]],TODAY()),""))</f>
        <v>140</v>
      </c>
      <c r="AU37" s="54"/>
      <c r="AV37" s="1"/>
      <c r="BE37" s="3"/>
      <c r="BH37" s="1"/>
    </row>
    <row r="38" spans="1:60" x14ac:dyDescent="0.3">
      <c r="A38" s="39" t="s">
        <v>19</v>
      </c>
      <c r="B38" s="39" t="s">
        <v>1193</v>
      </c>
      <c r="C38" s="39" t="s">
        <v>1193</v>
      </c>
      <c r="D38" s="39" t="s">
        <v>17</v>
      </c>
      <c r="E38" s="39" t="s">
        <v>819</v>
      </c>
      <c r="F38" s="40">
        <v>7025667531</v>
      </c>
      <c r="G38" s="41" t="s">
        <v>100</v>
      </c>
      <c r="H38" s="39" t="s">
        <v>101</v>
      </c>
      <c r="I38" s="58">
        <v>136917020</v>
      </c>
      <c r="J38" s="39" t="s">
        <v>20</v>
      </c>
      <c r="K38" s="39" t="s">
        <v>67</v>
      </c>
      <c r="L38" s="39" t="s">
        <v>22</v>
      </c>
      <c r="M38" s="39">
        <v>2024</v>
      </c>
      <c r="N38" s="39" t="s">
        <v>64</v>
      </c>
      <c r="O38" s="39" t="s">
        <v>1137</v>
      </c>
      <c r="P38" s="39" t="s">
        <v>1137</v>
      </c>
      <c r="Q38" s="39" t="s">
        <v>1137</v>
      </c>
      <c r="R38" s="124" t="s">
        <v>1137</v>
      </c>
      <c r="S38" s="124" t="s">
        <v>1137</v>
      </c>
      <c r="T38" s="124" t="s">
        <v>1137</v>
      </c>
      <c r="U38" s="42" t="s">
        <v>26</v>
      </c>
      <c r="V38" s="43">
        <v>46393</v>
      </c>
      <c r="W38" s="44">
        <f ca="1">IF(Table2[[#This Row],[تاريخ انتهاء التأمين]]="","",IFERROR(_xlfn.DAYS(Table2[[#This Row],[تاريخ انتهاء التأمين]],TODAY()),""))</f>
        <v>133</v>
      </c>
      <c r="X38" s="42" t="s">
        <v>27</v>
      </c>
      <c r="Y38" s="42" t="s">
        <v>28</v>
      </c>
      <c r="Z38" s="45">
        <v>1180</v>
      </c>
      <c r="AA38" s="46">
        <v>650588</v>
      </c>
      <c r="AB38" s="46" t="s">
        <v>1298</v>
      </c>
      <c r="AC38" s="46" t="s">
        <v>861</v>
      </c>
      <c r="AD38" s="46" t="s">
        <v>938</v>
      </c>
      <c r="AE38" s="47">
        <v>300</v>
      </c>
      <c r="AF38" s="48" t="s">
        <v>1147</v>
      </c>
      <c r="AG38" s="48" t="s">
        <v>861</v>
      </c>
      <c r="AH38" s="48" t="s">
        <v>1149</v>
      </c>
      <c r="AI38" s="90">
        <v>867747078730866</v>
      </c>
      <c r="AJ38" s="89">
        <v>46139</v>
      </c>
      <c r="AK38" s="102">
        <f ca="1">IF(Table2[[#This Row],[تاريخ انتهاء ال GPS]]="","",IFERROR(_xlfn.DAYS(Table2[[#This Row],[تاريخ انتهاء ال GPS]],TODAY()),""))</f>
        <v>-121</v>
      </c>
      <c r="AL38" s="49" t="s">
        <v>1109</v>
      </c>
      <c r="AM38" s="50">
        <v>46266</v>
      </c>
      <c r="AN38" s="51">
        <f ca="1">IF(Table2[[#This Row],[تاريخ انتهاء بطاقة التشغيل]]="","",IFERROR(_xlfn.DAYS(Table2[[#This Row],[تاريخ انتهاء بطاقة التشغيل]],TODAY()),""))</f>
        <v>6</v>
      </c>
      <c r="AO38" s="80">
        <v>46460</v>
      </c>
      <c r="AP38" s="52">
        <f>Table2[[#This Row],[تاريخ انتهاء رخصة السير هجري]]</f>
        <v>46460</v>
      </c>
      <c r="AQ38" s="53">
        <f ca="1">IF(Table2[[#This Row],[تاريخ انتهاء رخصة السير ميلادي]]="","",IFERROR(_xlfn.DAYS(Table2[[#This Row],[تاريخ انتهاء رخصة السير ميلادي]],TODAY()),""))</f>
        <v>200</v>
      </c>
      <c r="AR38" s="55">
        <v>46400</v>
      </c>
      <c r="AS38" s="56">
        <f>Table2[[#This Row],[تاريخ انتهاء الفحص هجري]]</f>
        <v>46400</v>
      </c>
      <c r="AT38" s="106">
        <f ca="1">IF(Table2[[#This Row],[تاريخ انتهاء الفحص ميلادي]]="","",IFERROR(_xlfn.DAYS(Table2[[#This Row],[تاريخ انتهاء الفحص ميلادي]],TODAY()),""))</f>
        <v>140</v>
      </c>
      <c r="AU38" s="54"/>
      <c r="AV38" s="1"/>
      <c r="BE38" s="3"/>
      <c r="BH38" s="1"/>
    </row>
    <row r="39" spans="1:60" x14ac:dyDescent="0.3">
      <c r="A39" s="39" t="s">
        <v>19</v>
      </c>
      <c r="B39" s="39" t="s">
        <v>2000</v>
      </c>
      <c r="C39" s="39" t="s">
        <v>1187</v>
      </c>
      <c r="D39" s="39" t="s">
        <v>17</v>
      </c>
      <c r="E39" s="39" t="s">
        <v>819</v>
      </c>
      <c r="F39" s="40">
        <v>7025667531</v>
      </c>
      <c r="G39" s="41" t="s">
        <v>102</v>
      </c>
      <c r="H39" s="39" t="s">
        <v>103</v>
      </c>
      <c r="I39" s="58">
        <v>226917020</v>
      </c>
      <c r="J39" s="39" t="s">
        <v>20</v>
      </c>
      <c r="K39" s="39" t="s">
        <v>67</v>
      </c>
      <c r="L39" s="39" t="s">
        <v>22</v>
      </c>
      <c r="M39" s="39">
        <v>2024</v>
      </c>
      <c r="N39" s="39" t="s">
        <v>64</v>
      </c>
      <c r="O39" s="39" t="s">
        <v>1823</v>
      </c>
      <c r="P39" s="58">
        <v>2591742545</v>
      </c>
      <c r="Q39" s="39" t="s">
        <v>1608</v>
      </c>
      <c r="R39" s="124">
        <v>46242</v>
      </c>
      <c r="S39" s="124">
        <v>46387</v>
      </c>
      <c r="T39" s="58">
        <f ca="1">IF(Table2[[#This Row],[تاريخ نهاية التفويض]]="","",IFERROR(_xlfn.DAYS(Table2[[#This Row],[تاريخ نهاية التفويض]],TODAY()),""))</f>
        <v>127</v>
      </c>
      <c r="U39" s="42" t="s">
        <v>26</v>
      </c>
      <c r="V39" s="43">
        <v>46393</v>
      </c>
      <c r="W39" s="44">
        <f ca="1">IF(Table2[[#This Row],[تاريخ انتهاء التأمين]]="","",IFERROR(_xlfn.DAYS(Table2[[#This Row],[تاريخ انتهاء التأمين]],TODAY()),""))</f>
        <v>133</v>
      </c>
      <c r="X39" s="42" t="s">
        <v>27</v>
      </c>
      <c r="Y39" s="42" t="s">
        <v>28</v>
      </c>
      <c r="Z39" s="45">
        <v>1180</v>
      </c>
      <c r="AA39" s="46">
        <v>833940</v>
      </c>
      <c r="AB39" s="46" t="s">
        <v>1299</v>
      </c>
      <c r="AC39" s="46" t="s">
        <v>861</v>
      </c>
      <c r="AD39" s="46" t="s">
        <v>938</v>
      </c>
      <c r="AE39" s="47">
        <v>300</v>
      </c>
      <c r="AF39" s="48" t="s">
        <v>1147</v>
      </c>
      <c r="AG39" s="48" t="s">
        <v>1173</v>
      </c>
      <c r="AH39" s="48" t="s">
        <v>1149</v>
      </c>
      <c r="AI39" s="90">
        <v>867747078365929</v>
      </c>
      <c r="AJ39" s="89">
        <v>46139</v>
      </c>
      <c r="AK39" s="102">
        <f ca="1">IF(Table2[[#This Row],[تاريخ انتهاء ال GPS]]="","",IFERROR(_xlfn.DAYS(Table2[[#This Row],[تاريخ انتهاء ال GPS]],TODAY()),""))</f>
        <v>-121</v>
      </c>
      <c r="AL39" s="49" t="s">
        <v>1110</v>
      </c>
      <c r="AM39" s="50">
        <v>46266</v>
      </c>
      <c r="AN39" s="51">
        <f ca="1">IF(Table2[[#This Row],[تاريخ انتهاء بطاقة التشغيل]]="","",IFERROR(_xlfn.DAYS(Table2[[#This Row],[تاريخ انتهاء بطاقة التشغيل]],TODAY()),""))</f>
        <v>6</v>
      </c>
      <c r="AO39" s="80">
        <v>46460</v>
      </c>
      <c r="AP39" s="52">
        <f>Table2[[#This Row],[تاريخ انتهاء رخصة السير هجري]]</f>
        <v>46460</v>
      </c>
      <c r="AQ39" s="53">
        <f ca="1">IF(Table2[[#This Row],[تاريخ انتهاء رخصة السير ميلادي]]="","",IFERROR(_xlfn.DAYS(Table2[[#This Row],[تاريخ انتهاء رخصة السير ميلادي]],TODAY()),""))</f>
        <v>200</v>
      </c>
      <c r="AR39" s="55">
        <v>46400</v>
      </c>
      <c r="AS39" s="56">
        <f>Table2[[#This Row],[تاريخ انتهاء الفحص هجري]]</f>
        <v>46400</v>
      </c>
      <c r="AT39" s="106">
        <f ca="1">IF(Table2[[#This Row],[تاريخ انتهاء الفحص ميلادي]]="","",IFERROR(_xlfn.DAYS(Table2[[#This Row],[تاريخ انتهاء الفحص ميلادي]],TODAY()),""))</f>
        <v>140</v>
      </c>
      <c r="AU39" s="54"/>
      <c r="AV39" s="1"/>
      <c r="BE39" s="3"/>
      <c r="BH39" s="1"/>
    </row>
    <row r="40" spans="1:60" x14ac:dyDescent="0.3">
      <c r="A40" s="39" t="s">
        <v>19</v>
      </c>
      <c r="B40" s="39" t="s">
        <v>1193</v>
      </c>
      <c r="C40" s="39" t="s">
        <v>1193</v>
      </c>
      <c r="D40" s="39" t="s">
        <v>17</v>
      </c>
      <c r="E40" s="39" t="s">
        <v>819</v>
      </c>
      <c r="F40" s="40">
        <v>7025667531</v>
      </c>
      <c r="G40" s="41" t="s">
        <v>104</v>
      </c>
      <c r="H40" s="39" t="s">
        <v>105</v>
      </c>
      <c r="I40" s="58">
        <v>375917020</v>
      </c>
      <c r="J40" s="39" t="s">
        <v>20</v>
      </c>
      <c r="K40" s="39" t="s">
        <v>67</v>
      </c>
      <c r="L40" s="39" t="s">
        <v>22</v>
      </c>
      <c r="M40" s="39">
        <v>2024</v>
      </c>
      <c r="N40" s="39" t="s">
        <v>64</v>
      </c>
      <c r="O40" s="39" t="s">
        <v>1137</v>
      </c>
      <c r="P40" s="39" t="s">
        <v>1137</v>
      </c>
      <c r="Q40" s="39" t="s">
        <v>1137</v>
      </c>
      <c r="R40" s="124" t="s">
        <v>1137</v>
      </c>
      <c r="S40" s="124" t="s">
        <v>1137</v>
      </c>
      <c r="T40" s="124" t="s">
        <v>1137</v>
      </c>
      <c r="U40" s="42" t="s">
        <v>26</v>
      </c>
      <c r="V40" s="43">
        <v>46393</v>
      </c>
      <c r="W40" s="44">
        <f ca="1">IF(Table2[[#This Row],[تاريخ انتهاء التأمين]]="","",IFERROR(_xlfn.DAYS(Table2[[#This Row],[تاريخ انتهاء التأمين]],TODAY()),""))</f>
        <v>133</v>
      </c>
      <c r="X40" s="42" t="s">
        <v>27</v>
      </c>
      <c r="Y40" s="42" t="s">
        <v>28</v>
      </c>
      <c r="Z40" s="45">
        <v>1180</v>
      </c>
      <c r="AA40" s="46">
        <v>650593</v>
      </c>
      <c r="AB40" s="46" t="s">
        <v>1300</v>
      </c>
      <c r="AC40" s="46" t="s">
        <v>861</v>
      </c>
      <c r="AD40" s="46" t="s">
        <v>938</v>
      </c>
      <c r="AE40" s="47">
        <v>300</v>
      </c>
      <c r="AF40" s="48" t="s">
        <v>1147</v>
      </c>
      <c r="AG40" s="48" t="s">
        <v>861</v>
      </c>
      <c r="AH40" s="48" t="s">
        <v>1149</v>
      </c>
      <c r="AI40" s="90">
        <v>867747078730858</v>
      </c>
      <c r="AJ40" s="89">
        <v>46139</v>
      </c>
      <c r="AK40" s="102">
        <f ca="1">IF(Table2[[#This Row],[تاريخ انتهاء ال GPS]]="","",IFERROR(_xlfn.DAYS(Table2[[#This Row],[تاريخ انتهاء ال GPS]],TODAY()),""))</f>
        <v>-121</v>
      </c>
      <c r="AL40" s="49" t="s">
        <v>1111</v>
      </c>
      <c r="AM40" s="50">
        <v>46266</v>
      </c>
      <c r="AN40" s="51">
        <f ca="1">IF(Table2[[#This Row],[تاريخ انتهاء بطاقة التشغيل]]="","",IFERROR(_xlfn.DAYS(Table2[[#This Row],[تاريخ انتهاء بطاقة التشغيل]],TODAY()),""))</f>
        <v>6</v>
      </c>
      <c r="AO40" s="80">
        <v>46460</v>
      </c>
      <c r="AP40" s="52">
        <f>Table2[[#This Row],[تاريخ انتهاء رخصة السير هجري]]</f>
        <v>46460</v>
      </c>
      <c r="AQ40" s="53">
        <f ca="1">IF(Table2[[#This Row],[تاريخ انتهاء رخصة السير ميلادي]]="","",IFERROR(_xlfn.DAYS(Table2[[#This Row],[تاريخ انتهاء رخصة السير ميلادي]],TODAY()),""))</f>
        <v>200</v>
      </c>
      <c r="AR40" s="55">
        <f>Table2[[#This Row],[تاريخ انتهاء الفحص ميلادي]]</f>
        <v>46022</v>
      </c>
      <c r="AS40" s="56">
        <v>46022</v>
      </c>
      <c r="AT40" s="106">
        <f ca="1">IF(Table2[[#This Row],[تاريخ انتهاء الفحص ميلادي]]="","",IFERROR(_xlfn.DAYS(Table2[[#This Row],[تاريخ انتهاء الفحص ميلادي]],TODAY()),""))</f>
        <v>-238</v>
      </c>
      <c r="AU40" s="54"/>
      <c r="AV40" s="1"/>
      <c r="BE40" s="3"/>
      <c r="BH40" s="1"/>
    </row>
    <row r="41" spans="1:60" x14ac:dyDescent="0.3">
      <c r="A41" s="39" t="s">
        <v>19</v>
      </c>
      <c r="B41" s="39" t="s">
        <v>2005</v>
      </c>
      <c r="C41" s="39" t="s">
        <v>2004</v>
      </c>
      <c r="D41" s="39" t="s">
        <v>17</v>
      </c>
      <c r="E41" s="39" t="s">
        <v>819</v>
      </c>
      <c r="F41" s="40">
        <v>7025667531</v>
      </c>
      <c r="G41" s="41" t="s">
        <v>106</v>
      </c>
      <c r="H41" s="39" t="s">
        <v>107</v>
      </c>
      <c r="I41" s="58">
        <v>855917020</v>
      </c>
      <c r="J41" s="39" t="s">
        <v>20</v>
      </c>
      <c r="K41" s="39" t="s">
        <v>67</v>
      </c>
      <c r="L41" s="39" t="s">
        <v>22</v>
      </c>
      <c r="M41" s="39">
        <v>2024</v>
      </c>
      <c r="N41" s="39" t="s">
        <v>64</v>
      </c>
      <c r="O41" s="39" t="s">
        <v>1824</v>
      </c>
      <c r="P41" s="58">
        <v>2562203667</v>
      </c>
      <c r="Q41" s="39" t="s">
        <v>1609</v>
      </c>
      <c r="R41" s="124">
        <v>46046</v>
      </c>
      <c r="S41" s="124">
        <v>46387</v>
      </c>
      <c r="T41" s="58">
        <f ca="1">IF(Table2[[#This Row],[تاريخ نهاية التفويض]]="","",IFERROR(_xlfn.DAYS(Table2[[#This Row],[تاريخ نهاية التفويض]],TODAY()),""))</f>
        <v>127</v>
      </c>
      <c r="U41" s="42" t="s">
        <v>26</v>
      </c>
      <c r="V41" s="43">
        <v>46393</v>
      </c>
      <c r="W41" s="44">
        <f ca="1">IF(Table2[[#This Row],[تاريخ انتهاء التأمين]]="","",IFERROR(_xlfn.DAYS(Table2[[#This Row],[تاريخ انتهاء التأمين]],TODAY()),""))</f>
        <v>133</v>
      </c>
      <c r="X41" s="42" t="s">
        <v>27</v>
      </c>
      <c r="Y41" s="42" t="s">
        <v>28</v>
      </c>
      <c r="Z41" s="45">
        <v>1180</v>
      </c>
      <c r="AA41" s="46">
        <v>755946</v>
      </c>
      <c r="AB41" s="46" t="s">
        <v>1301</v>
      </c>
      <c r="AC41" s="46" t="s">
        <v>861</v>
      </c>
      <c r="AD41" s="46" t="s">
        <v>938</v>
      </c>
      <c r="AE41" s="47">
        <v>300</v>
      </c>
      <c r="AF41" s="48" t="s">
        <v>1147</v>
      </c>
      <c r="AG41" s="48" t="s">
        <v>861</v>
      </c>
      <c r="AH41" s="48" t="s">
        <v>1149</v>
      </c>
      <c r="AI41" s="90">
        <v>867747075374833</v>
      </c>
      <c r="AJ41" s="89">
        <v>46109</v>
      </c>
      <c r="AK41" s="102">
        <f ca="1">IF(Table2[[#This Row],[تاريخ انتهاء ال GPS]]="","",IFERROR(_xlfn.DAYS(Table2[[#This Row],[تاريخ انتهاء ال GPS]],TODAY()),""))</f>
        <v>-151</v>
      </c>
      <c r="AL41" s="49" t="s">
        <v>1542</v>
      </c>
      <c r="AM41" s="50">
        <v>46621</v>
      </c>
      <c r="AN41" s="51">
        <f ca="1">IF(Table2[[#This Row],[تاريخ انتهاء بطاقة التشغيل]]="","",IFERROR(_xlfn.DAYS(Table2[[#This Row],[تاريخ انتهاء بطاقة التشغيل]],TODAY()),""))</f>
        <v>361</v>
      </c>
      <c r="AO41" s="80">
        <v>46460</v>
      </c>
      <c r="AP41" s="52">
        <f>Table2[[#This Row],[تاريخ انتهاء رخصة السير هجري]]</f>
        <v>46460</v>
      </c>
      <c r="AQ41" s="53">
        <f ca="1">IF(Table2[[#This Row],[تاريخ انتهاء رخصة السير ميلادي]]="","",IFERROR(_xlfn.DAYS(Table2[[#This Row],[تاريخ انتهاء رخصة السير ميلادي]],TODAY()),""))</f>
        <v>200</v>
      </c>
      <c r="AR41" s="55">
        <v>46398</v>
      </c>
      <c r="AS41" s="56">
        <f>Table2[[#This Row],[تاريخ انتهاء الفحص هجري]]</f>
        <v>46398</v>
      </c>
      <c r="AT41" s="106">
        <f ca="1">IF(Table2[[#This Row],[تاريخ انتهاء الفحص ميلادي]]="","",IFERROR(_xlfn.DAYS(Table2[[#This Row],[تاريخ انتهاء الفحص ميلادي]],TODAY()),""))</f>
        <v>138</v>
      </c>
      <c r="AU41" s="54"/>
      <c r="AV41" s="1"/>
      <c r="BE41" s="3"/>
      <c r="BH41" s="1"/>
    </row>
    <row r="42" spans="1:60" x14ac:dyDescent="0.3">
      <c r="A42" s="39" t="s">
        <v>19</v>
      </c>
      <c r="B42" s="39" t="s">
        <v>2000</v>
      </c>
      <c r="C42" s="39" t="s">
        <v>1187</v>
      </c>
      <c r="D42" s="39" t="s">
        <v>17</v>
      </c>
      <c r="E42" s="39" t="s">
        <v>819</v>
      </c>
      <c r="F42" s="40">
        <v>7025667531</v>
      </c>
      <c r="G42" s="41" t="s">
        <v>108</v>
      </c>
      <c r="H42" s="39" t="s">
        <v>109</v>
      </c>
      <c r="I42" s="58">
        <v>845917020</v>
      </c>
      <c r="J42" s="39" t="s">
        <v>20</v>
      </c>
      <c r="K42" s="39" t="s">
        <v>67</v>
      </c>
      <c r="L42" s="39" t="s">
        <v>22</v>
      </c>
      <c r="M42" s="39">
        <v>2024</v>
      </c>
      <c r="N42" s="39" t="s">
        <v>64</v>
      </c>
      <c r="O42" s="39" t="s">
        <v>1825</v>
      </c>
      <c r="P42" s="58">
        <v>2529914224</v>
      </c>
      <c r="Q42" s="39" t="s">
        <v>1610</v>
      </c>
      <c r="R42" s="124">
        <v>46242</v>
      </c>
      <c r="S42" s="124">
        <v>46387</v>
      </c>
      <c r="T42" s="58">
        <f ca="1">IF(Table2[[#This Row],[تاريخ نهاية التفويض]]="","",IFERROR(_xlfn.DAYS(Table2[[#This Row],[تاريخ نهاية التفويض]],TODAY()),""))</f>
        <v>127</v>
      </c>
      <c r="U42" s="42" t="s">
        <v>26</v>
      </c>
      <c r="V42" s="43">
        <v>46393</v>
      </c>
      <c r="W42" s="44">
        <f ca="1">IF(Table2[[#This Row],[تاريخ انتهاء التأمين]]="","",IFERROR(_xlfn.DAYS(Table2[[#This Row],[تاريخ انتهاء التأمين]],TODAY()),""))</f>
        <v>133</v>
      </c>
      <c r="X42" s="42" t="s">
        <v>27</v>
      </c>
      <c r="Y42" s="42" t="s">
        <v>28</v>
      </c>
      <c r="Z42" s="45">
        <v>1180</v>
      </c>
      <c r="AA42" s="46">
        <v>650589</v>
      </c>
      <c r="AB42" s="46" t="s">
        <v>1302</v>
      </c>
      <c r="AC42" s="46" t="s">
        <v>861</v>
      </c>
      <c r="AD42" s="46" t="s">
        <v>938</v>
      </c>
      <c r="AE42" s="47">
        <v>300</v>
      </c>
      <c r="AF42" s="48" t="s">
        <v>1147</v>
      </c>
      <c r="AG42" s="48" t="s">
        <v>861</v>
      </c>
      <c r="AH42" s="48" t="s">
        <v>1149</v>
      </c>
      <c r="AI42" s="90">
        <v>867747079008775</v>
      </c>
      <c r="AJ42" s="89">
        <v>46139</v>
      </c>
      <c r="AK42" s="102">
        <f ca="1">IF(Table2[[#This Row],[تاريخ انتهاء ال GPS]]="","",IFERROR(_xlfn.DAYS(Table2[[#This Row],[تاريخ انتهاء ال GPS]],TODAY()),""))</f>
        <v>-121</v>
      </c>
      <c r="AL42" s="49" t="s">
        <v>1543</v>
      </c>
      <c r="AM42" s="50">
        <v>46621</v>
      </c>
      <c r="AN42" s="51">
        <f ca="1">IF(Table2[[#This Row],[تاريخ انتهاء بطاقة التشغيل]]="","",IFERROR(_xlfn.DAYS(Table2[[#This Row],[تاريخ انتهاء بطاقة التشغيل]],TODAY()),""))</f>
        <v>361</v>
      </c>
      <c r="AO42" s="80">
        <v>46460</v>
      </c>
      <c r="AP42" s="52">
        <f>Table2[[#This Row],[تاريخ انتهاء رخصة السير هجري]]</f>
        <v>46460</v>
      </c>
      <c r="AQ42" s="53">
        <f ca="1">IF(Table2[[#This Row],[تاريخ انتهاء رخصة السير ميلادي]]="","",IFERROR(_xlfn.DAYS(Table2[[#This Row],[تاريخ انتهاء رخصة السير ميلادي]],TODAY()),""))</f>
        <v>200</v>
      </c>
      <c r="AR42" s="55">
        <v>46399</v>
      </c>
      <c r="AS42" s="56">
        <f>Table2[[#This Row],[تاريخ انتهاء الفحص هجري]]</f>
        <v>46399</v>
      </c>
      <c r="AT42" s="106">
        <f ca="1">IF(Table2[[#This Row],[تاريخ انتهاء الفحص ميلادي]]="","",IFERROR(_xlfn.DAYS(Table2[[#This Row],[تاريخ انتهاء الفحص ميلادي]],TODAY()),""))</f>
        <v>139</v>
      </c>
      <c r="AU42" s="54"/>
      <c r="AV42" s="1"/>
      <c r="BE42" s="3"/>
      <c r="BH42" s="1"/>
    </row>
    <row r="43" spans="1:60" x14ac:dyDescent="0.3">
      <c r="A43" s="39" t="s">
        <v>19</v>
      </c>
      <c r="B43" s="39" t="s">
        <v>2000</v>
      </c>
      <c r="C43" s="39" t="s">
        <v>1187</v>
      </c>
      <c r="D43" s="39" t="s">
        <v>17</v>
      </c>
      <c r="E43" s="39" t="s">
        <v>819</v>
      </c>
      <c r="F43" s="40">
        <v>7025667531</v>
      </c>
      <c r="G43" s="41" t="s">
        <v>110</v>
      </c>
      <c r="H43" s="39" t="s">
        <v>111</v>
      </c>
      <c r="I43" s="58">
        <v>174917020</v>
      </c>
      <c r="J43" s="39" t="s">
        <v>20</v>
      </c>
      <c r="K43" s="39" t="s">
        <v>67</v>
      </c>
      <c r="L43" s="39" t="s">
        <v>22</v>
      </c>
      <c r="M43" s="39">
        <v>2024</v>
      </c>
      <c r="N43" s="39" t="s">
        <v>64</v>
      </c>
      <c r="O43" s="39" t="s">
        <v>1826</v>
      </c>
      <c r="P43" s="58">
        <v>2585782051</v>
      </c>
      <c r="Q43" s="39" t="s">
        <v>1611</v>
      </c>
      <c r="R43" s="124">
        <v>46001</v>
      </c>
      <c r="S43" s="124">
        <v>46327</v>
      </c>
      <c r="T43" s="58">
        <f ca="1">IF(Table2[[#This Row],[تاريخ نهاية التفويض]]="","",IFERROR(_xlfn.DAYS(Table2[[#This Row],[تاريخ نهاية التفويض]],TODAY()),""))</f>
        <v>67</v>
      </c>
      <c r="U43" s="42" t="s">
        <v>26</v>
      </c>
      <c r="V43" s="43">
        <v>46393</v>
      </c>
      <c r="W43" s="44">
        <f ca="1">IF(Table2[[#This Row],[تاريخ انتهاء التأمين]]="","",IFERROR(_xlfn.DAYS(Table2[[#This Row],[تاريخ انتهاء التأمين]],TODAY()),""))</f>
        <v>133</v>
      </c>
      <c r="X43" s="42" t="s">
        <v>27</v>
      </c>
      <c r="Y43" s="42" t="s">
        <v>28</v>
      </c>
      <c r="Z43" s="45">
        <v>1180</v>
      </c>
      <c r="AA43" s="46">
        <v>833943</v>
      </c>
      <c r="AB43" s="46" t="s">
        <v>1303</v>
      </c>
      <c r="AC43" s="46" t="s">
        <v>861</v>
      </c>
      <c r="AD43" s="46" t="s">
        <v>938</v>
      </c>
      <c r="AE43" s="47">
        <v>300</v>
      </c>
      <c r="AF43" s="48" t="s">
        <v>1147</v>
      </c>
      <c r="AG43" s="48" t="s">
        <v>861</v>
      </c>
      <c r="AH43" s="48" t="s">
        <v>1149</v>
      </c>
      <c r="AI43" s="90">
        <v>867747079073803</v>
      </c>
      <c r="AJ43" s="89">
        <v>46139</v>
      </c>
      <c r="AK43" s="102">
        <f ca="1">IF(Table2[[#This Row],[تاريخ انتهاء ال GPS]]="","",IFERROR(_xlfn.DAYS(Table2[[#This Row],[تاريخ انتهاء ال GPS]],TODAY()),""))</f>
        <v>-121</v>
      </c>
      <c r="AL43" s="49" t="s">
        <v>1117</v>
      </c>
      <c r="AM43" s="50">
        <v>46266</v>
      </c>
      <c r="AN43" s="51">
        <f ca="1">IF(Table2[[#This Row],[تاريخ انتهاء بطاقة التشغيل]]="","",IFERROR(_xlfn.DAYS(Table2[[#This Row],[تاريخ انتهاء بطاقة التشغيل]],TODAY()),""))</f>
        <v>6</v>
      </c>
      <c r="AO43" s="80">
        <v>46460</v>
      </c>
      <c r="AP43" s="52">
        <f>Table2[[#This Row],[تاريخ انتهاء رخصة السير هجري]]</f>
        <v>46460</v>
      </c>
      <c r="AQ43" s="53">
        <f ca="1">IF(Table2[[#This Row],[تاريخ انتهاء رخصة السير ميلادي]]="","",IFERROR(_xlfn.DAYS(Table2[[#This Row],[تاريخ انتهاء رخصة السير ميلادي]],TODAY()),""))</f>
        <v>200</v>
      </c>
      <c r="AR43" s="55">
        <v>46400</v>
      </c>
      <c r="AS43" s="56">
        <f>Table2[[#This Row],[تاريخ انتهاء الفحص هجري]]</f>
        <v>46400</v>
      </c>
      <c r="AT43" s="106">
        <f ca="1">IF(Table2[[#This Row],[تاريخ انتهاء الفحص ميلادي]]="","",IFERROR(_xlfn.DAYS(Table2[[#This Row],[تاريخ انتهاء الفحص ميلادي]],TODAY()),""))</f>
        <v>140</v>
      </c>
      <c r="AU43" s="54"/>
      <c r="AV43" s="1"/>
      <c r="BE43" s="3"/>
      <c r="BH43" s="1"/>
    </row>
    <row r="44" spans="1:60" x14ac:dyDescent="0.3">
      <c r="A44" s="39" t="s">
        <v>19</v>
      </c>
      <c r="B44" s="39" t="s">
        <v>1193</v>
      </c>
      <c r="C44" s="39" t="s">
        <v>1193</v>
      </c>
      <c r="D44" s="39" t="s">
        <v>17</v>
      </c>
      <c r="E44" s="39" t="s">
        <v>819</v>
      </c>
      <c r="F44" s="40">
        <v>7025667531</v>
      </c>
      <c r="G44" s="41" t="s">
        <v>112</v>
      </c>
      <c r="H44" s="39" t="s">
        <v>113</v>
      </c>
      <c r="I44" s="58">
        <v>882917020</v>
      </c>
      <c r="J44" s="39" t="s">
        <v>20</v>
      </c>
      <c r="K44" s="39" t="s">
        <v>67</v>
      </c>
      <c r="L44" s="39" t="s">
        <v>22</v>
      </c>
      <c r="M44" s="39">
        <v>2024</v>
      </c>
      <c r="N44" s="39" t="s">
        <v>64</v>
      </c>
      <c r="O44" s="39" t="s">
        <v>1137</v>
      </c>
      <c r="P44" s="58" t="s">
        <v>1137</v>
      </c>
      <c r="Q44" s="39" t="s">
        <v>1137</v>
      </c>
      <c r="R44" s="124" t="s">
        <v>1137</v>
      </c>
      <c r="S44" s="124" t="s">
        <v>1137</v>
      </c>
      <c r="T44" s="124" t="s">
        <v>1137</v>
      </c>
      <c r="U44" s="42" t="s">
        <v>26</v>
      </c>
      <c r="V44" s="43">
        <v>46393</v>
      </c>
      <c r="W44" s="44">
        <f ca="1">IF(Table2[[#This Row],[تاريخ انتهاء التأمين]]="","",IFERROR(_xlfn.DAYS(Table2[[#This Row],[تاريخ انتهاء التأمين]],TODAY()),""))</f>
        <v>133</v>
      </c>
      <c r="X44" s="42" t="s">
        <v>27</v>
      </c>
      <c r="Y44" s="42" t="s">
        <v>28</v>
      </c>
      <c r="Z44" s="45">
        <v>1180</v>
      </c>
      <c r="AA44" s="46">
        <v>650592</v>
      </c>
      <c r="AB44" s="46" t="s">
        <v>1304</v>
      </c>
      <c r="AC44" s="46" t="s">
        <v>861</v>
      </c>
      <c r="AD44" s="46" t="s">
        <v>938</v>
      </c>
      <c r="AE44" s="47">
        <v>300</v>
      </c>
      <c r="AF44" s="48" t="s">
        <v>1147</v>
      </c>
      <c r="AG44" s="48" t="s">
        <v>861</v>
      </c>
      <c r="AH44" s="48" t="s">
        <v>1149</v>
      </c>
      <c r="AI44" s="90">
        <v>867747078730841</v>
      </c>
      <c r="AJ44" s="89">
        <v>46139</v>
      </c>
      <c r="AK44" s="102">
        <f ca="1">IF(Table2[[#This Row],[تاريخ انتهاء ال GPS]]="","",IFERROR(_xlfn.DAYS(Table2[[#This Row],[تاريخ انتهاء ال GPS]],TODAY()),""))</f>
        <v>-121</v>
      </c>
      <c r="AL44" s="49" t="s">
        <v>1118</v>
      </c>
      <c r="AM44" s="50">
        <v>46266</v>
      </c>
      <c r="AN44" s="51">
        <f ca="1">IF(Table2[[#This Row],[تاريخ انتهاء بطاقة التشغيل]]="","",IFERROR(_xlfn.DAYS(Table2[[#This Row],[تاريخ انتهاء بطاقة التشغيل]],TODAY()),""))</f>
        <v>6</v>
      </c>
      <c r="AO44" s="80">
        <v>46460</v>
      </c>
      <c r="AP44" s="52">
        <f>Table2[[#This Row],[تاريخ انتهاء رخصة السير هجري]]</f>
        <v>46460</v>
      </c>
      <c r="AQ44" s="53">
        <f ca="1">IF(Table2[[#This Row],[تاريخ انتهاء رخصة السير ميلادي]]="","",IFERROR(_xlfn.DAYS(Table2[[#This Row],[تاريخ انتهاء رخصة السير ميلادي]],TODAY()),""))</f>
        <v>200</v>
      </c>
      <c r="AR44" s="55">
        <f>Table2[[#This Row],[تاريخ انتهاء الفحص ميلادي]]</f>
        <v>46022</v>
      </c>
      <c r="AS44" s="56">
        <v>46022</v>
      </c>
      <c r="AT44" s="106">
        <f ca="1">IF(Table2[[#This Row],[تاريخ انتهاء الفحص ميلادي]]="","",IFERROR(_xlfn.DAYS(Table2[[#This Row],[تاريخ انتهاء الفحص ميلادي]],TODAY()),""))</f>
        <v>-238</v>
      </c>
      <c r="AU44" s="54"/>
      <c r="AV44" s="1"/>
      <c r="BE44" s="3"/>
      <c r="BH44" s="1"/>
    </row>
    <row r="45" spans="1:60" x14ac:dyDescent="0.3">
      <c r="A45" s="39" t="s">
        <v>19</v>
      </c>
      <c r="B45" s="39" t="s">
        <v>1999</v>
      </c>
      <c r="C45" s="39" t="s">
        <v>1187</v>
      </c>
      <c r="D45" s="39" t="s">
        <v>17</v>
      </c>
      <c r="E45" s="39" t="s">
        <v>819</v>
      </c>
      <c r="F45" s="40">
        <v>7025667531</v>
      </c>
      <c r="G45" s="41" t="s">
        <v>114</v>
      </c>
      <c r="H45" s="39" t="s">
        <v>115</v>
      </c>
      <c r="I45" s="58">
        <v>82917020</v>
      </c>
      <c r="J45" s="39" t="s">
        <v>20</v>
      </c>
      <c r="K45" s="39" t="s">
        <v>67</v>
      </c>
      <c r="L45" s="39" t="s">
        <v>22</v>
      </c>
      <c r="M45" s="39">
        <v>2024</v>
      </c>
      <c r="N45" s="39" t="s">
        <v>64</v>
      </c>
      <c r="O45" s="39" t="s">
        <v>1828</v>
      </c>
      <c r="P45" s="58">
        <v>2588700811</v>
      </c>
      <c r="Q45" s="39" t="s">
        <v>1612</v>
      </c>
      <c r="R45" s="124">
        <v>46001</v>
      </c>
      <c r="S45" s="124">
        <v>46327</v>
      </c>
      <c r="T45" s="58">
        <f ca="1">IF(Table2[[#This Row],[تاريخ نهاية التفويض]]="","",IFERROR(_xlfn.DAYS(Table2[[#This Row],[تاريخ نهاية التفويض]],TODAY()),""))</f>
        <v>67</v>
      </c>
      <c r="U45" s="42" t="s">
        <v>26</v>
      </c>
      <c r="V45" s="43">
        <v>46393</v>
      </c>
      <c r="W45" s="44">
        <f ca="1">IF(Table2[[#This Row],[تاريخ انتهاء التأمين]]="","",IFERROR(_xlfn.DAYS(Table2[[#This Row],[تاريخ انتهاء التأمين]],TODAY()),""))</f>
        <v>133</v>
      </c>
      <c r="X45" s="42" t="s">
        <v>27</v>
      </c>
      <c r="Y45" s="42" t="s">
        <v>28</v>
      </c>
      <c r="Z45" s="45">
        <v>1180</v>
      </c>
      <c r="AA45" s="46">
        <v>650591</v>
      </c>
      <c r="AB45" s="46" t="s">
        <v>1305</v>
      </c>
      <c r="AC45" s="46" t="s">
        <v>861</v>
      </c>
      <c r="AD45" s="46" t="s">
        <v>938</v>
      </c>
      <c r="AE45" s="47">
        <v>300</v>
      </c>
      <c r="AF45" s="48" t="s">
        <v>1147</v>
      </c>
      <c r="AG45" s="48" t="s">
        <v>861</v>
      </c>
      <c r="AH45" s="48" t="s">
        <v>1149</v>
      </c>
      <c r="AI45" s="90">
        <v>867747078730742</v>
      </c>
      <c r="AJ45" s="89">
        <v>46139</v>
      </c>
      <c r="AK45" s="102">
        <f ca="1">IF(Table2[[#This Row],[تاريخ انتهاء ال GPS]]="","",IFERROR(_xlfn.DAYS(Table2[[#This Row],[تاريخ انتهاء ال GPS]],TODAY()),""))</f>
        <v>-121</v>
      </c>
      <c r="AL45" s="114" t="s">
        <v>1137</v>
      </c>
      <c r="AM45" s="129" t="s">
        <v>1137</v>
      </c>
      <c r="AN45" s="129" t="s">
        <v>1137</v>
      </c>
      <c r="AO45" s="80">
        <v>46460</v>
      </c>
      <c r="AP45" s="52">
        <f>Table2[[#This Row],[تاريخ انتهاء رخصة السير هجري]]</f>
        <v>46460</v>
      </c>
      <c r="AQ45" s="53">
        <f ca="1">IF(Table2[[#This Row],[تاريخ انتهاء رخصة السير ميلادي]]="","",IFERROR(_xlfn.DAYS(Table2[[#This Row],[تاريخ انتهاء رخصة السير ميلادي]],TODAY()),""))</f>
        <v>200</v>
      </c>
      <c r="AR45" s="55">
        <v>46400</v>
      </c>
      <c r="AS45" s="56">
        <f>Table2[[#This Row],[تاريخ انتهاء الفحص هجري]]</f>
        <v>46400</v>
      </c>
      <c r="AT45" s="106">
        <f ca="1">IF(Table2[[#This Row],[تاريخ انتهاء الفحص ميلادي]]="","",IFERROR(_xlfn.DAYS(Table2[[#This Row],[تاريخ انتهاء الفحص ميلادي]],TODAY()),""))</f>
        <v>140</v>
      </c>
      <c r="AU45" s="54"/>
      <c r="AV45" s="1"/>
      <c r="BE45" s="3"/>
      <c r="BH45" s="1"/>
    </row>
    <row r="46" spans="1:60" x14ac:dyDescent="0.3">
      <c r="A46" s="39" t="s">
        <v>19</v>
      </c>
      <c r="B46" s="39" t="s">
        <v>2000</v>
      </c>
      <c r="C46" s="39" t="s">
        <v>1187</v>
      </c>
      <c r="D46" s="39" t="s">
        <v>17</v>
      </c>
      <c r="E46" s="39" t="s">
        <v>819</v>
      </c>
      <c r="F46" s="40">
        <v>7025667531</v>
      </c>
      <c r="G46" s="41" t="s">
        <v>116</v>
      </c>
      <c r="H46" s="39" t="s">
        <v>117</v>
      </c>
      <c r="I46" s="58">
        <v>172917020</v>
      </c>
      <c r="J46" s="39" t="s">
        <v>20</v>
      </c>
      <c r="K46" s="39" t="s">
        <v>67</v>
      </c>
      <c r="L46" s="39" t="s">
        <v>22</v>
      </c>
      <c r="M46" s="39">
        <v>2024</v>
      </c>
      <c r="N46" s="39" t="s">
        <v>64</v>
      </c>
      <c r="O46" s="39" t="s">
        <v>1983</v>
      </c>
      <c r="P46" s="58">
        <v>2578671519</v>
      </c>
      <c r="Q46" s="39" t="s">
        <v>1613</v>
      </c>
      <c r="R46" s="124">
        <v>46252</v>
      </c>
      <c r="S46" s="124">
        <v>46387</v>
      </c>
      <c r="T46" s="58">
        <f ca="1">IF(Table2[[#This Row],[تاريخ نهاية التفويض]]="","",IFERROR(_xlfn.DAYS(Table2[[#This Row],[تاريخ نهاية التفويض]],TODAY()),""))</f>
        <v>127</v>
      </c>
      <c r="U46" s="42" t="s">
        <v>26</v>
      </c>
      <c r="V46" s="43">
        <v>46393</v>
      </c>
      <c r="W46" s="44">
        <f ca="1">IF(Table2[[#This Row],[تاريخ انتهاء التأمين]]="","",IFERROR(_xlfn.DAYS(Table2[[#This Row],[تاريخ انتهاء التأمين]],TODAY()),""))</f>
        <v>133</v>
      </c>
      <c r="X46" s="42" t="s">
        <v>27</v>
      </c>
      <c r="Y46" s="42" t="s">
        <v>28</v>
      </c>
      <c r="Z46" s="45">
        <v>1180</v>
      </c>
      <c r="AA46" s="46">
        <v>833942</v>
      </c>
      <c r="AB46" s="46" t="s">
        <v>1306</v>
      </c>
      <c r="AC46" s="46" t="s">
        <v>861</v>
      </c>
      <c r="AD46" s="46" t="s">
        <v>938</v>
      </c>
      <c r="AE46" s="47">
        <v>300</v>
      </c>
      <c r="AF46" s="48" t="s">
        <v>1147</v>
      </c>
      <c r="AG46" s="48" t="s">
        <v>861</v>
      </c>
      <c r="AH46" s="48" t="s">
        <v>1149</v>
      </c>
      <c r="AI46" s="90">
        <v>867747079073787</v>
      </c>
      <c r="AJ46" s="89">
        <v>46139</v>
      </c>
      <c r="AK46" s="102">
        <f ca="1">IF(Table2[[#This Row],[تاريخ انتهاء ال GPS]]="","",IFERROR(_xlfn.DAYS(Table2[[#This Row],[تاريخ انتهاء ال GPS]],TODAY()),""))</f>
        <v>-121</v>
      </c>
      <c r="AL46" s="49" t="s">
        <v>1119</v>
      </c>
      <c r="AM46" s="50">
        <v>46266</v>
      </c>
      <c r="AN46" s="51">
        <f ca="1">IF(Table2[[#This Row],[تاريخ انتهاء بطاقة التشغيل]]="","",IFERROR(_xlfn.DAYS(Table2[[#This Row],[تاريخ انتهاء بطاقة التشغيل]],TODAY()),""))</f>
        <v>6</v>
      </c>
      <c r="AO46" s="80">
        <v>46460</v>
      </c>
      <c r="AP46" s="52">
        <f>Table2[[#This Row],[تاريخ انتهاء رخصة السير هجري]]</f>
        <v>46460</v>
      </c>
      <c r="AQ46" s="53">
        <f ca="1">IF(Table2[[#This Row],[تاريخ انتهاء رخصة السير ميلادي]]="","",IFERROR(_xlfn.DAYS(Table2[[#This Row],[تاريخ انتهاء رخصة السير ميلادي]],TODAY()),""))</f>
        <v>200</v>
      </c>
      <c r="AR46" s="55">
        <v>46400</v>
      </c>
      <c r="AS46" s="56">
        <f>Table2[[#This Row],[تاريخ انتهاء الفحص هجري]]</f>
        <v>46400</v>
      </c>
      <c r="AT46" s="106">
        <f ca="1">IF(Table2[[#This Row],[تاريخ انتهاء الفحص ميلادي]]="","",IFERROR(_xlfn.DAYS(Table2[[#This Row],[تاريخ انتهاء الفحص ميلادي]],TODAY()),""))</f>
        <v>140</v>
      </c>
      <c r="AU46" s="54"/>
      <c r="AV46" s="1"/>
      <c r="BE46" s="3"/>
      <c r="BH46" s="1"/>
    </row>
    <row r="47" spans="1:60" x14ac:dyDescent="0.3">
      <c r="A47" s="39" t="s">
        <v>19</v>
      </c>
      <c r="B47" s="39" t="s">
        <v>1999</v>
      </c>
      <c r="C47" s="39" t="s">
        <v>1187</v>
      </c>
      <c r="D47" s="39" t="s">
        <v>17</v>
      </c>
      <c r="E47" s="39" t="s">
        <v>819</v>
      </c>
      <c r="F47" s="40">
        <v>7025667531</v>
      </c>
      <c r="G47" s="41" t="s">
        <v>118</v>
      </c>
      <c r="H47" s="39" t="s">
        <v>119</v>
      </c>
      <c r="I47" s="58">
        <v>896817020</v>
      </c>
      <c r="J47" s="39" t="s">
        <v>20</v>
      </c>
      <c r="K47" s="39" t="s">
        <v>67</v>
      </c>
      <c r="L47" s="39" t="s">
        <v>22</v>
      </c>
      <c r="M47" s="39">
        <v>2024</v>
      </c>
      <c r="N47" s="39" t="s">
        <v>64</v>
      </c>
      <c r="O47" s="39" t="s">
        <v>1829</v>
      </c>
      <c r="P47" s="58">
        <v>2586978567</v>
      </c>
      <c r="Q47" s="39" t="s">
        <v>1614</v>
      </c>
      <c r="R47" s="124">
        <v>46001</v>
      </c>
      <c r="S47" s="124">
        <v>46327</v>
      </c>
      <c r="T47" s="58">
        <f ca="1">IF(Table2[[#This Row],[تاريخ نهاية التفويض]]="","",IFERROR(_xlfn.DAYS(Table2[[#This Row],[تاريخ نهاية التفويض]],TODAY()),""))</f>
        <v>67</v>
      </c>
      <c r="U47" s="42" t="s">
        <v>26</v>
      </c>
      <c r="V47" s="43">
        <v>46393</v>
      </c>
      <c r="W47" s="44">
        <f ca="1">IF(Table2[[#This Row],[تاريخ انتهاء التأمين]]="","",IFERROR(_xlfn.DAYS(Table2[[#This Row],[تاريخ انتهاء التأمين]],TODAY()),""))</f>
        <v>133</v>
      </c>
      <c r="X47" s="42" t="s">
        <v>27</v>
      </c>
      <c r="Y47" s="42" t="s">
        <v>28</v>
      </c>
      <c r="Z47" s="45">
        <v>1180</v>
      </c>
      <c r="AA47" s="46">
        <v>844635</v>
      </c>
      <c r="AB47" s="46" t="s">
        <v>1307</v>
      </c>
      <c r="AC47" s="46" t="s">
        <v>861</v>
      </c>
      <c r="AD47" s="46" t="s">
        <v>938</v>
      </c>
      <c r="AE47" s="47">
        <v>300</v>
      </c>
      <c r="AF47" s="48" t="s">
        <v>1147</v>
      </c>
      <c r="AG47" s="48" t="s">
        <v>861</v>
      </c>
      <c r="AH47" s="48" t="s">
        <v>1149</v>
      </c>
      <c r="AI47" s="90">
        <v>867747078730916</v>
      </c>
      <c r="AJ47" s="89">
        <v>46139</v>
      </c>
      <c r="AK47" s="102">
        <f ca="1">IF(Table2[[#This Row],[تاريخ انتهاء ال GPS]]="","",IFERROR(_xlfn.DAYS(Table2[[#This Row],[تاريخ انتهاء ال GPS]],TODAY()),""))</f>
        <v>-121</v>
      </c>
      <c r="AL47" s="114" t="s">
        <v>1137</v>
      </c>
      <c r="AM47" s="129" t="s">
        <v>1137</v>
      </c>
      <c r="AN47" s="129" t="s">
        <v>1137</v>
      </c>
      <c r="AO47" s="80">
        <v>46460</v>
      </c>
      <c r="AP47" s="52">
        <f>Table2[[#This Row],[تاريخ انتهاء رخصة السير هجري]]</f>
        <v>46460</v>
      </c>
      <c r="AQ47" s="53">
        <f ca="1">IF(Table2[[#This Row],[تاريخ انتهاء رخصة السير ميلادي]]="","",IFERROR(_xlfn.DAYS(Table2[[#This Row],[تاريخ انتهاء رخصة السير ميلادي]],TODAY()),""))</f>
        <v>200</v>
      </c>
      <c r="AR47" s="55">
        <v>46399</v>
      </c>
      <c r="AS47" s="56">
        <f>Table2[[#This Row],[تاريخ انتهاء الفحص هجري]]</f>
        <v>46399</v>
      </c>
      <c r="AT47" s="106">
        <f ca="1">IF(Table2[[#This Row],[تاريخ انتهاء الفحص ميلادي]]="","",IFERROR(_xlfn.DAYS(Table2[[#This Row],[تاريخ انتهاء الفحص ميلادي]],TODAY()),""))</f>
        <v>139</v>
      </c>
      <c r="AU47" s="54"/>
      <c r="AV47" s="1"/>
      <c r="BE47" s="3"/>
      <c r="BH47" s="1"/>
    </row>
    <row r="48" spans="1:60" x14ac:dyDescent="0.3">
      <c r="A48" s="39" t="s">
        <v>19</v>
      </c>
      <c r="B48" s="39" t="s">
        <v>1193</v>
      </c>
      <c r="C48" s="39" t="s">
        <v>1193</v>
      </c>
      <c r="D48" s="39" t="s">
        <v>17</v>
      </c>
      <c r="E48" s="39" t="s">
        <v>819</v>
      </c>
      <c r="F48" s="40">
        <v>7025667531</v>
      </c>
      <c r="G48" s="41" t="s">
        <v>120</v>
      </c>
      <c r="H48" s="39" t="s">
        <v>121</v>
      </c>
      <c r="I48" s="58">
        <v>755917020</v>
      </c>
      <c r="J48" s="39" t="s">
        <v>20</v>
      </c>
      <c r="K48" s="39" t="s">
        <v>67</v>
      </c>
      <c r="L48" s="39" t="s">
        <v>22</v>
      </c>
      <c r="M48" s="39">
        <v>2024</v>
      </c>
      <c r="N48" s="39" t="s">
        <v>64</v>
      </c>
      <c r="O48" s="39" t="s">
        <v>1137</v>
      </c>
      <c r="P48" s="39" t="s">
        <v>1137</v>
      </c>
      <c r="Q48" s="39" t="s">
        <v>1137</v>
      </c>
      <c r="R48" s="124" t="s">
        <v>1137</v>
      </c>
      <c r="S48" s="124" t="s">
        <v>1137</v>
      </c>
      <c r="T48" s="124" t="s">
        <v>1137</v>
      </c>
      <c r="U48" s="42" t="s">
        <v>26</v>
      </c>
      <c r="V48" s="43">
        <v>46393</v>
      </c>
      <c r="W48" s="44">
        <f ca="1">IF(Table2[[#This Row],[تاريخ انتهاء التأمين]]="","",IFERROR(_xlfn.DAYS(Table2[[#This Row],[تاريخ انتهاء التأمين]],TODAY()),""))</f>
        <v>133</v>
      </c>
      <c r="X48" s="42" t="s">
        <v>27</v>
      </c>
      <c r="Y48" s="42" t="s">
        <v>28</v>
      </c>
      <c r="Z48" s="45">
        <v>1180</v>
      </c>
      <c r="AA48" s="46">
        <v>685964</v>
      </c>
      <c r="AB48" s="46" t="s">
        <v>1478</v>
      </c>
      <c r="AC48" s="46" t="s">
        <v>861</v>
      </c>
      <c r="AD48" s="46" t="s">
        <v>938</v>
      </c>
      <c r="AE48" s="47">
        <v>300</v>
      </c>
      <c r="AF48" s="48" t="s">
        <v>1147</v>
      </c>
      <c r="AG48" s="48" t="s">
        <v>861</v>
      </c>
      <c r="AH48" s="48" t="s">
        <v>1149</v>
      </c>
      <c r="AI48" s="90">
        <v>867747078359476</v>
      </c>
      <c r="AJ48" s="89">
        <v>46139</v>
      </c>
      <c r="AK48" s="102">
        <f ca="1">IF(Table2[[#This Row],[تاريخ انتهاء ال GPS]]="","",IFERROR(_xlfn.DAYS(Table2[[#This Row],[تاريخ انتهاء ال GPS]],TODAY()),""))</f>
        <v>-121</v>
      </c>
      <c r="AL48" s="49" t="s">
        <v>1120</v>
      </c>
      <c r="AM48" s="50">
        <v>46266</v>
      </c>
      <c r="AN48" s="51">
        <f ca="1">IF(Table2[[#This Row],[تاريخ انتهاء بطاقة التشغيل]]="","",IFERROR(_xlfn.DAYS(Table2[[#This Row],[تاريخ انتهاء بطاقة التشغيل]],TODAY()),""))</f>
        <v>6</v>
      </c>
      <c r="AO48" s="80">
        <v>46460</v>
      </c>
      <c r="AP48" s="52">
        <f>Table2[[#This Row],[تاريخ انتهاء رخصة السير هجري]]</f>
        <v>46460</v>
      </c>
      <c r="AQ48" s="53">
        <f ca="1">IF(Table2[[#This Row],[تاريخ انتهاء رخصة السير ميلادي]]="","",IFERROR(_xlfn.DAYS(Table2[[#This Row],[تاريخ انتهاء رخصة السير ميلادي]],TODAY()),""))</f>
        <v>200</v>
      </c>
      <c r="AR48" s="55">
        <v>46401</v>
      </c>
      <c r="AS48" s="56">
        <f>Table2[[#This Row],[تاريخ انتهاء الفحص هجري]]</f>
        <v>46401</v>
      </c>
      <c r="AT48" s="106">
        <f ca="1">IF(Table2[[#This Row],[تاريخ انتهاء الفحص ميلادي]]="","",IFERROR(_xlfn.DAYS(Table2[[#This Row],[تاريخ انتهاء الفحص ميلادي]],TODAY()),""))</f>
        <v>141</v>
      </c>
      <c r="AU48" s="54"/>
      <c r="AV48" s="1"/>
      <c r="BE48" s="3"/>
      <c r="BH48" s="1"/>
    </row>
    <row r="49" spans="1:60" x14ac:dyDescent="0.3">
      <c r="A49" s="39" t="s">
        <v>19</v>
      </c>
      <c r="B49" s="39" t="s">
        <v>2002</v>
      </c>
      <c r="C49" s="39" t="s">
        <v>1187</v>
      </c>
      <c r="D49" s="39" t="s">
        <v>17</v>
      </c>
      <c r="E49" s="39" t="s">
        <v>819</v>
      </c>
      <c r="F49" s="40">
        <v>7025667531</v>
      </c>
      <c r="G49" s="41" t="s">
        <v>122</v>
      </c>
      <c r="H49" s="39" t="s">
        <v>123</v>
      </c>
      <c r="I49" s="58">
        <v>420764020</v>
      </c>
      <c r="J49" s="39" t="s">
        <v>20</v>
      </c>
      <c r="K49" s="39" t="s">
        <v>67</v>
      </c>
      <c r="L49" s="39" t="s">
        <v>22</v>
      </c>
      <c r="M49" s="39">
        <v>2024</v>
      </c>
      <c r="N49" s="39" t="s">
        <v>64</v>
      </c>
      <c r="O49" s="39" t="s">
        <v>1830</v>
      </c>
      <c r="P49" s="58">
        <v>2562201455</v>
      </c>
      <c r="Q49" s="39" t="s">
        <v>1615</v>
      </c>
      <c r="R49" s="124">
        <v>46217</v>
      </c>
      <c r="S49" s="124">
        <v>46387</v>
      </c>
      <c r="T49" s="58">
        <f ca="1">IF(Table2[[#This Row],[تاريخ نهاية التفويض]]="","",IFERROR(_xlfn.DAYS(Table2[[#This Row],[تاريخ نهاية التفويض]],TODAY()),""))</f>
        <v>127</v>
      </c>
      <c r="U49" s="42" t="s">
        <v>26</v>
      </c>
      <c r="V49" s="43">
        <v>46393</v>
      </c>
      <c r="W49" s="44">
        <f ca="1">IF(Table2[[#This Row],[تاريخ انتهاء التأمين]]="","",IFERROR(_xlfn.DAYS(Table2[[#This Row],[تاريخ انتهاء التأمين]],TODAY()),""))</f>
        <v>133</v>
      </c>
      <c r="X49" s="42" t="s">
        <v>27</v>
      </c>
      <c r="Y49" s="42" t="s">
        <v>28</v>
      </c>
      <c r="Z49" s="45">
        <v>1180</v>
      </c>
      <c r="AA49" s="46">
        <v>609225</v>
      </c>
      <c r="AB49" s="46" t="s">
        <v>1308</v>
      </c>
      <c r="AC49" s="46" t="s">
        <v>861</v>
      </c>
      <c r="AD49" s="46" t="s">
        <v>938</v>
      </c>
      <c r="AE49" s="47">
        <v>300</v>
      </c>
      <c r="AF49" s="48" t="s">
        <v>1147</v>
      </c>
      <c r="AG49" s="48" t="s">
        <v>861</v>
      </c>
      <c r="AH49" s="48" t="s">
        <v>1149</v>
      </c>
      <c r="AI49" s="90">
        <v>864454078052770</v>
      </c>
      <c r="AJ49" s="89">
        <v>46127</v>
      </c>
      <c r="AK49" s="102">
        <f ca="1">IF(Table2[[#This Row],[تاريخ انتهاء ال GPS]]="","",IFERROR(_xlfn.DAYS(Table2[[#This Row],[تاريخ انتهاء ال GPS]],TODAY()),""))</f>
        <v>-133</v>
      </c>
      <c r="AL49" s="49" t="s">
        <v>1024</v>
      </c>
      <c r="AM49" s="50">
        <v>46266</v>
      </c>
      <c r="AN49" s="51">
        <f ca="1">IF(Table2[[#This Row],[تاريخ انتهاء بطاقة التشغيل]]="","",IFERROR(_xlfn.DAYS(Table2[[#This Row],[تاريخ انتهاء بطاقة التشغيل]],TODAY()),""))</f>
        <v>6</v>
      </c>
      <c r="AO49" s="80">
        <v>46361</v>
      </c>
      <c r="AP49" s="52">
        <f>Table2[[#This Row],[تاريخ انتهاء رخصة السير هجري]]</f>
        <v>46361</v>
      </c>
      <c r="AQ49" s="53">
        <f ca="1">IF(Table2[[#This Row],[تاريخ انتهاء رخصة السير ميلادي]]="","",IFERROR(_xlfn.DAYS(Table2[[#This Row],[تاريخ انتهاء رخصة السير ميلادي]],TODAY()),""))</f>
        <v>101</v>
      </c>
      <c r="AR49" s="55">
        <v>46021</v>
      </c>
      <c r="AS49" s="56">
        <f>Table2[[#This Row],[تاريخ انتهاء الفحص هجري]]</f>
        <v>46021</v>
      </c>
      <c r="AT49" s="106">
        <f ca="1">IF(Table2[[#This Row],[تاريخ انتهاء الفحص ميلادي]]="","",IFERROR(_xlfn.DAYS(Table2[[#This Row],[تاريخ انتهاء الفحص ميلادي]],TODAY()),""))</f>
        <v>-239</v>
      </c>
      <c r="AU49" s="54"/>
      <c r="AV49" s="1"/>
      <c r="BE49" s="3"/>
      <c r="BH49" s="1"/>
    </row>
    <row r="50" spans="1:60" x14ac:dyDescent="0.3">
      <c r="A50" s="39" t="s">
        <v>19</v>
      </c>
      <c r="B50" s="39" t="s">
        <v>1183</v>
      </c>
      <c r="C50" s="39" t="s">
        <v>2004</v>
      </c>
      <c r="D50" s="39" t="s">
        <v>17</v>
      </c>
      <c r="E50" s="39" t="s">
        <v>819</v>
      </c>
      <c r="F50" s="40">
        <v>7025667531</v>
      </c>
      <c r="G50" s="41" t="s">
        <v>124</v>
      </c>
      <c r="H50" s="39" t="s">
        <v>125</v>
      </c>
      <c r="I50" s="58">
        <v>476284020</v>
      </c>
      <c r="J50" s="39" t="s">
        <v>20</v>
      </c>
      <c r="K50" s="39" t="s">
        <v>21</v>
      </c>
      <c r="L50" s="39" t="s">
        <v>22</v>
      </c>
      <c r="M50" s="39">
        <v>2024</v>
      </c>
      <c r="N50" s="39" t="s">
        <v>64</v>
      </c>
      <c r="O50" s="39" t="s">
        <v>1831</v>
      </c>
      <c r="P50" s="58">
        <v>2555616289</v>
      </c>
      <c r="Q50" s="39" t="s">
        <v>1616</v>
      </c>
      <c r="R50" s="124">
        <v>46131</v>
      </c>
      <c r="S50" s="124">
        <v>46387</v>
      </c>
      <c r="T50" s="58">
        <f ca="1">IF(Table2[[#This Row],[تاريخ نهاية التفويض]]="","",IFERROR(_xlfn.DAYS(Table2[[#This Row],[تاريخ نهاية التفويض]],TODAY()),""))</f>
        <v>127</v>
      </c>
      <c r="U50" s="42" t="s">
        <v>26</v>
      </c>
      <c r="V50" s="43">
        <v>46393</v>
      </c>
      <c r="W50" s="44">
        <f ca="1">IF(Table2[[#This Row],[تاريخ انتهاء التأمين]]="","",IFERROR(_xlfn.DAYS(Table2[[#This Row],[تاريخ انتهاء التأمين]],TODAY()),""))</f>
        <v>133</v>
      </c>
      <c r="X50" s="42" t="s">
        <v>27</v>
      </c>
      <c r="Y50" s="42" t="s">
        <v>28</v>
      </c>
      <c r="Z50" s="45">
        <v>1180</v>
      </c>
      <c r="AA50" s="46">
        <v>609261</v>
      </c>
      <c r="AB50" s="46" t="s">
        <v>1309</v>
      </c>
      <c r="AC50" s="46" t="s">
        <v>861</v>
      </c>
      <c r="AD50" s="46" t="s">
        <v>938</v>
      </c>
      <c r="AE50" s="47">
        <v>300</v>
      </c>
      <c r="AF50" s="48" t="s">
        <v>1147</v>
      </c>
      <c r="AG50" s="48" t="s">
        <v>861</v>
      </c>
      <c r="AH50" s="48" t="s">
        <v>1149</v>
      </c>
      <c r="AI50" s="90">
        <v>867747075307387</v>
      </c>
      <c r="AJ50" s="89">
        <v>46109</v>
      </c>
      <c r="AK50" s="102">
        <f ca="1">IF(Table2[[#This Row],[تاريخ انتهاء ال GPS]]="","",IFERROR(_xlfn.DAYS(Table2[[#This Row],[تاريخ انتهاء ال GPS]],TODAY()),""))</f>
        <v>-151</v>
      </c>
      <c r="AL50" s="49" t="s">
        <v>1025</v>
      </c>
      <c r="AM50" s="50">
        <v>46266</v>
      </c>
      <c r="AN50" s="51">
        <f ca="1">IF(Table2[[#This Row],[تاريخ انتهاء بطاقة التشغيل]]="","",IFERROR(_xlfn.DAYS(Table2[[#This Row],[تاريخ انتهاء بطاقة التشغيل]],TODAY()),""))</f>
        <v>6</v>
      </c>
      <c r="AO50" s="80">
        <v>46367</v>
      </c>
      <c r="AP50" s="52">
        <f>Table2[[#This Row],[تاريخ انتهاء رخصة السير هجري]]</f>
        <v>46367</v>
      </c>
      <c r="AQ50" s="53">
        <f ca="1">IF(Table2[[#This Row],[تاريخ انتهاء رخصة السير ميلادي]]="","",IFERROR(_xlfn.DAYS(Table2[[#This Row],[تاريخ انتهاء رخصة السير ميلادي]],TODAY()),""))</f>
        <v>107</v>
      </c>
      <c r="AR50" s="55">
        <v>46393</v>
      </c>
      <c r="AS50" s="56">
        <f>Table2[[#This Row],[تاريخ انتهاء الفحص هجري]]</f>
        <v>46393</v>
      </c>
      <c r="AT50" s="106">
        <f ca="1">IF(Table2[[#This Row],[تاريخ انتهاء الفحص ميلادي]]="","",IFERROR(_xlfn.DAYS(Table2[[#This Row],[تاريخ انتهاء الفحص ميلادي]],TODAY()),""))</f>
        <v>133</v>
      </c>
      <c r="AU50" s="54"/>
      <c r="AV50" s="1"/>
      <c r="BE50" s="3"/>
      <c r="BH50" s="1"/>
    </row>
    <row r="51" spans="1:60" x14ac:dyDescent="0.3">
      <c r="A51" s="39" t="s">
        <v>19</v>
      </c>
      <c r="B51" s="39" t="s">
        <v>1193</v>
      </c>
      <c r="C51" s="39" t="s">
        <v>1193</v>
      </c>
      <c r="D51" s="39" t="s">
        <v>17</v>
      </c>
      <c r="E51" s="39" t="s">
        <v>819</v>
      </c>
      <c r="F51" s="40">
        <v>7025667531</v>
      </c>
      <c r="G51" s="41" t="s">
        <v>126</v>
      </c>
      <c r="H51" s="39" t="s">
        <v>127</v>
      </c>
      <c r="I51" s="58">
        <v>66284020</v>
      </c>
      <c r="J51" s="39" t="s">
        <v>20</v>
      </c>
      <c r="K51" s="39" t="s">
        <v>21</v>
      </c>
      <c r="L51" s="39" t="s">
        <v>22</v>
      </c>
      <c r="M51" s="39">
        <v>2024</v>
      </c>
      <c r="N51" s="39" t="s">
        <v>64</v>
      </c>
      <c r="O51" s="39" t="s">
        <v>1137</v>
      </c>
      <c r="P51" s="39" t="s">
        <v>1137</v>
      </c>
      <c r="Q51" s="39" t="s">
        <v>1137</v>
      </c>
      <c r="R51" s="124" t="s">
        <v>1137</v>
      </c>
      <c r="S51" s="124" t="s">
        <v>1137</v>
      </c>
      <c r="T51" s="124" t="s">
        <v>1137</v>
      </c>
      <c r="U51" s="42" t="s">
        <v>26</v>
      </c>
      <c r="V51" s="43">
        <v>46393</v>
      </c>
      <c r="W51" s="44">
        <f ca="1">IF(Table2[[#This Row],[تاريخ انتهاء التأمين]]="","",IFERROR(_xlfn.DAYS(Table2[[#This Row],[تاريخ انتهاء التأمين]],TODAY()),""))</f>
        <v>133</v>
      </c>
      <c r="X51" s="42" t="s">
        <v>27</v>
      </c>
      <c r="Y51" s="42" t="s">
        <v>28</v>
      </c>
      <c r="Z51" s="45">
        <v>1180</v>
      </c>
      <c r="AA51" s="46">
        <v>609250</v>
      </c>
      <c r="AB51" s="46" t="s">
        <v>1138</v>
      </c>
      <c r="AC51" s="46" t="s">
        <v>861</v>
      </c>
      <c r="AD51" s="46" t="s">
        <v>938</v>
      </c>
      <c r="AE51" s="47">
        <v>300</v>
      </c>
      <c r="AF51" s="48" t="s">
        <v>1147</v>
      </c>
      <c r="AG51" s="48" t="s">
        <v>861</v>
      </c>
      <c r="AH51" s="48" t="s">
        <v>1149</v>
      </c>
      <c r="AI51" s="90">
        <v>867747075502847</v>
      </c>
      <c r="AJ51" s="89">
        <v>46110</v>
      </c>
      <c r="AK51" s="102">
        <f ca="1">IF(Table2[[#This Row],[تاريخ انتهاء ال GPS]]="","",IFERROR(_xlfn.DAYS(Table2[[#This Row],[تاريخ انتهاء ال GPS]],TODAY()),""))</f>
        <v>-150</v>
      </c>
      <c r="AL51" s="49" t="s">
        <v>1026</v>
      </c>
      <c r="AM51" s="50">
        <v>46266</v>
      </c>
      <c r="AN51" s="51">
        <f ca="1">IF(Table2[[#This Row],[تاريخ انتهاء بطاقة التشغيل]]="","",IFERROR(_xlfn.DAYS(Table2[[#This Row],[تاريخ انتهاء بطاقة التشغيل]],TODAY()),""))</f>
        <v>6</v>
      </c>
      <c r="AO51" s="80">
        <v>46367</v>
      </c>
      <c r="AP51" s="52">
        <f>Table2[[#This Row],[تاريخ انتهاء رخصة السير هجري]]</f>
        <v>46367</v>
      </c>
      <c r="AQ51" s="53">
        <f ca="1">IF(Table2[[#This Row],[تاريخ انتهاء رخصة السير ميلادي]]="","",IFERROR(_xlfn.DAYS(Table2[[#This Row],[تاريخ انتهاء رخصة السير ميلادي]],TODAY()),""))</f>
        <v>107</v>
      </c>
      <c r="AR51" s="55">
        <v>46397</v>
      </c>
      <c r="AS51" s="56">
        <f>Table2[[#This Row],[تاريخ انتهاء الفحص هجري]]</f>
        <v>46397</v>
      </c>
      <c r="AT51" s="106">
        <f ca="1">IF(Table2[[#This Row],[تاريخ انتهاء الفحص ميلادي]]="","",IFERROR(_xlfn.DAYS(Table2[[#This Row],[تاريخ انتهاء الفحص ميلادي]],TODAY()),""))</f>
        <v>137</v>
      </c>
      <c r="AU51" s="54"/>
      <c r="AV51" s="1"/>
      <c r="BE51" s="3"/>
      <c r="BH51" s="1"/>
    </row>
    <row r="52" spans="1:60" x14ac:dyDescent="0.3">
      <c r="A52" s="39" t="s">
        <v>19</v>
      </c>
      <c r="B52" s="39" t="s">
        <v>1183</v>
      </c>
      <c r="C52" s="39" t="s">
        <v>2004</v>
      </c>
      <c r="D52" s="39" t="s">
        <v>17</v>
      </c>
      <c r="E52" s="39" t="s">
        <v>819</v>
      </c>
      <c r="F52" s="40">
        <v>7025667531</v>
      </c>
      <c r="G52" s="41" t="s">
        <v>128</v>
      </c>
      <c r="H52" s="39" t="s">
        <v>129</v>
      </c>
      <c r="I52" s="58">
        <v>342384020</v>
      </c>
      <c r="J52" s="39" t="s">
        <v>20</v>
      </c>
      <c r="K52" s="39" t="s">
        <v>21</v>
      </c>
      <c r="L52" s="39" t="s">
        <v>22</v>
      </c>
      <c r="M52" s="39">
        <v>2024</v>
      </c>
      <c r="N52" s="39" t="s">
        <v>64</v>
      </c>
      <c r="O52" s="39" t="s">
        <v>1832</v>
      </c>
      <c r="P52" s="58">
        <v>2553949161</v>
      </c>
      <c r="Q52" s="39" t="s">
        <v>1617</v>
      </c>
      <c r="R52" s="124">
        <v>45994</v>
      </c>
      <c r="S52" s="124">
        <v>46327</v>
      </c>
      <c r="T52" s="58">
        <f ca="1">IF(Table2[[#This Row],[تاريخ نهاية التفويض]]="","",IFERROR(_xlfn.DAYS(Table2[[#This Row],[تاريخ نهاية التفويض]],TODAY()),""))</f>
        <v>67</v>
      </c>
      <c r="U52" s="42" t="s">
        <v>26</v>
      </c>
      <c r="V52" s="43">
        <v>46393</v>
      </c>
      <c r="W52" s="44">
        <f ca="1">IF(Table2[[#This Row],[تاريخ انتهاء التأمين]]="","",IFERROR(_xlfn.DAYS(Table2[[#This Row],[تاريخ انتهاء التأمين]],TODAY()),""))</f>
        <v>133</v>
      </c>
      <c r="X52" s="42" t="s">
        <v>27</v>
      </c>
      <c r="Y52" s="42" t="s">
        <v>28</v>
      </c>
      <c r="Z52" s="45">
        <v>1180</v>
      </c>
      <c r="AA52" s="46">
        <v>609244</v>
      </c>
      <c r="AB52" s="46" t="s">
        <v>1310</v>
      </c>
      <c r="AC52" s="46" t="s">
        <v>861</v>
      </c>
      <c r="AD52" s="46" t="s">
        <v>938</v>
      </c>
      <c r="AE52" s="47">
        <v>300</v>
      </c>
      <c r="AF52" s="48" t="s">
        <v>1147</v>
      </c>
      <c r="AG52" s="48" t="s">
        <v>1173</v>
      </c>
      <c r="AH52" s="48" t="s">
        <v>1149</v>
      </c>
      <c r="AI52" s="90">
        <v>867747077360814</v>
      </c>
      <c r="AJ52" s="89">
        <v>46127</v>
      </c>
      <c r="AK52" s="102">
        <f ca="1">IF(Table2[[#This Row],[تاريخ انتهاء ال GPS]]="","",IFERROR(_xlfn.DAYS(Table2[[#This Row],[تاريخ انتهاء ال GPS]],TODAY()),""))</f>
        <v>-133</v>
      </c>
      <c r="AL52" s="49" t="s">
        <v>1027</v>
      </c>
      <c r="AM52" s="50">
        <v>46266</v>
      </c>
      <c r="AN52" s="51">
        <f ca="1">IF(Table2[[#This Row],[تاريخ انتهاء بطاقة التشغيل]]="","",IFERROR(_xlfn.DAYS(Table2[[#This Row],[تاريخ انتهاء بطاقة التشغيل]],TODAY()),""))</f>
        <v>6</v>
      </c>
      <c r="AO52" s="80">
        <v>46367</v>
      </c>
      <c r="AP52" s="52">
        <f>Table2[[#This Row],[تاريخ انتهاء رخصة السير هجري]]</f>
        <v>46367</v>
      </c>
      <c r="AQ52" s="53">
        <f ca="1">IF(Table2[[#This Row],[تاريخ انتهاء رخصة السير ميلادي]]="","",IFERROR(_xlfn.DAYS(Table2[[#This Row],[تاريخ انتهاء رخصة السير ميلادي]],TODAY()),""))</f>
        <v>107</v>
      </c>
      <c r="AR52" s="55">
        <v>46397</v>
      </c>
      <c r="AS52" s="56">
        <f>Table2[[#This Row],[تاريخ انتهاء الفحص هجري]]</f>
        <v>46397</v>
      </c>
      <c r="AT52" s="106">
        <f ca="1">IF(Table2[[#This Row],[تاريخ انتهاء الفحص ميلادي]]="","",IFERROR(_xlfn.DAYS(Table2[[#This Row],[تاريخ انتهاء الفحص ميلادي]],TODAY()),""))</f>
        <v>137</v>
      </c>
      <c r="AU52" s="54"/>
      <c r="AV52" s="1"/>
      <c r="BE52" s="3"/>
      <c r="BH52" s="1"/>
    </row>
    <row r="53" spans="1:60" x14ac:dyDescent="0.3">
      <c r="A53" s="39" t="s">
        <v>19</v>
      </c>
      <c r="B53" s="39" t="s">
        <v>1193</v>
      </c>
      <c r="C53" s="39" t="s">
        <v>1193</v>
      </c>
      <c r="D53" s="39" t="s">
        <v>17</v>
      </c>
      <c r="E53" s="39" t="s">
        <v>819</v>
      </c>
      <c r="F53" s="40">
        <v>7025667531</v>
      </c>
      <c r="G53" s="41" t="s">
        <v>130</v>
      </c>
      <c r="H53" s="39" t="s">
        <v>131</v>
      </c>
      <c r="I53" s="58">
        <v>791964020</v>
      </c>
      <c r="J53" s="39" t="s">
        <v>20</v>
      </c>
      <c r="K53" s="39" t="s">
        <v>21</v>
      </c>
      <c r="L53" s="39" t="s">
        <v>22</v>
      </c>
      <c r="M53" s="39">
        <v>2024</v>
      </c>
      <c r="N53" s="39" t="s">
        <v>64</v>
      </c>
      <c r="O53" s="39" t="s">
        <v>1137</v>
      </c>
      <c r="P53" s="39" t="s">
        <v>1137</v>
      </c>
      <c r="Q53" s="39" t="s">
        <v>1137</v>
      </c>
      <c r="R53" s="124" t="s">
        <v>1137</v>
      </c>
      <c r="S53" s="124" t="s">
        <v>1137</v>
      </c>
      <c r="T53" s="124" t="s">
        <v>1137</v>
      </c>
      <c r="U53" s="42" t="s">
        <v>26</v>
      </c>
      <c r="V53" s="43">
        <v>46393</v>
      </c>
      <c r="W53" s="44">
        <f ca="1">IF(Table2[[#This Row],[تاريخ انتهاء التأمين]]="","",IFERROR(_xlfn.DAYS(Table2[[#This Row],[تاريخ انتهاء التأمين]],TODAY()),""))</f>
        <v>133</v>
      </c>
      <c r="X53" s="42" t="s">
        <v>27</v>
      </c>
      <c r="Y53" s="42" t="s">
        <v>28</v>
      </c>
      <c r="Z53" s="45">
        <v>1180</v>
      </c>
      <c r="AA53" s="46">
        <v>609219</v>
      </c>
      <c r="AB53" s="46" t="s">
        <v>1311</v>
      </c>
      <c r="AC53" s="46" t="s">
        <v>861</v>
      </c>
      <c r="AD53" s="46" t="s">
        <v>938</v>
      </c>
      <c r="AE53" s="47">
        <v>300</v>
      </c>
      <c r="AF53" s="48" t="s">
        <v>1147</v>
      </c>
      <c r="AG53" s="48" t="s">
        <v>861</v>
      </c>
      <c r="AH53" s="48" t="s">
        <v>1149</v>
      </c>
      <c r="AI53" s="90">
        <v>866069064316225</v>
      </c>
      <c r="AJ53" s="89">
        <v>46106</v>
      </c>
      <c r="AK53" s="102">
        <f ca="1">IF(Table2[[#This Row],[تاريخ انتهاء ال GPS]]="","",IFERROR(_xlfn.DAYS(Table2[[#This Row],[تاريخ انتهاء ال GPS]],TODAY()),""))</f>
        <v>-154</v>
      </c>
      <c r="AL53" s="49" t="s">
        <v>1028</v>
      </c>
      <c r="AM53" s="50">
        <v>46266</v>
      </c>
      <c r="AN53" s="51">
        <f ca="1">IF(Table2[[#This Row],[تاريخ انتهاء بطاقة التشغيل]]="","",IFERROR(_xlfn.DAYS(Table2[[#This Row],[تاريخ انتهاء بطاقة التشغيل]],TODAY()),""))</f>
        <v>6</v>
      </c>
      <c r="AO53" s="80">
        <v>46362</v>
      </c>
      <c r="AP53" s="52">
        <f>Table2[[#This Row],[تاريخ انتهاء رخصة السير هجري]]</f>
        <v>46362</v>
      </c>
      <c r="AQ53" s="53">
        <f ca="1">IF(Table2[[#This Row],[تاريخ انتهاء رخصة السير ميلادي]]="","",IFERROR(_xlfn.DAYS(Table2[[#This Row],[تاريخ انتهاء رخصة السير ميلادي]],TODAY()),""))</f>
        <v>102</v>
      </c>
      <c r="AR53" s="55">
        <v>46028</v>
      </c>
      <c r="AS53" s="56">
        <f>Table2[[#This Row],[تاريخ انتهاء الفحص هجري]]</f>
        <v>46028</v>
      </c>
      <c r="AT53" s="106">
        <f ca="1">IF(Table2[[#This Row],[تاريخ انتهاء الفحص ميلادي]]="","",IFERROR(_xlfn.DAYS(Table2[[#This Row],[تاريخ انتهاء الفحص ميلادي]],TODAY()),""))</f>
        <v>-232</v>
      </c>
      <c r="AU53" s="54"/>
      <c r="AV53" s="1"/>
      <c r="BE53" s="3"/>
      <c r="BH53" s="1"/>
    </row>
    <row r="54" spans="1:60" x14ac:dyDescent="0.3">
      <c r="A54" s="39" t="s">
        <v>19</v>
      </c>
      <c r="B54" s="39" t="s">
        <v>1183</v>
      </c>
      <c r="C54" s="39" t="s">
        <v>2004</v>
      </c>
      <c r="D54" s="39" t="s">
        <v>17</v>
      </c>
      <c r="E54" s="39" t="s">
        <v>819</v>
      </c>
      <c r="F54" s="40">
        <v>7025667531</v>
      </c>
      <c r="G54" s="41" t="s">
        <v>132</v>
      </c>
      <c r="H54" s="39" t="s">
        <v>133</v>
      </c>
      <c r="I54" s="58">
        <v>750964020</v>
      </c>
      <c r="J54" s="39" t="s">
        <v>20</v>
      </c>
      <c r="K54" s="39" t="s">
        <v>21</v>
      </c>
      <c r="L54" s="39" t="s">
        <v>22</v>
      </c>
      <c r="M54" s="39">
        <v>2024</v>
      </c>
      <c r="N54" s="39" t="s">
        <v>64</v>
      </c>
      <c r="O54" s="39" t="s">
        <v>1833</v>
      </c>
      <c r="P54" s="58">
        <v>2566741944</v>
      </c>
      <c r="Q54" s="39" t="s">
        <v>1618</v>
      </c>
      <c r="R54" s="124">
        <v>45993</v>
      </c>
      <c r="S54" s="124">
        <v>46327</v>
      </c>
      <c r="T54" s="58">
        <f ca="1">IF(Table2[[#This Row],[تاريخ نهاية التفويض]]="","",IFERROR(_xlfn.DAYS(Table2[[#This Row],[تاريخ نهاية التفويض]],TODAY()),""))</f>
        <v>67</v>
      </c>
      <c r="U54" s="42" t="s">
        <v>26</v>
      </c>
      <c r="V54" s="43">
        <v>46393</v>
      </c>
      <c r="W54" s="44">
        <f ca="1">IF(Table2[[#This Row],[تاريخ انتهاء التأمين]]="","",IFERROR(_xlfn.DAYS(Table2[[#This Row],[تاريخ انتهاء التأمين]],TODAY()),""))</f>
        <v>133</v>
      </c>
      <c r="X54" s="42" t="s">
        <v>27</v>
      </c>
      <c r="Y54" s="42" t="s">
        <v>28</v>
      </c>
      <c r="Z54" s="45">
        <v>1180</v>
      </c>
      <c r="AA54" s="46">
        <v>609237</v>
      </c>
      <c r="AB54" s="46" t="s">
        <v>1312</v>
      </c>
      <c r="AC54" s="46" t="s">
        <v>861</v>
      </c>
      <c r="AD54" s="46" t="s">
        <v>938</v>
      </c>
      <c r="AE54" s="47">
        <v>300</v>
      </c>
      <c r="AF54" s="48" t="s">
        <v>1147</v>
      </c>
      <c r="AG54" s="48" t="s">
        <v>861</v>
      </c>
      <c r="AH54" s="48" t="s">
        <v>1149</v>
      </c>
      <c r="AI54" s="90">
        <v>867747075438554</v>
      </c>
      <c r="AJ54" s="89">
        <v>46110</v>
      </c>
      <c r="AK54" s="102">
        <f ca="1">IF(Table2[[#This Row],[تاريخ انتهاء ال GPS]]="","",IFERROR(_xlfn.DAYS(Table2[[#This Row],[تاريخ انتهاء ال GPS]],TODAY()),""))</f>
        <v>-150</v>
      </c>
      <c r="AL54" s="49" t="s">
        <v>1029</v>
      </c>
      <c r="AM54" s="50">
        <v>46266</v>
      </c>
      <c r="AN54" s="51">
        <f ca="1">IF(Table2[[#This Row],[تاريخ انتهاء بطاقة التشغيل]]="","",IFERROR(_xlfn.DAYS(Table2[[#This Row],[تاريخ انتهاء بطاقة التشغيل]],TODAY()),""))</f>
        <v>6</v>
      </c>
      <c r="AO54" s="80">
        <v>46362</v>
      </c>
      <c r="AP54" s="52">
        <f>Table2[[#This Row],[تاريخ انتهاء رخصة السير هجري]]</f>
        <v>46362</v>
      </c>
      <c r="AQ54" s="53">
        <f ca="1">IF(Table2[[#This Row],[تاريخ انتهاء رخصة السير ميلادي]]="","",IFERROR(_xlfn.DAYS(Table2[[#This Row],[تاريخ انتهاء رخصة السير ميلادي]],TODAY()),""))</f>
        <v>102</v>
      </c>
      <c r="AR54" s="55">
        <v>46397</v>
      </c>
      <c r="AS54" s="56">
        <f>Table2[[#This Row],[تاريخ انتهاء الفحص هجري]]</f>
        <v>46397</v>
      </c>
      <c r="AT54" s="106">
        <f ca="1">IF(Table2[[#This Row],[تاريخ انتهاء الفحص ميلادي]]="","",IFERROR(_xlfn.DAYS(Table2[[#This Row],[تاريخ انتهاء الفحص ميلادي]],TODAY()),""))</f>
        <v>137</v>
      </c>
      <c r="AU54" s="54"/>
      <c r="AV54" s="1"/>
      <c r="BE54" s="3"/>
      <c r="BH54" s="1"/>
    </row>
    <row r="55" spans="1:60" x14ac:dyDescent="0.3">
      <c r="A55" s="39" t="s">
        <v>19</v>
      </c>
      <c r="B55" s="39" t="s">
        <v>1183</v>
      </c>
      <c r="C55" s="39" t="s">
        <v>2004</v>
      </c>
      <c r="D55" s="39" t="s">
        <v>17</v>
      </c>
      <c r="E55" s="39" t="s">
        <v>819</v>
      </c>
      <c r="F55" s="40">
        <v>7025667531</v>
      </c>
      <c r="G55" s="41" t="s">
        <v>134</v>
      </c>
      <c r="H55" s="39" t="s">
        <v>135</v>
      </c>
      <c r="I55" s="58">
        <v>830964020</v>
      </c>
      <c r="J55" s="39" t="s">
        <v>20</v>
      </c>
      <c r="K55" s="39" t="s">
        <v>21</v>
      </c>
      <c r="L55" s="39" t="s">
        <v>22</v>
      </c>
      <c r="M55" s="39">
        <v>2024</v>
      </c>
      <c r="N55" s="39" t="s">
        <v>64</v>
      </c>
      <c r="O55" s="39" t="s">
        <v>1834</v>
      </c>
      <c r="P55" s="58">
        <v>2566739211</v>
      </c>
      <c r="Q55" s="39" t="s">
        <v>1619</v>
      </c>
      <c r="R55" s="124">
        <v>46025</v>
      </c>
      <c r="S55" s="124">
        <v>46327</v>
      </c>
      <c r="T55" s="58">
        <f ca="1">IF(Table2[[#This Row],[تاريخ نهاية التفويض]]="","",IFERROR(_xlfn.DAYS(Table2[[#This Row],[تاريخ نهاية التفويض]],TODAY()),""))</f>
        <v>67</v>
      </c>
      <c r="U55" s="42" t="s">
        <v>26</v>
      </c>
      <c r="V55" s="43">
        <v>46393</v>
      </c>
      <c r="W55" s="44">
        <f ca="1">IF(Table2[[#This Row],[تاريخ انتهاء التأمين]]="","",IFERROR(_xlfn.DAYS(Table2[[#This Row],[تاريخ انتهاء التأمين]],TODAY()),""))</f>
        <v>133</v>
      </c>
      <c r="X55" s="42" t="s">
        <v>27</v>
      </c>
      <c r="Y55" s="42" t="s">
        <v>28</v>
      </c>
      <c r="Z55" s="45">
        <v>1180</v>
      </c>
      <c r="AA55" s="46">
        <v>609216</v>
      </c>
      <c r="AB55" s="46" t="s">
        <v>1313</v>
      </c>
      <c r="AC55" s="46" t="s">
        <v>861</v>
      </c>
      <c r="AD55" s="46" t="s">
        <v>938</v>
      </c>
      <c r="AE55" s="47">
        <v>300</v>
      </c>
      <c r="AF55" s="48" t="s">
        <v>1147</v>
      </c>
      <c r="AG55" s="48" t="s">
        <v>861</v>
      </c>
      <c r="AH55" s="48" t="s">
        <v>1149</v>
      </c>
      <c r="AI55" s="90">
        <v>866069063612814</v>
      </c>
      <c r="AJ55" s="89">
        <v>46106</v>
      </c>
      <c r="AK55" s="102">
        <f ca="1">IF(Table2[[#This Row],[تاريخ انتهاء ال GPS]]="","",IFERROR(_xlfn.DAYS(Table2[[#This Row],[تاريخ انتهاء ال GPS]],TODAY()),""))</f>
        <v>-154</v>
      </c>
      <c r="AL55" s="49" t="s">
        <v>1551</v>
      </c>
      <c r="AM55" s="50">
        <v>46621</v>
      </c>
      <c r="AN55" s="51">
        <f ca="1">IF(Table2[[#This Row],[تاريخ انتهاء بطاقة التشغيل]]="","",IFERROR(_xlfn.DAYS(Table2[[#This Row],[تاريخ انتهاء بطاقة التشغيل]],TODAY()),""))</f>
        <v>361</v>
      </c>
      <c r="AO55" s="80">
        <v>46362</v>
      </c>
      <c r="AP55" s="52">
        <f>Table2[[#This Row],[تاريخ انتهاء رخصة السير هجري]]</f>
        <v>46362</v>
      </c>
      <c r="AQ55" s="53">
        <f ca="1">IF(Table2[[#This Row],[تاريخ انتهاء رخصة السير ميلادي]]="","",IFERROR(_xlfn.DAYS(Table2[[#This Row],[تاريخ انتهاء رخصة السير ميلادي]],TODAY()),""))</f>
        <v>102</v>
      </c>
      <c r="AR55" s="55">
        <v>46395</v>
      </c>
      <c r="AS55" s="56">
        <f>Table2[[#This Row],[تاريخ انتهاء الفحص هجري]]</f>
        <v>46395</v>
      </c>
      <c r="AT55" s="106">
        <f ca="1">IF(Table2[[#This Row],[تاريخ انتهاء الفحص ميلادي]]="","",IFERROR(_xlfn.DAYS(Table2[[#This Row],[تاريخ انتهاء الفحص ميلادي]],TODAY()),""))</f>
        <v>135</v>
      </c>
      <c r="AU55" s="54"/>
      <c r="AV55" s="1"/>
      <c r="BE55" s="3"/>
      <c r="BH55" s="1"/>
    </row>
    <row r="56" spans="1:60" x14ac:dyDescent="0.3">
      <c r="A56" s="39" t="s">
        <v>19</v>
      </c>
      <c r="B56" s="39" t="s">
        <v>2000</v>
      </c>
      <c r="C56" s="39" t="s">
        <v>1187</v>
      </c>
      <c r="D56" s="39" t="s">
        <v>17</v>
      </c>
      <c r="E56" s="39" t="s">
        <v>819</v>
      </c>
      <c r="F56" s="40">
        <v>7025667531</v>
      </c>
      <c r="G56" s="41" t="s">
        <v>136</v>
      </c>
      <c r="H56" s="39" t="s">
        <v>137</v>
      </c>
      <c r="I56" s="58">
        <v>290684020</v>
      </c>
      <c r="J56" s="39" t="s">
        <v>20</v>
      </c>
      <c r="K56" s="39" t="s">
        <v>21</v>
      </c>
      <c r="L56" s="39" t="s">
        <v>22</v>
      </c>
      <c r="M56" s="39">
        <v>2024</v>
      </c>
      <c r="N56" s="39" t="s">
        <v>64</v>
      </c>
      <c r="O56" s="39" t="s">
        <v>1984</v>
      </c>
      <c r="P56" s="58">
        <v>2605086525</v>
      </c>
      <c r="Q56" s="39" t="s">
        <v>1620</v>
      </c>
      <c r="R56" s="124">
        <v>46259</v>
      </c>
      <c r="S56" s="124">
        <v>46387</v>
      </c>
      <c r="T56" s="58">
        <f ca="1">IF(Table2[[#This Row],[تاريخ نهاية التفويض]]="","",IFERROR(_xlfn.DAYS(Table2[[#This Row],[تاريخ نهاية التفويض]],TODAY()),""))</f>
        <v>127</v>
      </c>
      <c r="U56" s="42" t="s">
        <v>26</v>
      </c>
      <c r="V56" s="43">
        <v>46393</v>
      </c>
      <c r="W56" s="44">
        <f ca="1">IF(Table2[[#This Row],[تاريخ انتهاء التأمين]]="","",IFERROR(_xlfn.DAYS(Table2[[#This Row],[تاريخ انتهاء التأمين]],TODAY()),""))</f>
        <v>133</v>
      </c>
      <c r="X56" s="42" t="s">
        <v>27</v>
      </c>
      <c r="Y56" s="42" t="s">
        <v>28</v>
      </c>
      <c r="Z56" s="45">
        <v>1180</v>
      </c>
      <c r="AA56" s="46">
        <v>609246</v>
      </c>
      <c r="AB56" s="46" t="s">
        <v>1138</v>
      </c>
      <c r="AC56" s="46" t="s">
        <v>861</v>
      </c>
      <c r="AD56" s="46" t="s">
        <v>938</v>
      </c>
      <c r="AE56" s="47">
        <v>300</v>
      </c>
      <c r="AF56" s="48" t="s">
        <v>1147</v>
      </c>
      <c r="AG56" s="48" t="s">
        <v>861</v>
      </c>
      <c r="AH56" s="48" t="s">
        <v>1149</v>
      </c>
      <c r="AI56" s="90">
        <v>867747075438539</v>
      </c>
      <c r="AJ56" s="89">
        <v>46110</v>
      </c>
      <c r="AK56" s="102">
        <f ca="1">IF(Table2[[#This Row],[تاريخ انتهاء ال GPS]]="","",IFERROR(_xlfn.DAYS(Table2[[#This Row],[تاريخ انتهاء ال GPS]],TODAY()),""))</f>
        <v>-150</v>
      </c>
      <c r="AL56" s="49" t="s">
        <v>1552</v>
      </c>
      <c r="AM56" s="50">
        <v>46621</v>
      </c>
      <c r="AN56" s="51">
        <f ca="1">IF(Table2[[#This Row],[تاريخ انتهاء بطاقة التشغيل]]="","",IFERROR(_xlfn.DAYS(Table2[[#This Row],[تاريخ انتهاء بطاقة التشغيل]],TODAY()),""))</f>
        <v>361</v>
      </c>
      <c r="AO56" s="80">
        <v>46368</v>
      </c>
      <c r="AP56" s="52">
        <f>Table2[[#This Row],[تاريخ انتهاء رخصة السير هجري]]</f>
        <v>46368</v>
      </c>
      <c r="AQ56" s="53">
        <f ca="1">IF(Table2[[#This Row],[تاريخ انتهاء رخصة السير ميلادي]]="","",IFERROR(_xlfn.DAYS(Table2[[#This Row],[تاريخ انتهاء رخصة السير ميلادي]],TODAY()),""))</f>
        <v>108</v>
      </c>
      <c r="AR56" s="55">
        <v>46394</v>
      </c>
      <c r="AS56" s="56">
        <f>Table2[[#This Row],[تاريخ انتهاء الفحص هجري]]</f>
        <v>46394</v>
      </c>
      <c r="AT56" s="106">
        <f ca="1">IF(Table2[[#This Row],[تاريخ انتهاء الفحص ميلادي]]="","",IFERROR(_xlfn.DAYS(Table2[[#This Row],[تاريخ انتهاء الفحص ميلادي]],TODAY()),""))</f>
        <v>134</v>
      </c>
      <c r="AU56" s="54"/>
      <c r="AV56" s="1"/>
      <c r="BE56" s="3"/>
      <c r="BH56" s="1"/>
    </row>
    <row r="57" spans="1:60" x14ac:dyDescent="0.3">
      <c r="A57" s="39" t="s">
        <v>19</v>
      </c>
      <c r="B57" s="39" t="s">
        <v>1193</v>
      </c>
      <c r="C57" s="39" t="s">
        <v>1193</v>
      </c>
      <c r="D57" s="39" t="s">
        <v>17</v>
      </c>
      <c r="E57" s="39" t="s">
        <v>819</v>
      </c>
      <c r="F57" s="40">
        <v>7025667531</v>
      </c>
      <c r="G57" s="41" t="s">
        <v>138</v>
      </c>
      <c r="H57" s="39" t="s">
        <v>139</v>
      </c>
      <c r="I57" s="58">
        <v>282384020</v>
      </c>
      <c r="J57" s="39" t="s">
        <v>20</v>
      </c>
      <c r="K57" s="39" t="s">
        <v>21</v>
      </c>
      <c r="L57" s="39" t="s">
        <v>22</v>
      </c>
      <c r="M57" s="39">
        <v>2024</v>
      </c>
      <c r="N57" s="39" t="s">
        <v>64</v>
      </c>
      <c r="O57" s="39" t="s">
        <v>1137</v>
      </c>
      <c r="P57" s="39" t="s">
        <v>1137</v>
      </c>
      <c r="Q57" s="39" t="s">
        <v>1137</v>
      </c>
      <c r="R57" s="124" t="s">
        <v>1137</v>
      </c>
      <c r="S57" s="124" t="s">
        <v>1137</v>
      </c>
      <c r="T57" s="124" t="s">
        <v>1137</v>
      </c>
      <c r="U57" s="42" t="s">
        <v>26</v>
      </c>
      <c r="V57" s="43">
        <v>46393</v>
      </c>
      <c r="W57" s="44">
        <f ca="1">IF(Table2[[#This Row],[تاريخ انتهاء التأمين]]="","",IFERROR(_xlfn.DAYS(Table2[[#This Row],[تاريخ انتهاء التأمين]],TODAY()),""))</f>
        <v>133</v>
      </c>
      <c r="X57" s="42" t="s">
        <v>27</v>
      </c>
      <c r="Y57" s="42" t="s">
        <v>28</v>
      </c>
      <c r="Z57" s="45">
        <v>1180</v>
      </c>
      <c r="AA57" s="46">
        <v>609253</v>
      </c>
      <c r="AB57" s="46" t="s">
        <v>1314</v>
      </c>
      <c r="AC57" s="46" t="s">
        <v>861</v>
      </c>
      <c r="AD57" s="46" t="s">
        <v>938</v>
      </c>
      <c r="AE57" s="47">
        <v>300</v>
      </c>
      <c r="AF57" s="48" t="s">
        <v>1147</v>
      </c>
      <c r="AG57" s="48" t="s">
        <v>861</v>
      </c>
      <c r="AH57" s="48" t="s">
        <v>1149</v>
      </c>
      <c r="AI57" s="90">
        <v>867747071419079</v>
      </c>
      <c r="AJ57" s="89">
        <v>46110</v>
      </c>
      <c r="AK57" s="102">
        <f ca="1">IF(Table2[[#This Row],[تاريخ انتهاء ال GPS]]="","",IFERROR(_xlfn.DAYS(Table2[[#This Row],[تاريخ انتهاء ال GPS]],TODAY()),""))</f>
        <v>-150</v>
      </c>
      <c r="AL57" s="49" t="s">
        <v>1030</v>
      </c>
      <c r="AM57" s="50">
        <v>46266</v>
      </c>
      <c r="AN57" s="51">
        <f ca="1">IF(Table2[[#This Row],[تاريخ انتهاء بطاقة التشغيل]]="","",IFERROR(_xlfn.DAYS(Table2[[#This Row],[تاريخ انتهاء بطاقة التشغيل]],TODAY()),""))</f>
        <v>6</v>
      </c>
      <c r="AO57" s="80">
        <v>46367</v>
      </c>
      <c r="AP57" s="52">
        <f>Table2[[#This Row],[تاريخ انتهاء رخصة السير هجري]]</f>
        <v>46367</v>
      </c>
      <c r="AQ57" s="53">
        <f ca="1">IF(Table2[[#This Row],[تاريخ انتهاء رخصة السير ميلادي]]="","",IFERROR(_xlfn.DAYS(Table2[[#This Row],[تاريخ انتهاء رخصة السير ميلادي]],TODAY()),""))</f>
        <v>107</v>
      </c>
      <c r="AR57" s="55">
        <v>46423</v>
      </c>
      <c r="AS57" s="56">
        <f>Table2[[#This Row],[تاريخ انتهاء الفحص هجري]]</f>
        <v>46423</v>
      </c>
      <c r="AT57" s="106">
        <f ca="1">IF(Table2[[#This Row],[تاريخ انتهاء الفحص ميلادي]]="","",IFERROR(_xlfn.DAYS(Table2[[#This Row],[تاريخ انتهاء الفحص ميلادي]],TODAY()),""))</f>
        <v>163</v>
      </c>
      <c r="AU57" s="54"/>
      <c r="AV57" s="1"/>
      <c r="BE57" s="3"/>
      <c r="BH57" s="1"/>
    </row>
    <row r="58" spans="1:60" x14ac:dyDescent="0.3">
      <c r="A58" s="39" t="s">
        <v>19</v>
      </c>
      <c r="B58" s="39" t="s">
        <v>1193</v>
      </c>
      <c r="C58" s="39" t="s">
        <v>1193</v>
      </c>
      <c r="D58" s="39" t="s">
        <v>17</v>
      </c>
      <c r="E58" s="39" t="s">
        <v>819</v>
      </c>
      <c r="F58" s="40">
        <v>7025667531</v>
      </c>
      <c r="G58" s="41" t="s">
        <v>140</v>
      </c>
      <c r="H58" s="39" t="s">
        <v>141</v>
      </c>
      <c r="I58" s="58">
        <v>46284020</v>
      </c>
      <c r="J58" s="39" t="s">
        <v>20</v>
      </c>
      <c r="K58" s="39" t="s">
        <v>21</v>
      </c>
      <c r="L58" s="39" t="s">
        <v>22</v>
      </c>
      <c r="M58" s="39">
        <v>2024</v>
      </c>
      <c r="N58" s="39" t="s">
        <v>64</v>
      </c>
      <c r="O58" s="39" t="s">
        <v>1137</v>
      </c>
      <c r="P58" s="39" t="s">
        <v>1137</v>
      </c>
      <c r="Q58" s="39" t="s">
        <v>1137</v>
      </c>
      <c r="R58" s="124" t="s">
        <v>1137</v>
      </c>
      <c r="S58" s="124" t="s">
        <v>1137</v>
      </c>
      <c r="T58" s="124" t="s">
        <v>1137</v>
      </c>
      <c r="U58" s="42" t="s">
        <v>26</v>
      </c>
      <c r="V58" s="43">
        <v>46393</v>
      </c>
      <c r="W58" s="44">
        <f ca="1">IF(Table2[[#This Row],[تاريخ انتهاء التأمين]]="","",IFERROR(_xlfn.DAYS(Table2[[#This Row],[تاريخ انتهاء التأمين]],TODAY()),""))</f>
        <v>133</v>
      </c>
      <c r="X58" s="42" t="s">
        <v>27</v>
      </c>
      <c r="Y58" s="42" t="s">
        <v>28</v>
      </c>
      <c r="Z58" s="45">
        <v>1180</v>
      </c>
      <c r="AA58" s="46">
        <v>609259</v>
      </c>
      <c r="AB58" s="46" t="s">
        <v>1315</v>
      </c>
      <c r="AC58" s="46" t="s">
        <v>861</v>
      </c>
      <c r="AD58" s="46" t="s">
        <v>938</v>
      </c>
      <c r="AE58" s="47">
        <v>300</v>
      </c>
      <c r="AF58" s="48" t="s">
        <v>1147</v>
      </c>
      <c r="AG58" s="48" t="s">
        <v>861</v>
      </c>
      <c r="AH58" s="48" t="s">
        <v>1149</v>
      </c>
      <c r="AI58" s="90">
        <v>867747075438612</v>
      </c>
      <c r="AJ58" s="89">
        <v>46110</v>
      </c>
      <c r="AK58" s="102">
        <f ca="1">IF(Table2[[#This Row],[تاريخ انتهاء ال GPS]]="","",IFERROR(_xlfn.DAYS(Table2[[#This Row],[تاريخ انتهاء ال GPS]],TODAY()),""))</f>
        <v>-150</v>
      </c>
      <c r="AL58" s="57" t="s">
        <v>1031</v>
      </c>
      <c r="AM58" s="50">
        <v>46266</v>
      </c>
      <c r="AN58" s="113">
        <f ca="1">IF(Table2[[#This Row],[تاريخ انتهاء بطاقة التشغيل]]="","",IFERROR(_xlfn.DAYS(Table2[[#This Row],[تاريخ انتهاء بطاقة التشغيل]],TODAY()),""))</f>
        <v>6</v>
      </c>
      <c r="AO58" s="80">
        <v>46367</v>
      </c>
      <c r="AP58" s="52">
        <f>Table2[[#This Row],[تاريخ انتهاء رخصة السير هجري]]</f>
        <v>46367</v>
      </c>
      <c r="AQ58" s="53">
        <f ca="1">IF(Table2[[#This Row],[تاريخ انتهاء رخصة السير ميلادي]]="","",IFERROR(_xlfn.DAYS(Table2[[#This Row],[تاريخ انتهاء رخصة السير ميلادي]],TODAY()),""))</f>
        <v>107</v>
      </c>
      <c r="AR58" s="55">
        <v>46398</v>
      </c>
      <c r="AS58" s="56">
        <f>Table2[[#This Row],[تاريخ انتهاء الفحص هجري]]</f>
        <v>46398</v>
      </c>
      <c r="AT58" s="106">
        <f ca="1">IF(Table2[[#This Row],[تاريخ انتهاء الفحص ميلادي]]="","",IFERROR(_xlfn.DAYS(Table2[[#This Row],[تاريخ انتهاء الفحص ميلادي]],TODAY()),""))</f>
        <v>138</v>
      </c>
      <c r="AU58" s="54"/>
      <c r="AV58" s="1"/>
      <c r="BE58" s="3"/>
      <c r="BH58" s="1"/>
    </row>
    <row r="59" spans="1:60" x14ac:dyDescent="0.3">
      <c r="A59" s="39" t="s">
        <v>19</v>
      </c>
      <c r="B59" s="39" t="s">
        <v>1183</v>
      </c>
      <c r="C59" s="39" t="s">
        <v>2004</v>
      </c>
      <c r="D59" s="39" t="s">
        <v>17</v>
      </c>
      <c r="E59" s="39" t="s">
        <v>819</v>
      </c>
      <c r="F59" s="40">
        <v>7025667531</v>
      </c>
      <c r="G59" s="41" t="s">
        <v>142</v>
      </c>
      <c r="H59" s="39" t="s">
        <v>143</v>
      </c>
      <c r="I59" s="58">
        <v>36284020</v>
      </c>
      <c r="J59" s="39" t="s">
        <v>20</v>
      </c>
      <c r="K59" s="39" t="s">
        <v>21</v>
      </c>
      <c r="L59" s="39" t="s">
        <v>22</v>
      </c>
      <c r="M59" s="39">
        <v>2024</v>
      </c>
      <c r="N59" s="39" t="s">
        <v>64</v>
      </c>
      <c r="O59" s="39" t="s">
        <v>1835</v>
      </c>
      <c r="P59" s="58">
        <v>2562205845</v>
      </c>
      <c r="Q59" s="39" t="s">
        <v>1621</v>
      </c>
      <c r="R59" s="124">
        <v>45994</v>
      </c>
      <c r="S59" s="124">
        <v>46327</v>
      </c>
      <c r="T59" s="58">
        <f ca="1">IF(Table2[[#This Row],[تاريخ نهاية التفويض]]="","",IFERROR(_xlfn.DAYS(Table2[[#This Row],[تاريخ نهاية التفويض]],TODAY()),""))</f>
        <v>67</v>
      </c>
      <c r="U59" s="42" t="s">
        <v>26</v>
      </c>
      <c r="V59" s="43">
        <v>46393</v>
      </c>
      <c r="W59" s="44">
        <f ca="1">IF(Table2[[#This Row],[تاريخ انتهاء التأمين]]="","",IFERROR(_xlfn.DAYS(Table2[[#This Row],[تاريخ انتهاء التأمين]],TODAY()),""))</f>
        <v>133</v>
      </c>
      <c r="X59" s="42" t="s">
        <v>27</v>
      </c>
      <c r="Y59" s="42" t="s">
        <v>28</v>
      </c>
      <c r="Z59" s="45">
        <v>1180</v>
      </c>
      <c r="AA59" s="46">
        <v>609260</v>
      </c>
      <c r="AB59" s="46" t="s">
        <v>1316</v>
      </c>
      <c r="AC59" s="46" t="s">
        <v>861</v>
      </c>
      <c r="AD59" s="46" t="s">
        <v>938</v>
      </c>
      <c r="AE59" s="47">
        <v>300</v>
      </c>
      <c r="AF59" s="48" t="s">
        <v>1147</v>
      </c>
      <c r="AG59" s="48" t="s">
        <v>861</v>
      </c>
      <c r="AH59" s="48" t="s">
        <v>1149</v>
      </c>
      <c r="AI59" s="90">
        <v>866069063524720</v>
      </c>
      <c r="AJ59" s="89">
        <v>46127</v>
      </c>
      <c r="AK59" s="102">
        <f ca="1">IF(Table2[[#This Row],[تاريخ انتهاء ال GPS]]="","",IFERROR(_xlfn.DAYS(Table2[[#This Row],[تاريخ انتهاء ال GPS]],TODAY()),""))</f>
        <v>-133</v>
      </c>
      <c r="AL59" s="57" t="s">
        <v>1032</v>
      </c>
      <c r="AM59" s="50">
        <v>46266</v>
      </c>
      <c r="AN59" s="113">
        <f ca="1">IF(Table2[[#This Row],[تاريخ انتهاء بطاقة التشغيل]]="","",IFERROR(_xlfn.DAYS(Table2[[#This Row],[تاريخ انتهاء بطاقة التشغيل]],TODAY()),""))</f>
        <v>6</v>
      </c>
      <c r="AO59" s="80">
        <v>46367</v>
      </c>
      <c r="AP59" s="52">
        <f>Table2[[#This Row],[تاريخ انتهاء رخصة السير هجري]]</f>
        <v>46367</v>
      </c>
      <c r="AQ59" s="53">
        <f ca="1">IF(Table2[[#This Row],[تاريخ انتهاء رخصة السير ميلادي]]="","",IFERROR(_xlfn.DAYS(Table2[[#This Row],[تاريخ انتهاء رخصة السير ميلادي]],TODAY()),""))</f>
        <v>107</v>
      </c>
      <c r="AR59" s="55">
        <v>46398</v>
      </c>
      <c r="AS59" s="56">
        <f>Table2[[#This Row],[تاريخ انتهاء الفحص هجري]]</f>
        <v>46398</v>
      </c>
      <c r="AT59" s="106">
        <f ca="1">IF(Table2[[#This Row],[تاريخ انتهاء الفحص ميلادي]]="","",IFERROR(_xlfn.DAYS(Table2[[#This Row],[تاريخ انتهاء الفحص ميلادي]],TODAY()),""))</f>
        <v>138</v>
      </c>
      <c r="AU59" s="54"/>
      <c r="AV59" s="1"/>
      <c r="BE59" s="3"/>
      <c r="BH59" s="1"/>
    </row>
    <row r="60" spans="1:60" x14ac:dyDescent="0.3">
      <c r="A60" s="39" t="s">
        <v>19</v>
      </c>
      <c r="B60" s="39" t="s">
        <v>1193</v>
      </c>
      <c r="C60" s="39" t="s">
        <v>1193</v>
      </c>
      <c r="D60" s="39" t="s">
        <v>17</v>
      </c>
      <c r="E60" s="39" t="s">
        <v>819</v>
      </c>
      <c r="F60" s="40">
        <v>7025667531</v>
      </c>
      <c r="G60" s="41" t="s">
        <v>144</v>
      </c>
      <c r="H60" s="39" t="s">
        <v>145</v>
      </c>
      <c r="I60" s="58">
        <v>821964020</v>
      </c>
      <c r="J60" s="39" t="s">
        <v>20</v>
      </c>
      <c r="K60" s="39" t="s">
        <v>21</v>
      </c>
      <c r="L60" s="39" t="s">
        <v>22</v>
      </c>
      <c r="M60" s="39">
        <v>2024</v>
      </c>
      <c r="N60" s="39" t="s">
        <v>64</v>
      </c>
      <c r="O60" s="39" t="s">
        <v>1137</v>
      </c>
      <c r="P60" s="39" t="s">
        <v>1137</v>
      </c>
      <c r="Q60" s="39" t="s">
        <v>1137</v>
      </c>
      <c r="R60" s="124" t="s">
        <v>1137</v>
      </c>
      <c r="S60" s="124" t="s">
        <v>1137</v>
      </c>
      <c r="T60" s="124" t="s">
        <v>1137</v>
      </c>
      <c r="U60" s="42" t="s">
        <v>26</v>
      </c>
      <c r="V60" s="43">
        <v>46393</v>
      </c>
      <c r="W60" s="44">
        <f ca="1">IF(Table2[[#This Row],[تاريخ انتهاء التأمين]]="","",IFERROR(_xlfn.DAYS(Table2[[#This Row],[تاريخ انتهاء التأمين]],TODAY()),""))</f>
        <v>133</v>
      </c>
      <c r="X60" s="42" t="s">
        <v>27</v>
      </c>
      <c r="Y60" s="42" t="s">
        <v>28</v>
      </c>
      <c r="Z60" s="45">
        <v>1180</v>
      </c>
      <c r="AA60" s="46">
        <v>609235</v>
      </c>
      <c r="AB60" s="46" t="s">
        <v>1317</v>
      </c>
      <c r="AC60" s="46" t="s">
        <v>861</v>
      </c>
      <c r="AD60" s="46" t="s">
        <v>938</v>
      </c>
      <c r="AE60" s="47">
        <v>300</v>
      </c>
      <c r="AF60" s="48" t="s">
        <v>1147</v>
      </c>
      <c r="AG60" s="48" t="s">
        <v>861</v>
      </c>
      <c r="AH60" s="48" t="s">
        <v>1149</v>
      </c>
      <c r="AI60" s="90">
        <v>867747074928951</v>
      </c>
      <c r="AJ60" s="89">
        <v>46110</v>
      </c>
      <c r="AK60" s="102">
        <f ca="1">IF(Table2[[#This Row],[تاريخ انتهاء ال GPS]]="","",IFERROR(_xlfn.DAYS(Table2[[#This Row],[تاريخ انتهاء ال GPS]],TODAY()),""))</f>
        <v>-150</v>
      </c>
      <c r="AL60" s="57" t="s">
        <v>1033</v>
      </c>
      <c r="AM60" s="50">
        <v>46266</v>
      </c>
      <c r="AN60" s="113">
        <f ca="1">IF(Table2[[#This Row],[تاريخ انتهاء بطاقة التشغيل]]="","",IFERROR(_xlfn.DAYS(Table2[[#This Row],[تاريخ انتهاء بطاقة التشغيل]],TODAY()),""))</f>
        <v>6</v>
      </c>
      <c r="AO60" s="80">
        <v>46362</v>
      </c>
      <c r="AP60" s="52">
        <f>Table2[[#This Row],[تاريخ انتهاء رخصة السير هجري]]</f>
        <v>46362</v>
      </c>
      <c r="AQ60" s="53">
        <f ca="1">IF(Table2[[#This Row],[تاريخ انتهاء رخصة السير ميلادي]]="","",IFERROR(_xlfn.DAYS(Table2[[#This Row],[تاريخ انتهاء رخصة السير ميلادي]],TODAY()),""))</f>
        <v>102</v>
      </c>
      <c r="AR60" s="55">
        <v>46397</v>
      </c>
      <c r="AS60" s="56">
        <f>Table2[[#This Row],[تاريخ انتهاء الفحص هجري]]</f>
        <v>46397</v>
      </c>
      <c r="AT60" s="106">
        <f ca="1">IF(Table2[[#This Row],[تاريخ انتهاء الفحص ميلادي]]="","",IFERROR(_xlfn.DAYS(Table2[[#This Row],[تاريخ انتهاء الفحص ميلادي]],TODAY()),""))</f>
        <v>137</v>
      </c>
      <c r="AU60" s="54"/>
      <c r="AV60" s="1"/>
      <c r="BE60" s="3"/>
      <c r="BH60" s="1"/>
    </row>
    <row r="61" spans="1:60" x14ac:dyDescent="0.3">
      <c r="A61" s="39" t="s">
        <v>19</v>
      </c>
      <c r="B61" s="39" t="s">
        <v>1193</v>
      </c>
      <c r="C61" s="39" t="s">
        <v>1193</v>
      </c>
      <c r="D61" s="39" t="s">
        <v>17</v>
      </c>
      <c r="E61" s="39" t="s">
        <v>819</v>
      </c>
      <c r="F61" s="40">
        <v>7025667531</v>
      </c>
      <c r="G61" s="41" t="s">
        <v>146</v>
      </c>
      <c r="H61" s="39" t="s">
        <v>147</v>
      </c>
      <c r="I61" s="58">
        <v>816284020</v>
      </c>
      <c r="J61" s="39" t="s">
        <v>20</v>
      </c>
      <c r="K61" s="39" t="s">
        <v>21</v>
      </c>
      <c r="L61" s="39" t="s">
        <v>22</v>
      </c>
      <c r="M61" s="39">
        <v>2024</v>
      </c>
      <c r="N61" s="39" t="s">
        <v>64</v>
      </c>
      <c r="O61" s="39" t="s">
        <v>1137</v>
      </c>
      <c r="P61" s="39" t="s">
        <v>1137</v>
      </c>
      <c r="Q61" s="39" t="s">
        <v>1137</v>
      </c>
      <c r="R61" s="124" t="s">
        <v>1137</v>
      </c>
      <c r="S61" s="124" t="s">
        <v>1137</v>
      </c>
      <c r="T61" s="124" t="s">
        <v>1137</v>
      </c>
      <c r="U61" s="42" t="s">
        <v>26</v>
      </c>
      <c r="V61" s="43">
        <v>46393</v>
      </c>
      <c r="W61" s="44">
        <f ca="1">IF(Table2[[#This Row],[تاريخ انتهاء التأمين]]="","",IFERROR(_xlfn.DAYS(Table2[[#This Row],[تاريخ انتهاء التأمين]],TODAY()),""))</f>
        <v>133</v>
      </c>
      <c r="X61" s="42" t="s">
        <v>27</v>
      </c>
      <c r="Y61" s="42" t="s">
        <v>28</v>
      </c>
      <c r="Z61" s="45">
        <v>1180</v>
      </c>
      <c r="AA61" s="46">
        <v>609248</v>
      </c>
      <c r="AB61" s="46" t="s">
        <v>1318</v>
      </c>
      <c r="AC61" s="46" t="s">
        <v>861</v>
      </c>
      <c r="AD61" s="46" t="s">
        <v>938</v>
      </c>
      <c r="AE61" s="47">
        <v>300</v>
      </c>
      <c r="AF61" s="48" t="s">
        <v>1147</v>
      </c>
      <c r="AG61" s="48" t="s">
        <v>861</v>
      </c>
      <c r="AH61" s="48" t="s">
        <v>1149</v>
      </c>
      <c r="AI61" s="90">
        <v>867747071483844</v>
      </c>
      <c r="AJ61" s="89">
        <v>46109</v>
      </c>
      <c r="AK61" s="102">
        <f ca="1">IF(Table2[[#This Row],[تاريخ انتهاء ال GPS]]="","",IFERROR(_xlfn.DAYS(Table2[[#This Row],[تاريخ انتهاء ال GPS]],TODAY()),""))</f>
        <v>-151</v>
      </c>
      <c r="AL61" s="49" t="s">
        <v>1034</v>
      </c>
      <c r="AM61" s="50">
        <v>46266</v>
      </c>
      <c r="AN61" s="51">
        <f ca="1">IF(Table2[[#This Row],[تاريخ انتهاء بطاقة التشغيل]]="","",IFERROR(_xlfn.DAYS(Table2[[#This Row],[تاريخ انتهاء بطاقة التشغيل]],TODAY()),""))</f>
        <v>6</v>
      </c>
      <c r="AO61" s="80">
        <v>46367</v>
      </c>
      <c r="AP61" s="52">
        <f>Table2[[#This Row],[تاريخ انتهاء رخصة السير هجري]]</f>
        <v>46367</v>
      </c>
      <c r="AQ61" s="53">
        <f ca="1">IF(Table2[[#This Row],[تاريخ انتهاء رخصة السير ميلادي]]="","",IFERROR(_xlfn.DAYS(Table2[[#This Row],[تاريخ انتهاء رخصة السير ميلادي]],TODAY()),""))</f>
        <v>107</v>
      </c>
      <c r="AR61" s="55">
        <v>46393</v>
      </c>
      <c r="AS61" s="56">
        <f>Table2[[#This Row],[تاريخ انتهاء الفحص هجري]]</f>
        <v>46393</v>
      </c>
      <c r="AT61" s="106">
        <f ca="1">IF(Table2[[#This Row],[تاريخ انتهاء الفحص ميلادي]]="","",IFERROR(_xlfn.DAYS(Table2[[#This Row],[تاريخ انتهاء الفحص ميلادي]],TODAY()),""))</f>
        <v>133</v>
      </c>
      <c r="AU61" s="54"/>
      <c r="AV61" s="1"/>
      <c r="BE61" s="3"/>
      <c r="BH61" s="1"/>
    </row>
    <row r="62" spans="1:60" x14ac:dyDescent="0.3">
      <c r="A62" s="39" t="s">
        <v>19</v>
      </c>
      <c r="B62" s="39" t="s">
        <v>1183</v>
      </c>
      <c r="C62" s="39" t="s">
        <v>1187</v>
      </c>
      <c r="D62" s="39" t="s">
        <v>17</v>
      </c>
      <c r="E62" s="39" t="s">
        <v>819</v>
      </c>
      <c r="F62" s="40">
        <v>7025667531</v>
      </c>
      <c r="G62" s="41" t="s">
        <v>148</v>
      </c>
      <c r="H62" s="39" t="s">
        <v>149</v>
      </c>
      <c r="I62" s="58">
        <v>906284020</v>
      </c>
      <c r="J62" s="39" t="s">
        <v>20</v>
      </c>
      <c r="K62" s="39" t="s">
        <v>21</v>
      </c>
      <c r="L62" s="39" t="s">
        <v>22</v>
      </c>
      <c r="M62" s="39">
        <v>2024</v>
      </c>
      <c r="N62" s="39" t="s">
        <v>64</v>
      </c>
      <c r="O62" s="39" t="s">
        <v>1836</v>
      </c>
      <c r="P62" s="58">
        <v>2559108192</v>
      </c>
      <c r="Q62" s="39" t="s">
        <v>1622</v>
      </c>
      <c r="R62" s="124">
        <v>46245</v>
      </c>
      <c r="S62" s="124">
        <v>46387</v>
      </c>
      <c r="T62" s="58">
        <f ca="1">IF(Table2[[#This Row],[تاريخ نهاية التفويض]]="","",IFERROR(_xlfn.DAYS(Table2[[#This Row],[تاريخ نهاية التفويض]],TODAY()),""))</f>
        <v>127</v>
      </c>
      <c r="U62" s="42" t="s">
        <v>26</v>
      </c>
      <c r="V62" s="43">
        <v>46393</v>
      </c>
      <c r="W62" s="44">
        <f ca="1">IF(Table2[[#This Row],[تاريخ انتهاء التأمين]]="","",IFERROR(_xlfn.DAYS(Table2[[#This Row],[تاريخ انتهاء التأمين]],TODAY()),""))</f>
        <v>133</v>
      </c>
      <c r="X62" s="42" t="s">
        <v>27</v>
      </c>
      <c r="Y62" s="42" t="s">
        <v>28</v>
      </c>
      <c r="Z62" s="45">
        <v>1180</v>
      </c>
      <c r="AA62" s="46">
        <v>609262</v>
      </c>
      <c r="AB62" s="46" t="s">
        <v>1319</v>
      </c>
      <c r="AC62" s="46" t="s">
        <v>861</v>
      </c>
      <c r="AD62" s="46" t="s">
        <v>938</v>
      </c>
      <c r="AE62" s="47">
        <v>300</v>
      </c>
      <c r="AF62" s="48" t="s">
        <v>1147</v>
      </c>
      <c r="AG62" s="48" t="s">
        <v>861</v>
      </c>
      <c r="AH62" s="48" t="s">
        <v>1149</v>
      </c>
      <c r="AI62" s="90">
        <v>867747078359757</v>
      </c>
      <c r="AJ62" s="89">
        <v>46139</v>
      </c>
      <c r="AK62" s="102">
        <f ca="1">IF(Table2[[#This Row],[تاريخ انتهاء ال GPS]]="","",IFERROR(_xlfn.DAYS(Table2[[#This Row],[تاريخ انتهاء ال GPS]],TODAY()),""))</f>
        <v>-121</v>
      </c>
      <c r="AL62" s="49" t="s">
        <v>1553</v>
      </c>
      <c r="AM62" s="50">
        <v>46621</v>
      </c>
      <c r="AN62" s="51">
        <f ca="1">IF(Table2[[#This Row],[تاريخ انتهاء بطاقة التشغيل]]="","",IFERROR(_xlfn.DAYS(Table2[[#This Row],[تاريخ انتهاء بطاقة التشغيل]],TODAY()),""))</f>
        <v>361</v>
      </c>
      <c r="AO62" s="80">
        <v>46367</v>
      </c>
      <c r="AP62" s="52">
        <f>Table2[[#This Row],[تاريخ انتهاء رخصة السير هجري]]</f>
        <v>46367</v>
      </c>
      <c r="AQ62" s="53">
        <f ca="1">IF(Table2[[#This Row],[تاريخ انتهاء رخصة السير ميلادي]]="","",IFERROR(_xlfn.DAYS(Table2[[#This Row],[تاريخ انتهاء رخصة السير ميلادي]],TODAY()),""))</f>
        <v>107</v>
      </c>
      <c r="AR62" s="55">
        <v>46400</v>
      </c>
      <c r="AS62" s="56">
        <f>Table2[[#This Row],[تاريخ انتهاء الفحص هجري]]</f>
        <v>46400</v>
      </c>
      <c r="AT62" s="106">
        <f ca="1">IF(Table2[[#This Row],[تاريخ انتهاء الفحص ميلادي]]="","",IFERROR(_xlfn.DAYS(Table2[[#This Row],[تاريخ انتهاء الفحص ميلادي]],TODAY()),""))</f>
        <v>140</v>
      </c>
      <c r="AU62" s="54"/>
      <c r="AV62" s="1"/>
      <c r="BE62" s="3"/>
      <c r="BH62" s="1"/>
    </row>
    <row r="63" spans="1:60" x14ac:dyDescent="0.3">
      <c r="A63" s="39" t="s">
        <v>19</v>
      </c>
      <c r="B63" s="39" t="s">
        <v>2003</v>
      </c>
      <c r="C63" s="39" t="s">
        <v>2004</v>
      </c>
      <c r="D63" s="39" t="s">
        <v>17</v>
      </c>
      <c r="E63" s="39" t="s">
        <v>819</v>
      </c>
      <c r="F63" s="40">
        <v>7025667531</v>
      </c>
      <c r="G63" s="41" t="s">
        <v>150</v>
      </c>
      <c r="H63" s="39" t="s">
        <v>151</v>
      </c>
      <c r="I63" s="58">
        <v>795284020</v>
      </c>
      <c r="J63" s="39" t="s">
        <v>20</v>
      </c>
      <c r="K63" s="39" t="s">
        <v>21</v>
      </c>
      <c r="L63" s="39" t="s">
        <v>22</v>
      </c>
      <c r="M63" s="39">
        <v>2024</v>
      </c>
      <c r="N63" s="39" t="s">
        <v>64</v>
      </c>
      <c r="O63" s="39" t="s">
        <v>1837</v>
      </c>
      <c r="P63" s="58">
        <v>2579771524</v>
      </c>
      <c r="Q63" s="39" t="s">
        <v>1623</v>
      </c>
      <c r="R63" s="124">
        <v>46210</v>
      </c>
      <c r="S63" s="124">
        <v>46387</v>
      </c>
      <c r="T63" s="58">
        <f ca="1">IF(Table2[[#This Row],[تاريخ نهاية التفويض]]="","",IFERROR(_xlfn.DAYS(Table2[[#This Row],[تاريخ نهاية التفويض]],TODAY()),""))</f>
        <v>127</v>
      </c>
      <c r="U63" s="42" t="s">
        <v>26</v>
      </c>
      <c r="V63" s="43">
        <v>46393</v>
      </c>
      <c r="W63" s="44">
        <f ca="1">IF(Table2[[#This Row],[تاريخ انتهاء التأمين]]="","",IFERROR(_xlfn.DAYS(Table2[[#This Row],[تاريخ انتهاء التأمين]],TODAY()),""))</f>
        <v>133</v>
      </c>
      <c r="X63" s="42" t="s">
        <v>27</v>
      </c>
      <c r="Y63" s="42" t="s">
        <v>28</v>
      </c>
      <c r="Z63" s="45">
        <v>1180</v>
      </c>
      <c r="AA63" s="46">
        <v>609254</v>
      </c>
      <c r="AB63" s="46" t="s">
        <v>1320</v>
      </c>
      <c r="AC63" s="46" t="s">
        <v>861</v>
      </c>
      <c r="AD63" s="46" t="s">
        <v>938</v>
      </c>
      <c r="AE63" s="47">
        <v>300</v>
      </c>
      <c r="AF63" s="48" t="s">
        <v>1147</v>
      </c>
      <c r="AG63" s="48" t="s">
        <v>1173</v>
      </c>
      <c r="AH63" s="48" t="s">
        <v>1149</v>
      </c>
      <c r="AI63" s="90">
        <v>867747071342198</v>
      </c>
      <c r="AJ63" s="89">
        <v>46109</v>
      </c>
      <c r="AK63" s="102">
        <f ca="1">IF(Table2[[#This Row],[تاريخ انتهاء ال GPS]]="","",IFERROR(_xlfn.DAYS(Table2[[#This Row],[تاريخ انتهاء ال GPS]],TODAY()),""))</f>
        <v>-151</v>
      </c>
      <c r="AL63" s="49" t="s">
        <v>1035</v>
      </c>
      <c r="AM63" s="50">
        <v>46266</v>
      </c>
      <c r="AN63" s="51">
        <f ca="1">IF(Table2[[#This Row],[تاريخ انتهاء بطاقة التشغيل]]="","",IFERROR(_xlfn.DAYS(Table2[[#This Row],[تاريخ انتهاء بطاقة التشغيل]],TODAY()),""))</f>
        <v>6</v>
      </c>
      <c r="AO63" s="80">
        <v>46367</v>
      </c>
      <c r="AP63" s="52">
        <f>Table2[[#This Row],[تاريخ انتهاء رخصة السير هجري]]</f>
        <v>46367</v>
      </c>
      <c r="AQ63" s="53">
        <f ca="1">IF(Table2[[#This Row],[تاريخ انتهاء رخصة السير ميلادي]]="","",IFERROR(_xlfn.DAYS(Table2[[#This Row],[تاريخ انتهاء رخصة السير ميلادي]],TODAY()),""))</f>
        <v>107</v>
      </c>
      <c r="AR63" s="55">
        <v>46022</v>
      </c>
      <c r="AS63" s="56">
        <f>Table2[[#This Row],[تاريخ انتهاء الفحص هجري]]</f>
        <v>46022</v>
      </c>
      <c r="AT63" s="106">
        <f ca="1">IF(Table2[[#This Row],[تاريخ انتهاء الفحص ميلادي]]="","",IFERROR(_xlfn.DAYS(Table2[[#This Row],[تاريخ انتهاء الفحص ميلادي]],TODAY()),""))</f>
        <v>-238</v>
      </c>
      <c r="AU63" s="54"/>
      <c r="AV63" s="1"/>
      <c r="BE63" s="3"/>
      <c r="BH63" s="1"/>
    </row>
    <row r="64" spans="1:60" x14ac:dyDescent="0.3">
      <c r="A64" s="39" t="s">
        <v>19</v>
      </c>
      <c r="B64" s="39" t="s">
        <v>1193</v>
      </c>
      <c r="C64" s="39" t="s">
        <v>1193</v>
      </c>
      <c r="D64" s="39" t="s">
        <v>17</v>
      </c>
      <c r="E64" s="39" t="s">
        <v>819</v>
      </c>
      <c r="F64" s="40">
        <v>7025667531</v>
      </c>
      <c r="G64" s="41" t="s">
        <v>152</v>
      </c>
      <c r="H64" s="39" t="s">
        <v>153</v>
      </c>
      <c r="I64" s="58">
        <v>479864020</v>
      </c>
      <c r="J64" s="39" t="s">
        <v>20</v>
      </c>
      <c r="K64" s="39" t="s">
        <v>67</v>
      </c>
      <c r="L64" s="39" t="s">
        <v>22</v>
      </c>
      <c r="M64" s="39">
        <v>2024</v>
      </c>
      <c r="N64" s="39" t="s">
        <v>64</v>
      </c>
      <c r="O64" s="39" t="s">
        <v>1137</v>
      </c>
      <c r="P64" s="39" t="s">
        <v>1137</v>
      </c>
      <c r="Q64" s="39" t="s">
        <v>1137</v>
      </c>
      <c r="R64" s="124" t="s">
        <v>1137</v>
      </c>
      <c r="S64" s="124" t="s">
        <v>1137</v>
      </c>
      <c r="T64" s="124" t="s">
        <v>1137</v>
      </c>
      <c r="U64" s="42" t="s">
        <v>26</v>
      </c>
      <c r="V64" s="43">
        <v>46393</v>
      </c>
      <c r="W64" s="44">
        <f ca="1">IF(Table2[[#This Row],[تاريخ انتهاء التأمين]]="","",IFERROR(_xlfn.DAYS(Table2[[#This Row],[تاريخ انتهاء التأمين]],TODAY()),""))</f>
        <v>133</v>
      </c>
      <c r="X64" s="42" t="s">
        <v>27</v>
      </c>
      <c r="Y64" s="42" t="s">
        <v>28</v>
      </c>
      <c r="Z64" s="45">
        <v>1180</v>
      </c>
      <c r="AA64" s="46">
        <v>609226</v>
      </c>
      <c r="AB64" s="46" t="s">
        <v>1321</v>
      </c>
      <c r="AC64" s="46" t="s">
        <v>861</v>
      </c>
      <c r="AD64" s="46" t="s">
        <v>938</v>
      </c>
      <c r="AE64" s="47">
        <v>300</v>
      </c>
      <c r="AF64" s="48" t="s">
        <v>1147</v>
      </c>
      <c r="AG64" s="48" t="s">
        <v>861</v>
      </c>
      <c r="AH64" s="48" t="s">
        <v>1149</v>
      </c>
      <c r="AI64" s="90">
        <v>867747077357885</v>
      </c>
      <c r="AJ64" s="89">
        <v>46125</v>
      </c>
      <c r="AK64" s="102">
        <f ca="1">IF(Table2[[#This Row],[تاريخ انتهاء ال GPS]]="","",IFERROR(_xlfn.DAYS(Table2[[#This Row],[تاريخ انتهاء ال GPS]],TODAY()),""))</f>
        <v>-135</v>
      </c>
      <c r="AL64" s="49" t="s">
        <v>1036</v>
      </c>
      <c r="AM64" s="50">
        <v>46266</v>
      </c>
      <c r="AN64" s="51">
        <f ca="1">IF(Table2[[#This Row],[تاريخ انتهاء بطاقة التشغيل]]="","",IFERROR(_xlfn.DAYS(Table2[[#This Row],[تاريخ انتهاء بطاقة التشغيل]],TODAY()),""))</f>
        <v>6</v>
      </c>
      <c r="AO64" s="80">
        <v>46362</v>
      </c>
      <c r="AP64" s="52">
        <f>Table2[[#This Row],[تاريخ انتهاء رخصة السير هجري]]</f>
        <v>46362</v>
      </c>
      <c r="AQ64" s="53">
        <f ca="1">IF(Table2[[#This Row],[تاريخ انتهاء رخصة السير ميلادي]]="","",IFERROR(_xlfn.DAYS(Table2[[#This Row],[تاريخ انتهاء رخصة السير ميلادي]],TODAY()),""))</f>
        <v>102</v>
      </c>
      <c r="AR64" s="55">
        <v>46395</v>
      </c>
      <c r="AS64" s="56">
        <f>Table2[[#This Row],[تاريخ انتهاء الفحص هجري]]</f>
        <v>46395</v>
      </c>
      <c r="AT64" s="106">
        <f ca="1">IF(Table2[[#This Row],[تاريخ انتهاء الفحص ميلادي]]="","",IFERROR(_xlfn.DAYS(Table2[[#This Row],[تاريخ انتهاء الفحص ميلادي]],TODAY()),""))</f>
        <v>135</v>
      </c>
      <c r="AU64" s="54"/>
      <c r="AV64" s="1"/>
      <c r="BE64" s="3"/>
      <c r="BH64" s="1"/>
    </row>
    <row r="65" spans="1:60" x14ac:dyDescent="0.3">
      <c r="A65" s="39" t="s">
        <v>19</v>
      </c>
      <c r="B65" s="39" t="s">
        <v>1193</v>
      </c>
      <c r="C65" s="39" t="s">
        <v>1193</v>
      </c>
      <c r="D65" s="39" t="s">
        <v>17</v>
      </c>
      <c r="E65" s="39" t="s">
        <v>819</v>
      </c>
      <c r="F65" s="40">
        <v>7025667531</v>
      </c>
      <c r="G65" s="41" t="s">
        <v>154</v>
      </c>
      <c r="H65" s="39" t="s">
        <v>155</v>
      </c>
      <c r="I65" s="58">
        <v>464384020</v>
      </c>
      <c r="J65" s="39" t="s">
        <v>20</v>
      </c>
      <c r="K65" s="39" t="s">
        <v>67</v>
      </c>
      <c r="L65" s="39" t="s">
        <v>22</v>
      </c>
      <c r="M65" s="39">
        <v>2024</v>
      </c>
      <c r="N65" s="39" t="s">
        <v>64</v>
      </c>
      <c r="O65" s="39" t="s">
        <v>1137</v>
      </c>
      <c r="P65" s="39" t="s">
        <v>1137</v>
      </c>
      <c r="Q65" s="39" t="s">
        <v>1137</v>
      </c>
      <c r="R65" s="124" t="s">
        <v>1137</v>
      </c>
      <c r="S65" s="124" t="s">
        <v>1137</v>
      </c>
      <c r="T65" s="124" t="s">
        <v>1137</v>
      </c>
      <c r="U65" s="42" t="s">
        <v>26</v>
      </c>
      <c r="V65" s="43">
        <v>46393</v>
      </c>
      <c r="W65" s="44">
        <f ca="1">IF(Table2[[#This Row],[تاريخ انتهاء التأمين]]="","",IFERROR(_xlfn.DAYS(Table2[[#This Row],[تاريخ انتهاء التأمين]],TODAY()),""))</f>
        <v>133</v>
      </c>
      <c r="X65" s="42" t="s">
        <v>27</v>
      </c>
      <c r="Y65" s="42" t="s">
        <v>28</v>
      </c>
      <c r="Z65" s="45">
        <v>1180</v>
      </c>
      <c r="AA65" s="46">
        <v>609264</v>
      </c>
      <c r="AB65" s="46" t="s">
        <v>1322</v>
      </c>
      <c r="AC65" s="46" t="s">
        <v>861</v>
      </c>
      <c r="AD65" s="46" t="s">
        <v>938</v>
      </c>
      <c r="AE65" s="47">
        <v>300</v>
      </c>
      <c r="AF65" s="48" t="s">
        <v>1147</v>
      </c>
      <c r="AG65" s="48" t="s">
        <v>861</v>
      </c>
      <c r="AH65" s="48" t="s">
        <v>1149</v>
      </c>
      <c r="AI65" s="90">
        <v>867747074928944</v>
      </c>
      <c r="AJ65" s="89">
        <v>46110</v>
      </c>
      <c r="AK65" s="102">
        <f ca="1">IF(Table2[[#This Row],[تاريخ انتهاء ال GPS]]="","",IFERROR(_xlfn.DAYS(Table2[[#This Row],[تاريخ انتهاء ال GPS]],TODAY()),""))</f>
        <v>-150</v>
      </c>
      <c r="AL65" s="49" t="s">
        <v>1037</v>
      </c>
      <c r="AM65" s="50">
        <v>46266</v>
      </c>
      <c r="AN65" s="51">
        <f ca="1">IF(Table2[[#This Row],[تاريخ انتهاء بطاقة التشغيل]]="","",IFERROR(_xlfn.DAYS(Table2[[#This Row],[تاريخ انتهاء بطاقة التشغيل]],TODAY()),""))</f>
        <v>6</v>
      </c>
      <c r="AO65" s="80">
        <v>46367</v>
      </c>
      <c r="AP65" s="52">
        <f>Table2[[#This Row],[تاريخ انتهاء رخصة السير هجري]]</f>
        <v>46367</v>
      </c>
      <c r="AQ65" s="53">
        <f ca="1">IF(Table2[[#This Row],[تاريخ انتهاء رخصة السير ميلادي]]="","",IFERROR(_xlfn.DAYS(Table2[[#This Row],[تاريخ انتهاء رخصة السير ميلادي]],TODAY()),""))</f>
        <v>107</v>
      </c>
      <c r="AR65" s="55">
        <v>46395</v>
      </c>
      <c r="AS65" s="56">
        <f>Table2[[#This Row],[تاريخ انتهاء الفحص هجري]]</f>
        <v>46395</v>
      </c>
      <c r="AT65" s="106">
        <f ca="1">IF(Table2[[#This Row],[تاريخ انتهاء الفحص ميلادي]]="","",IFERROR(_xlfn.DAYS(Table2[[#This Row],[تاريخ انتهاء الفحص ميلادي]],TODAY()),""))</f>
        <v>135</v>
      </c>
      <c r="AU65" s="54"/>
      <c r="AV65" s="1"/>
      <c r="BE65" s="3"/>
      <c r="BH65" s="1"/>
    </row>
    <row r="66" spans="1:60" x14ac:dyDescent="0.3">
      <c r="A66" s="39" t="s">
        <v>19</v>
      </c>
      <c r="B66" s="39" t="s">
        <v>2003</v>
      </c>
      <c r="C66" s="39" t="s">
        <v>2004</v>
      </c>
      <c r="D66" s="39" t="s">
        <v>17</v>
      </c>
      <c r="E66" s="39" t="s">
        <v>819</v>
      </c>
      <c r="F66" s="40">
        <v>7025667531</v>
      </c>
      <c r="G66" s="41" t="s">
        <v>156</v>
      </c>
      <c r="H66" s="39" t="s">
        <v>157</v>
      </c>
      <c r="I66" s="58">
        <v>934384020</v>
      </c>
      <c r="J66" s="39" t="s">
        <v>20</v>
      </c>
      <c r="K66" s="39" t="s">
        <v>67</v>
      </c>
      <c r="L66" s="39" t="s">
        <v>22</v>
      </c>
      <c r="M66" s="39">
        <v>2024</v>
      </c>
      <c r="N66" s="39" t="s">
        <v>64</v>
      </c>
      <c r="O66" s="39" t="s">
        <v>1838</v>
      </c>
      <c r="P66" s="58">
        <v>2591942483</v>
      </c>
      <c r="Q66" s="39" t="s">
        <v>1624</v>
      </c>
      <c r="R66" s="124">
        <v>46166</v>
      </c>
      <c r="S66" s="124">
        <v>46387</v>
      </c>
      <c r="T66" s="58">
        <f ca="1">IF(Table2[[#This Row],[تاريخ نهاية التفويض]]="","",IFERROR(_xlfn.DAYS(Table2[[#This Row],[تاريخ نهاية التفويض]],TODAY()),""))</f>
        <v>127</v>
      </c>
      <c r="U66" s="42" t="s">
        <v>26</v>
      </c>
      <c r="V66" s="43">
        <v>46393</v>
      </c>
      <c r="W66" s="44">
        <f ca="1">IF(Table2[[#This Row],[تاريخ انتهاء التأمين]]="","",IFERROR(_xlfn.DAYS(Table2[[#This Row],[تاريخ انتهاء التأمين]],TODAY()),""))</f>
        <v>133</v>
      </c>
      <c r="X66" s="42" t="s">
        <v>27</v>
      </c>
      <c r="Y66" s="42" t="s">
        <v>28</v>
      </c>
      <c r="Z66" s="45">
        <v>1180</v>
      </c>
      <c r="AA66" s="46">
        <v>609252</v>
      </c>
      <c r="AB66" s="46" t="s">
        <v>1323</v>
      </c>
      <c r="AC66" s="46" t="s">
        <v>861</v>
      </c>
      <c r="AD66" s="46" t="s">
        <v>938</v>
      </c>
      <c r="AE66" s="47">
        <v>300</v>
      </c>
      <c r="AF66" s="48" t="s">
        <v>1147</v>
      </c>
      <c r="AG66" s="48" t="s">
        <v>861</v>
      </c>
      <c r="AH66" s="48" t="s">
        <v>1149</v>
      </c>
      <c r="AI66" s="90">
        <v>867747074929132</v>
      </c>
      <c r="AJ66" s="89">
        <v>46121</v>
      </c>
      <c r="AK66" s="102">
        <f ca="1">IF(Table2[[#This Row],[تاريخ انتهاء ال GPS]]="","",IFERROR(_xlfn.DAYS(Table2[[#This Row],[تاريخ انتهاء ال GPS]],TODAY()),""))</f>
        <v>-139</v>
      </c>
      <c r="AL66" s="49" t="s">
        <v>1554</v>
      </c>
      <c r="AM66" s="50">
        <v>46621</v>
      </c>
      <c r="AN66" s="51">
        <f ca="1">IF(Table2[[#This Row],[تاريخ انتهاء بطاقة التشغيل]]="","",IFERROR(_xlfn.DAYS(Table2[[#This Row],[تاريخ انتهاء بطاقة التشغيل]],TODAY()),""))</f>
        <v>361</v>
      </c>
      <c r="AO66" s="80">
        <v>46367</v>
      </c>
      <c r="AP66" s="52">
        <f>Table2[[#This Row],[تاريخ انتهاء رخصة السير هجري]]</f>
        <v>46367</v>
      </c>
      <c r="AQ66" s="53">
        <f ca="1">IF(Table2[[#This Row],[تاريخ انتهاء رخصة السير ميلادي]]="","",IFERROR(_xlfn.DAYS(Table2[[#This Row],[تاريخ انتهاء رخصة السير ميلادي]],TODAY()),""))</f>
        <v>107</v>
      </c>
      <c r="AR66" s="55">
        <v>46418</v>
      </c>
      <c r="AS66" s="56">
        <f>Table2[[#This Row],[تاريخ انتهاء الفحص هجري]]</f>
        <v>46418</v>
      </c>
      <c r="AT66" s="106">
        <f ca="1">IF(Table2[[#This Row],[تاريخ انتهاء الفحص ميلادي]]="","",IFERROR(_xlfn.DAYS(Table2[[#This Row],[تاريخ انتهاء الفحص ميلادي]],TODAY()),""))</f>
        <v>158</v>
      </c>
      <c r="AU66" s="54"/>
      <c r="AV66" s="1"/>
      <c r="BE66" s="3"/>
      <c r="BH66" s="1"/>
    </row>
    <row r="67" spans="1:60" x14ac:dyDescent="0.3">
      <c r="A67" s="39" t="s">
        <v>19</v>
      </c>
      <c r="B67" s="39" t="s">
        <v>1183</v>
      </c>
      <c r="C67" s="39" t="s">
        <v>2004</v>
      </c>
      <c r="D67" s="39" t="s">
        <v>17</v>
      </c>
      <c r="E67" s="39" t="s">
        <v>819</v>
      </c>
      <c r="F67" s="40">
        <v>7025667531</v>
      </c>
      <c r="G67" s="41" t="s">
        <v>158</v>
      </c>
      <c r="H67" s="39" t="s">
        <v>159</v>
      </c>
      <c r="I67" s="58">
        <v>783384020</v>
      </c>
      <c r="J67" s="39" t="s">
        <v>20</v>
      </c>
      <c r="K67" s="39" t="s">
        <v>67</v>
      </c>
      <c r="L67" s="39" t="s">
        <v>22</v>
      </c>
      <c r="M67" s="39">
        <v>2024</v>
      </c>
      <c r="N67" s="39" t="s">
        <v>64</v>
      </c>
      <c r="O67" s="39" t="s">
        <v>1839</v>
      </c>
      <c r="P67" s="58">
        <v>2555618202</v>
      </c>
      <c r="Q67" s="39" t="s">
        <v>1625</v>
      </c>
      <c r="R67" s="124">
        <v>45993</v>
      </c>
      <c r="S67" s="124">
        <v>46327</v>
      </c>
      <c r="T67" s="58">
        <f ca="1">IF(Table2[[#This Row],[تاريخ نهاية التفويض]]="","",IFERROR(_xlfn.DAYS(Table2[[#This Row],[تاريخ نهاية التفويض]],TODAY()),""))</f>
        <v>67</v>
      </c>
      <c r="U67" s="42" t="s">
        <v>26</v>
      </c>
      <c r="V67" s="43">
        <v>46393</v>
      </c>
      <c r="W67" s="44">
        <f ca="1">IF(Table2[[#This Row],[تاريخ انتهاء التأمين]]="","",IFERROR(_xlfn.DAYS(Table2[[#This Row],[تاريخ انتهاء التأمين]],TODAY()),""))</f>
        <v>133</v>
      </c>
      <c r="X67" s="42" t="s">
        <v>27</v>
      </c>
      <c r="Y67" s="42" t="s">
        <v>28</v>
      </c>
      <c r="Z67" s="45">
        <v>1180</v>
      </c>
      <c r="AA67" s="46">
        <v>609263</v>
      </c>
      <c r="AB67" s="46" t="s">
        <v>1324</v>
      </c>
      <c r="AC67" s="46" t="s">
        <v>861</v>
      </c>
      <c r="AD67" s="46" t="s">
        <v>938</v>
      </c>
      <c r="AE67" s="47">
        <v>300</v>
      </c>
      <c r="AF67" s="48" t="s">
        <v>1147</v>
      </c>
      <c r="AG67" s="48" t="s">
        <v>861</v>
      </c>
      <c r="AH67" s="48" t="s">
        <v>1149</v>
      </c>
      <c r="AI67" s="90">
        <v>867747074929108</v>
      </c>
      <c r="AJ67" s="89">
        <v>46110</v>
      </c>
      <c r="AK67" s="102">
        <f ca="1">IF(Table2[[#This Row],[تاريخ انتهاء ال GPS]]="","",IFERROR(_xlfn.DAYS(Table2[[#This Row],[تاريخ انتهاء ال GPS]],TODAY()),""))</f>
        <v>-150</v>
      </c>
      <c r="AL67" s="49" t="s">
        <v>1555</v>
      </c>
      <c r="AM67" s="50">
        <v>46621</v>
      </c>
      <c r="AN67" s="51">
        <f ca="1">IF(Table2[[#This Row],[تاريخ انتهاء بطاقة التشغيل]]="","",IFERROR(_xlfn.DAYS(Table2[[#This Row],[تاريخ انتهاء بطاقة التشغيل]],TODAY()),""))</f>
        <v>361</v>
      </c>
      <c r="AO67" s="80">
        <v>46367</v>
      </c>
      <c r="AP67" s="52">
        <f>Table2[[#This Row],[تاريخ انتهاء رخصة السير هجري]]</f>
        <v>46367</v>
      </c>
      <c r="AQ67" s="53">
        <f ca="1">IF(Table2[[#This Row],[تاريخ انتهاء رخصة السير ميلادي]]="","",IFERROR(_xlfn.DAYS(Table2[[#This Row],[تاريخ انتهاء رخصة السير ميلادي]],TODAY()),""))</f>
        <v>107</v>
      </c>
      <c r="AR67" s="55">
        <v>46394</v>
      </c>
      <c r="AS67" s="56">
        <f>Table2[[#This Row],[تاريخ انتهاء الفحص هجري]]</f>
        <v>46394</v>
      </c>
      <c r="AT67" s="106">
        <f ca="1">IF(Table2[[#This Row],[تاريخ انتهاء الفحص ميلادي]]="","",IFERROR(_xlfn.DAYS(Table2[[#This Row],[تاريخ انتهاء الفحص ميلادي]],TODAY()),""))</f>
        <v>134</v>
      </c>
      <c r="AU67" s="54"/>
      <c r="AV67" s="1"/>
      <c r="BE67" s="3"/>
      <c r="BH67" s="1"/>
    </row>
    <row r="68" spans="1:60" x14ac:dyDescent="0.3">
      <c r="A68" s="39" t="s">
        <v>19</v>
      </c>
      <c r="B68" s="39" t="s">
        <v>1193</v>
      </c>
      <c r="C68" s="39" t="s">
        <v>1193</v>
      </c>
      <c r="D68" s="39" t="s">
        <v>17</v>
      </c>
      <c r="E68" s="39" t="s">
        <v>819</v>
      </c>
      <c r="F68" s="40">
        <v>7025667531</v>
      </c>
      <c r="G68" s="41" t="s">
        <v>160</v>
      </c>
      <c r="H68" s="39" t="s">
        <v>161</v>
      </c>
      <c r="I68" s="58">
        <v>83384020</v>
      </c>
      <c r="J68" s="39" t="s">
        <v>20</v>
      </c>
      <c r="K68" s="39" t="s">
        <v>67</v>
      </c>
      <c r="L68" s="39" t="s">
        <v>22</v>
      </c>
      <c r="M68" s="39">
        <v>2024</v>
      </c>
      <c r="N68" s="39" t="s">
        <v>64</v>
      </c>
      <c r="O68" s="39" t="s">
        <v>1137</v>
      </c>
      <c r="P68" s="39" t="s">
        <v>1137</v>
      </c>
      <c r="Q68" s="39" t="s">
        <v>1137</v>
      </c>
      <c r="R68" s="124" t="s">
        <v>1137</v>
      </c>
      <c r="S68" s="124" t="s">
        <v>1137</v>
      </c>
      <c r="T68" s="124" t="s">
        <v>1137</v>
      </c>
      <c r="U68" s="42" t="s">
        <v>26</v>
      </c>
      <c r="V68" s="43">
        <v>46393</v>
      </c>
      <c r="W68" s="44">
        <f ca="1">IF(Table2[[#This Row],[تاريخ انتهاء التأمين]]="","",IFERROR(_xlfn.DAYS(Table2[[#This Row],[تاريخ انتهاء التأمين]],TODAY()),""))</f>
        <v>133</v>
      </c>
      <c r="X68" s="42" t="s">
        <v>27</v>
      </c>
      <c r="Y68" s="42" t="s">
        <v>28</v>
      </c>
      <c r="Z68" s="45">
        <v>1180</v>
      </c>
      <c r="AA68" s="46">
        <v>609247</v>
      </c>
      <c r="AB68" s="46" t="s">
        <v>1479</v>
      </c>
      <c r="AC68" s="46" t="s">
        <v>861</v>
      </c>
      <c r="AD68" s="46" t="s">
        <v>938</v>
      </c>
      <c r="AE68" s="47">
        <v>300</v>
      </c>
      <c r="AF68" s="48" t="s">
        <v>1147</v>
      </c>
      <c r="AG68" s="48" t="s">
        <v>861</v>
      </c>
      <c r="AH68" s="48" t="s">
        <v>1149</v>
      </c>
      <c r="AI68" s="90">
        <v>866344057626389</v>
      </c>
      <c r="AJ68" s="89">
        <v>46107</v>
      </c>
      <c r="AK68" s="102">
        <f ca="1">IF(Table2[[#This Row],[تاريخ انتهاء ال GPS]]="","",IFERROR(_xlfn.DAYS(Table2[[#This Row],[تاريخ انتهاء ال GPS]],TODAY()),""))</f>
        <v>-153</v>
      </c>
      <c r="AL68" s="49" t="s">
        <v>1038</v>
      </c>
      <c r="AM68" s="50">
        <v>46266</v>
      </c>
      <c r="AN68" s="51">
        <f ca="1">IF(Table2[[#This Row],[تاريخ انتهاء بطاقة التشغيل]]="","",IFERROR(_xlfn.DAYS(Table2[[#This Row],[تاريخ انتهاء بطاقة التشغيل]],TODAY()),""))</f>
        <v>6</v>
      </c>
      <c r="AO68" s="80">
        <v>46367</v>
      </c>
      <c r="AP68" s="52">
        <f>Table2[[#This Row],[تاريخ انتهاء رخصة السير هجري]]</f>
        <v>46367</v>
      </c>
      <c r="AQ68" s="53">
        <f ca="1">IF(Table2[[#This Row],[تاريخ انتهاء رخصة السير ميلادي]]="","",IFERROR(_xlfn.DAYS(Table2[[#This Row],[تاريخ انتهاء رخصة السير ميلادي]],TODAY()),""))</f>
        <v>107</v>
      </c>
      <c r="AR68" s="55">
        <v>46028</v>
      </c>
      <c r="AS68" s="56">
        <f>Table2[[#This Row],[تاريخ انتهاء الفحص هجري]]</f>
        <v>46028</v>
      </c>
      <c r="AT68" s="106">
        <f ca="1">IF(Table2[[#This Row],[تاريخ انتهاء الفحص ميلادي]]="","",IFERROR(_xlfn.DAYS(Table2[[#This Row],[تاريخ انتهاء الفحص ميلادي]],TODAY()),""))</f>
        <v>-232</v>
      </c>
      <c r="AU68" s="54"/>
      <c r="AV68" s="1"/>
      <c r="BE68" s="3"/>
      <c r="BH68" s="1"/>
    </row>
    <row r="69" spans="1:60" x14ac:dyDescent="0.3">
      <c r="A69" s="39" t="s">
        <v>19</v>
      </c>
      <c r="B69" s="39" t="s">
        <v>1193</v>
      </c>
      <c r="C69" s="39" t="s">
        <v>1193</v>
      </c>
      <c r="D69" s="39" t="s">
        <v>17</v>
      </c>
      <c r="E69" s="39" t="s">
        <v>819</v>
      </c>
      <c r="F69" s="40">
        <v>7025667531</v>
      </c>
      <c r="G69" s="41" t="s">
        <v>162</v>
      </c>
      <c r="H69" s="39" t="s">
        <v>163</v>
      </c>
      <c r="I69" s="58">
        <v>373384020</v>
      </c>
      <c r="J69" s="39" t="s">
        <v>20</v>
      </c>
      <c r="K69" s="39" t="s">
        <v>67</v>
      </c>
      <c r="L69" s="39" t="s">
        <v>22</v>
      </c>
      <c r="M69" s="39">
        <v>2024</v>
      </c>
      <c r="N69" s="39" t="s">
        <v>64</v>
      </c>
      <c r="O69" s="39" t="s">
        <v>1137</v>
      </c>
      <c r="P69" s="39" t="s">
        <v>1137</v>
      </c>
      <c r="Q69" s="39" t="s">
        <v>1137</v>
      </c>
      <c r="R69" s="124" t="s">
        <v>1137</v>
      </c>
      <c r="S69" s="124" t="s">
        <v>1137</v>
      </c>
      <c r="T69" s="124" t="s">
        <v>1137</v>
      </c>
      <c r="U69" s="42" t="s">
        <v>26</v>
      </c>
      <c r="V69" s="43">
        <v>46393</v>
      </c>
      <c r="W69" s="44">
        <f ca="1">IF(Table2[[#This Row],[تاريخ انتهاء التأمين]]="","",IFERROR(_xlfn.DAYS(Table2[[#This Row],[تاريخ انتهاء التأمين]],TODAY()),""))</f>
        <v>133</v>
      </c>
      <c r="X69" s="42" t="s">
        <v>27</v>
      </c>
      <c r="Y69" s="42" t="s">
        <v>28</v>
      </c>
      <c r="Z69" s="45">
        <v>1180</v>
      </c>
      <c r="AA69" s="46">
        <v>609245</v>
      </c>
      <c r="AB69" s="46" t="s">
        <v>1325</v>
      </c>
      <c r="AC69" s="46" t="s">
        <v>861</v>
      </c>
      <c r="AD69" s="46" t="s">
        <v>938</v>
      </c>
      <c r="AE69" s="47">
        <v>300</v>
      </c>
      <c r="AF69" s="48" t="s">
        <v>1147</v>
      </c>
      <c r="AG69" s="48" t="s">
        <v>861</v>
      </c>
      <c r="AH69" s="48" t="s">
        <v>1149</v>
      </c>
      <c r="AI69" s="90">
        <v>866069063669764</v>
      </c>
      <c r="AJ69" s="89">
        <v>46107</v>
      </c>
      <c r="AK69" s="102">
        <f ca="1">IF(Table2[[#This Row],[تاريخ انتهاء ال GPS]]="","",IFERROR(_xlfn.DAYS(Table2[[#This Row],[تاريخ انتهاء ال GPS]],TODAY()),""))</f>
        <v>-153</v>
      </c>
      <c r="AL69" s="49" t="s">
        <v>1039</v>
      </c>
      <c r="AM69" s="50">
        <v>46266</v>
      </c>
      <c r="AN69" s="51">
        <f ca="1">IF(Table2[[#This Row],[تاريخ انتهاء بطاقة التشغيل]]="","",IFERROR(_xlfn.DAYS(Table2[[#This Row],[تاريخ انتهاء بطاقة التشغيل]],TODAY()),""))</f>
        <v>6</v>
      </c>
      <c r="AO69" s="80">
        <v>46367</v>
      </c>
      <c r="AP69" s="52">
        <f>Table2[[#This Row],[تاريخ انتهاء رخصة السير هجري]]</f>
        <v>46367</v>
      </c>
      <c r="AQ69" s="53">
        <f ca="1">IF(Table2[[#This Row],[تاريخ انتهاء رخصة السير ميلادي]]="","",IFERROR(_xlfn.DAYS(Table2[[#This Row],[تاريخ انتهاء رخصة السير ميلادي]],TODAY()),""))</f>
        <v>107</v>
      </c>
      <c r="AR69" s="55">
        <v>46022</v>
      </c>
      <c r="AS69" s="56">
        <f>Table2[[#This Row],[تاريخ انتهاء الفحص هجري]]</f>
        <v>46022</v>
      </c>
      <c r="AT69" s="106">
        <f ca="1">IF(Table2[[#This Row],[تاريخ انتهاء الفحص ميلادي]]="","",IFERROR(_xlfn.DAYS(Table2[[#This Row],[تاريخ انتهاء الفحص ميلادي]],TODAY()),""))</f>
        <v>-238</v>
      </c>
      <c r="AU69" s="54"/>
      <c r="AV69" s="1"/>
      <c r="BE69" s="3"/>
      <c r="BH69" s="1"/>
    </row>
    <row r="70" spans="1:60" x14ac:dyDescent="0.3">
      <c r="A70" s="39" t="s">
        <v>19</v>
      </c>
      <c r="B70" s="39" t="s">
        <v>1183</v>
      </c>
      <c r="C70" s="39" t="s">
        <v>1187</v>
      </c>
      <c r="D70" s="39" t="s">
        <v>17</v>
      </c>
      <c r="E70" s="39" t="s">
        <v>819</v>
      </c>
      <c r="F70" s="40">
        <v>7025667531</v>
      </c>
      <c r="G70" s="41" t="s">
        <v>164</v>
      </c>
      <c r="H70" s="39" t="s">
        <v>165</v>
      </c>
      <c r="I70" s="58">
        <v>63384020</v>
      </c>
      <c r="J70" s="39" t="s">
        <v>20</v>
      </c>
      <c r="K70" s="39" t="s">
        <v>67</v>
      </c>
      <c r="L70" s="39" t="s">
        <v>22</v>
      </c>
      <c r="M70" s="39">
        <v>2024</v>
      </c>
      <c r="N70" s="39" t="s">
        <v>64</v>
      </c>
      <c r="O70" s="39" t="s">
        <v>1840</v>
      </c>
      <c r="P70" s="58">
        <v>2567991191</v>
      </c>
      <c r="Q70" s="39" t="s">
        <v>1626</v>
      </c>
      <c r="R70" s="124">
        <v>46244</v>
      </c>
      <c r="S70" s="124">
        <v>46387</v>
      </c>
      <c r="T70" s="58">
        <f ca="1">IF(Table2[[#This Row],[تاريخ نهاية التفويض]]="","",IFERROR(_xlfn.DAYS(Table2[[#This Row],[تاريخ نهاية التفويض]],TODAY()),""))</f>
        <v>127</v>
      </c>
      <c r="U70" s="42" t="s">
        <v>26</v>
      </c>
      <c r="V70" s="43">
        <v>46393</v>
      </c>
      <c r="W70" s="44">
        <f ca="1">IF(Table2[[#This Row],[تاريخ انتهاء التأمين]]="","",IFERROR(_xlfn.DAYS(Table2[[#This Row],[تاريخ انتهاء التأمين]],TODAY()),""))</f>
        <v>133</v>
      </c>
      <c r="X70" s="42" t="s">
        <v>27</v>
      </c>
      <c r="Y70" s="42" t="s">
        <v>28</v>
      </c>
      <c r="Z70" s="45">
        <v>1180</v>
      </c>
      <c r="AA70" s="46">
        <v>609251</v>
      </c>
      <c r="AB70" s="46" t="s">
        <v>1138</v>
      </c>
      <c r="AC70" s="46" t="s">
        <v>861</v>
      </c>
      <c r="AD70" s="46" t="s">
        <v>938</v>
      </c>
      <c r="AE70" s="47">
        <v>300</v>
      </c>
      <c r="AF70" s="48" t="s">
        <v>1147</v>
      </c>
      <c r="AG70" s="48" t="s">
        <v>1173</v>
      </c>
      <c r="AH70" s="48" t="s">
        <v>1149</v>
      </c>
      <c r="AI70" s="90">
        <v>864454079674358</v>
      </c>
      <c r="AJ70" s="89">
        <v>46110</v>
      </c>
      <c r="AK70" s="102">
        <f ca="1">IF(Table2[[#This Row],[تاريخ انتهاء ال GPS]]="","",IFERROR(_xlfn.DAYS(Table2[[#This Row],[تاريخ انتهاء ال GPS]],TODAY()),""))</f>
        <v>-150</v>
      </c>
      <c r="AL70" s="49" t="s">
        <v>1040</v>
      </c>
      <c r="AM70" s="50">
        <v>46266</v>
      </c>
      <c r="AN70" s="51">
        <f ca="1">IF(Table2[[#This Row],[تاريخ انتهاء بطاقة التشغيل]]="","",IFERROR(_xlfn.DAYS(Table2[[#This Row],[تاريخ انتهاء بطاقة التشغيل]],TODAY()),""))</f>
        <v>6</v>
      </c>
      <c r="AO70" s="80">
        <v>46367</v>
      </c>
      <c r="AP70" s="52">
        <f>Table2[[#This Row],[تاريخ انتهاء رخصة السير هجري]]</f>
        <v>46367</v>
      </c>
      <c r="AQ70" s="53">
        <f ca="1">IF(Table2[[#This Row],[تاريخ انتهاء رخصة السير ميلادي]]="","",IFERROR(_xlfn.DAYS(Table2[[#This Row],[تاريخ انتهاء رخصة السير ميلادي]],TODAY()),""))</f>
        <v>107</v>
      </c>
      <c r="AR70" s="55">
        <v>46582</v>
      </c>
      <c r="AS70" s="56">
        <f>Table2[[#This Row],[تاريخ انتهاء الفحص هجري]]</f>
        <v>46582</v>
      </c>
      <c r="AT70" s="106">
        <f ca="1">IF(Table2[[#This Row],[تاريخ انتهاء الفحص ميلادي]]="","",IFERROR(_xlfn.DAYS(Table2[[#This Row],[تاريخ انتهاء الفحص ميلادي]],TODAY()),""))</f>
        <v>322</v>
      </c>
      <c r="AU70" s="54"/>
      <c r="AV70" s="1"/>
      <c r="BE70" s="3"/>
      <c r="BH70" s="1"/>
    </row>
    <row r="71" spans="1:60" x14ac:dyDescent="0.3">
      <c r="A71" s="39" t="s">
        <v>19</v>
      </c>
      <c r="B71" s="39" t="s">
        <v>1183</v>
      </c>
      <c r="C71" s="39" t="s">
        <v>1187</v>
      </c>
      <c r="D71" s="39" t="s">
        <v>17</v>
      </c>
      <c r="E71" s="39" t="s">
        <v>819</v>
      </c>
      <c r="F71" s="40">
        <v>7025667531</v>
      </c>
      <c r="G71" s="41" t="s">
        <v>166</v>
      </c>
      <c r="H71" s="39" t="s">
        <v>167</v>
      </c>
      <c r="I71" s="58">
        <v>228284020</v>
      </c>
      <c r="J71" s="39" t="s">
        <v>20</v>
      </c>
      <c r="K71" s="39" t="s">
        <v>67</v>
      </c>
      <c r="L71" s="39" t="s">
        <v>22</v>
      </c>
      <c r="M71" s="39">
        <v>2024</v>
      </c>
      <c r="N71" s="39" t="s">
        <v>64</v>
      </c>
      <c r="O71" s="39" t="s">
        <v>1841</v>
      </c>
      <c r="P71" s="58">
        <v>2562666103</v>
      </c>
      <c r="Q71" s="39" t="s">
        <v>1627</v>
      </c>
      <c r="R71" s="124">
        <v>46244</v>
      </c>
      <c r="S71" s="124">
        <v>46387</v>
      </c>
      <c r="T71" s="58">
        <f ca="1">IF(Table2[[#This Row],[تاريخ نهاية التفويض]]="","",IFERROR(_xlfn.DAYS(Table2[[#This Row],[تاريخ نهاية التفويض]],TODAY()),""))</f>
        <v>127</v>
      </c>
      <c r="U71" s="42" t="s">
        <v>26</v>
      </c>
      <c r="V71" s="43">
        <v>46393</v>
      </c>
      <c r="W71" s="44">
        <f ca="1">IF(Table2[[#This Row],[تاريخ انتهاء التأمين]]="","",IFERROR(_xlfn.DAYS(Table2[[#This Row],[تاريخ انتهاء التأمين]],TODAY()),""))</f>
        <v>133</v>
      </c>
      <c r="X71" s="42" t="s">
        <v>27</v>
      </c>
      <c r="Y71" s="42" t="s">
        <v>28</v>
      </c>
      <c r="Z71" s="45">
        <v>1180</v>
      </c>
      <c r="AA71" s="46">
        <v>609249</v>
      </c>
      <c r="AB71" s="46" t="s">
        <v>1138</v>
      </c>
      <c r="AC71" s="46" t="s">
        <v>861</v>
      </c>
      <c r="AD71" s="46" t="s">
        <v>938</v>
      </c>
      <c r="AE71" s="47">
        <v>300</v>
      </c>
      <c r="AF71" s="48" t="s">
        <v>1147</v>
      </c>
      <c r="AG71" s="48" t="s">
        <v>861</v>
      </c>
      <c r="AH71" s="48" t="s">
        <v>1149</v>
      </c>
      <c r="AI71" s="90">
        <v>867747075442531</v>
      </c>
      <c r="AJ71" s="89">
        <v>46110</v>
      </c>
      <c r="AK71" s="102">
        <f ca="1">IF(Table2[[#This Row],[تاريخ انتهاء ال GPS]]="","",IFERROR(_xlfn.DAYS(Table2[[#This Row],[تاريخ انتهاء ال GPS]],TODAY()),""))</f>
        <v>-150</v>
      </c>
      <c r="AL71" s="49" t="s">
        <v>1041</v>
      </c>
      <c r="AM71" s="50">
        <v>46266</v>
      </c>
      <c r="AN71" s="51">
        <f ca="1">IF(Table2[[#This Row],[تاريخ انتهاء بطاقة التشغيل]]="","",IFERROR(_xlfn.DAYS(Table2[[#This Row],[تاريخ انتهاء بطاقة التشغيل]],TODAY()),""))</f>
        <v>6</v>
      </c>
      <c r="AO71" s="80">
        <v>46367</v>
      </c>
      <c r="AP71" s="52">
        <f>Table2[[#This Row],[تاريخ انتهاء رخصة السير هجري]]</f>
        <v>46367</v>
      </c>
      <c r="AQ71" s="53">
        <f ca="1">IF(Table2[[#This Row],[تاريخ انتهاء رخصة السير ميلادي]]="","",IFERROR(_xlfn.DAYS(Table2[[#This Row],[تاريخ انتهاء رخصة السير ميلادي]],TODAY()),""))</f>
        <v>107</v>
      </c>
      <c r="AR71" s="55">
        <v>46051</v>
      </c>
      <c r="AS71" s="56">
        <f>Table2[[#This Row],[تاريخ انتهاء الفحص هجري]]</f>
        <v>46051</v>
      </c>
      <c r="AT71" s="106">
        <f ca="1">IF(Table2[[#This Row],[تاريخ انتهاء الفحص ميلادي]]="","",IFERROR(_xlfn.DAYS(Table2[[#This Row],[تاريخ انتهاء الفحص ميلادي]],TODAY()),""))</f>
        <v>-209</v>
      </c>
      <c r="AU71" s="54"/>
      <c r="AV71" s="1"/>
      <c r="BE71" s="3"/>
      <c r="BH71" s="1"/>
    </row>
    <row r="72" spans="1:60" x14ac:dyDescent="0.3">
      <c r="A72" s="39" t="s">
        <v>19</v>
      </c>
      <c r="B72" s="39" t="s">
        <v>1183</v>
      </c>
      <c r="C72" s="39" t="s">
        <v>2004</v>
      </c>
      <c r="D72" s="39" t="s">
        <v>17</v>
      </c>
      <c r="E72" s="39" t="s">
        <v>819</v>
      </c>
      <c r="F72" s="40">
        <v>7025667531</v>
      </c>
      <c r="G72" s="41" t="s">
        <v>168</v>
      </c>
      <c r="H72" s="39" t="s">
        <v>169</v>
      </c>
      <c r="I72" s="58">
        <v>818284020</v>
      </c>
      <c r="J72" s="39" t="s">
        <v>20</v>
      </c>
      <c r="K72" s="39" t="s">
        <v>67</v>
      </c>
      <c r="L72" s="39" t="s">
        <v>22</v>
      </c>
      <c r="M72" s="39">
        <v>2024</v>
      </c>
      <c r="N72" s="39" t="s">
        <v>64</v>
      </c>
      <c r="O72" s="39" t="s">
        <v>1842</v>
      </c>
      <c r="P72" s="58">
        <v>2567989856</v>
      </c>
      <c r="Q72" s="39" t="s">
        <v>1628</v>
      </c>
      <c r="R72" s="124">
        <v>46092</v>
      </c>
      <c r="S72" s="124">
        <v>46387</v>
      </c>
      <c r="T72" s="58">
        <f ca="1">IF(Table2[[#This Row],[تاريخ نهاية التفويض]]="","",IFERROR(_xlfn.DAYS(Table2[[#This Row],[تاريخ نهاية التفويض]],TODAY()),""))</f>
        <v>127</v>
      </c>
      <c r="U72" s="42" t="s">
        <v>26</v>
      </c>
      <c r="V72" s="43">
        <v>46393</v>
      </c>
      <c r="W72" s="44">
        <f ca="1">IF(Table2[[#This Row],[تاريخ انتهاء التأمين]]="","",IFERROR(_xlfn.DAYS(Table2[[#This Row],[تاريخ انتهاء التأمين]],TODAY()),""))</f>
        <v>133</v>
      </c>
      <c r="X72" s="42" t="s">
        <v>27</v>
      </c>
      <c r="Y72" s="42" t="s">
        <v>28</v>
      </c>
      <c r="Z72" s="45">
        <v>1180</v>
      </c>
      <c r="AA72" s="46">
        <v>609258</v>
      </c>
      <c r="AB72" s="46" t="s">
        <v>1326</v>
      </c>
      <c r="AC72" s="46" t="s">
        <v>861</v>
      </c>
      <c r="AD72" s="46" t="s">
        <v>938</v>
      </c>
      <c r="AE72" s="47">
        <v>300</v>
      </c>
      <c r="AF72" s="48" t="s">
        <v>1147</v>
      </c>
      <c r="AG72" s="48" t="s">
        <v>861</v>
      </c>
      <c r="AH72" s="48" t="s">
        <v>1149</v>
      </c>
      <c r="AI72" s="90">
        <v>866344053837394</v>
      </c>
      <c r="AJ72" s="89">
        <v>46107</v>
      </c>
      <c r="AK72" s="102">
        <f ca="1">IF(Table2[[#This Row],[تاريخ انتهاء ال GPS]]="","",IFERROR(_xlfn.DAYS(Table2[[#This Row],[تاريخ انتهاء ال GPS]],TODAY()),""))</f>
        <v>-153</v>
      </c>
      <c r="AL72" s="49" t="s">
        <v>1556</v>
      </c>
      <c r="AM72" s="50">
        <v>46621</v>
      </c>
      <c r="AN72" s="51">
        <f ca="1">IF(Table2[[#This Row],[تاريخ انتهاء بطاقة التشغيل]]="","",IFERROR(_xlfn.DAYS(Table2[[#This Row],[تاريخ انتهاء بطاقة التشغيل]],TODAY()),""))</f>
        <v>361</v>
      </c>
      <c r="AO72" s="80">
        <v>46367</v>
      </c>
      <c r="AP72" s="52">
        <f>Table2[[#This Row],[تاريخ انتهاء رخصة السير هجري]]</f>
        <v>46367</v>
      </c>
      <c r="AQ72" s="53">
        <f ca="1">IF(Table2[[#This Row],[تاريخ انتهاء رخصة السير ميلادي]]="","",IFERROR(_xlfn.DAYS(Table2[[#This Row],[تاريخ انتهاء رخصة السير ميلادي]],TODAY()),""))</f>
        <v>107</v>
      </c>
      <c r="AR72" s="55">
        <v>46398</v>
      </c>
      <c r="AS72" s="56">
        <f>Table2[[#This Row],[تاريخ انتهاء الفحص هجري]]</f>
        <v>46398</v>
      </c>
      <c r="AT72" s="106">
        <f ca="1">IF(Table2[[#This Row],[تاريخ انتهاء الفحص ميلادي]]="","",IFERROR(_xlfn.DAYS(Table2[[#This Row],[تاريخ انتهاء الفحص ميلادي]],TODAY()),""))</f>
        <v>138</v>
      </c>
      <c r="AU72" s="54"/>
      <c r="AV72" s="1"/>
      <c r="BE72" s="3"/>
      <c r="BH72" s="1"/>
    </row>
    <row r="73" spans="1:60" x14ac:dyDescent="0.3">
      <c r="A73" s="39" t="s">
        <v>19</v>
      </c>
      <c r="B73" s="39" t="s">
        <v>1193</v>
      </c>
      <c r="C73" s="39" t="s">
        <v>1193</v>
      </c>
      <c r="D73" s="39" t="s">
        <v>17</v>
      </c>
      <c r="E73" s="39" t="s">
        <v>819</v>
      </c>
      <c r="F73" s="40">
        <v>7025667531</v>
      </c>
      <c r="G73" s="41" t="s">
        <v>170</v>
      </c>
      <c r="H73" s="39" t="s">
        <v>171</v>
      </c>
      <c r="I73" s="58">
        <v>557284020</v>
      </c>
      <c r="J73" s="39" t="s">
        <v>20</v>
      </c>
      <c r="K73" s="39" t="s">
        <v>67</v>
      </c>
      <c r="L73" s="39" t="s">
        <v>22</v>
      </c>
      <c r="M73" s="39">
        <v>2024</v>
      </c>
      <c r="N73" s="39" t="s">
        <v>64</v>
      </c>
      <c r="O73" s="39" t="s">
        <v>1137</v>
      </c>
      <c r="P73" s="39" t="s">
        <v>1137</v>
      </c>
      <c r="Q73" s="39" t="s">
        <v>1137</v>
      </c>
      <c r="R73" s="124" t="s">
        <v>1137</v>
      </c>
      <c r="S73" s="124" t="s">
        <v>1137</v>
      </c>
      <c r="T73" s="124" t="s">
        <v>1137</v>
      </c>
      <c r="U73" s="42" t="s">
        <v>26</v>
      </c>
      <c r="V73" s="43">
        <v>46393</v>
      </c>
      <c r="W73" s="44">
        <f ca="1">IF(Table2[[#This Row],[تاريخ انتهاء التأمين]]="","",IFERROR(_xlfn.DAYS(Table2[[#This Row],[تاريخ انتهاء التأمين]],TODAY()),""))</f>
        <v>133</v>
      </c>
      <c r="X73" s="42" t="s">
        <v>27</v>
      </c>
      <c r="Y73" s="42" t="s">
        <v>28</v>
      </c>
      <c r="Z73" s="45">
        <v>1180</v>
      </c>
      <c r="AA73" s="46">
        <v>609257</v>
      </c>
      <c r="AB73" s="46" t="s">
        <v>1327</v>
      </c>
      <c r="AC73" s="46" t="s">
        <v>861</v>
      </c>
      <c r="AD73" s="46" t="s">
        <v>938</v>
      </c>
      <c r="AE73" s="47">
        <v>300</v>
      </c>
      <c r="AF73" s="48" t="s">
        <v>1147</v>
      </c>
      <c r="AG73" s="48" t="s">
        <v>861</v>
      </c>
      <c r="AH73" s="48" t="s">
        <v>1149</v>
      </c>
      <c r="AI73" s="90">
        <v>867747071418998</v>
      </c>
      <c r="AJ73" s="89">
        <v>46109</v>
      </c>
      <c r="AK73" s="102">
        <f ca="1">IF(Table2[[#This Row],[تاريخ انتهاء ال GPS]]="","",IFERROR(_xlfn.DAYS(Table2[[#This Row],[تاريخ انتهاء ال GPS]],TODAY()),""))</f>
        <v>-151</v>
      </c>
      <c r="AL73" s="49" t="s">
        <v>1042</v>
      </c>
      <c r="AM73" s="50">
        <v>46266</v>
      </c>
      <c r="AN73" s="51">
        <f ca="1">IF(Table2[[#This Row],[تاريخ انتهاء بطاقة التشغيل]]="","",IFERROR(_xlfn.DAYS(Table2[[#This Row],[تاريخ انتهاء بطاقة التشغيل]],TODAY()),""))</f>
        <v>6</v>
      </c>
      <c r="AO73" s="80">
        <v>46367</v>
      </c>
      <c r="AP73" s="52">
        <f>Table2[[#This Row],[تاريخ انتهاء رخصة السير هجري]]</f>
        <v>46367</v>
      </c>
      <c r="AQ73" s="53">
        <f ca="1">IF(Table2[[#This Row],[تاريخ انتهاء رخصة السير ميلادي]]="","",IFERROR(_xlfn.DAYS(Table2[[#This Row],[تاريخ انتهاء رخصة السير ميلادي]],TODAY()),""))</f>
        <v>107</v>
      </c>
      <c r="AR73" s="55">
        <v>46021</v>
      </c>
      <c r="AS73" s="56">
        <f>Table2[[#This Row],[تاريخ انتهاء الفحص هجري]]</f>
        <v>46021</v>
      </c>
      <c r="AT73" s="106">
        <f ca="1">IF(Table2[[#This Row],[تاريخ انتهاء الفحص ميلادي]]="","",IFERROR(_xlfn.DAYS(Table2[[#This Row],[تاريخ انتهاء الفحص ميلادي]],TODAY()),""))</f>
        <v>-239</v>
      </c>
      <c r="AU73" s="54"/>
      <c r="AV73" s="1"/>
      <c r="BE73" s="3"/>
      <c r="BH73" s="1"/>
    </row>
    <row r="74" spans="1:60" x14ac:dyDescent="0.3">
      <c r="A74" s="39" t="s">
        <v>19</v>
      </c>
      <c r="B74" s="39" t="s">
        <v>1183</v>
      </c>
      <c r="C74" s="39" t="s">
        <v>2004</v>
      </c>
      <c r="D74" s="39" t="s">
        <v>17</v>
      </c>
      <c r="E74" s="39" t="s">
        <v>819</v>
      </c>
      <c r="F74" s="40">
        <v>7025667531</v>
      </c>
      <c r="G74" s="41" t="s">
        <v>172</v>
      </c>
      <c r="H74" s="39" t="s">
        <v>173</v>
      </c>
      <c r="I74" s="58">
        <v>837284020</v>
      </c>
      <c r="J74" s="39" t="s">
        <v>20</v>
      </c>
      <c r="K74" s="39" t="s">
        <v>67</v>
      </c>
      <c r="L74" s="39" t="s">
        <v>22</v>
      </c>
      <c r="M74" s="39">
        <v>2024</v>
      </c>
      <c r="N74" s="39" t="s">
        <v>64</v>
      </c>
      <c r="O74" s="39" t="s">
        <v>1843</v>
      </c>
      <c r="P74" s="58">
        <v>2564374961</v>
      </c>
      <c r="Q74" s="39" t="s">
        <v>1629</v>
      </c>
      <c r="R74" s="124">
        <v>46187</v>
      </c>
      <c r="S74" s="124">
        <v>46387</v>
      </c>
      <c r="T74" s="58">
        <f ca="1">IF(Table2[[#This Row],[تاريخ نهاية التفويض]]="","",IFERROR(_xlfn.DAYS(Table2[[#This Row],[تاريخ نهاية التفويض]],TODAY()),""))</f>
        <v>127</v>
      </c>
      <c r="U74" s="42" t="s">
        <v>26</v>
      </c>
      <c r="V74" s="43">
        <v>46393</v>
      </c>
      <c r="W74" s="44">
        <f ca="1">IF(Table2[[#This Row],[تاريخ انتهاء التأمين]]="","",IFERROR(_xlfn.DAYS(Table2[[#This Row],[تاريخ انتهاء التأمين]],TODAY()),""))</f>
        <v>133</v>
      </c>
      <c r="X74" s="42" t="s">
        <v>27</v>
      </c>
      <c r="Y74" s="42" t="s">
        <v>28</v>
      </c>
      <c r="Z74" s="45">
        <v>1180</v>
      </c>
      <c r="AA74" s="46">
        <v>609256</v>
      </c>
      <c r="AB74" s="46" t="s">
        <v>1328</v>
      </c>
      <c r="AC74" s="46" t="s">
        <v>861</v>
      </c>
      <c r="AD74" s="46" t="s">
        <v>938</v>
      </c>
      <c r="AE74" s="47">
        <v>300</v>
      </c>
      <c r="AF74" s="48" t="s">
        <v>1147</v>
      </c>
      <c r="AG74" s="48" t="s">
        <v>1173</v>
      </c>
      <c r="AH74" s="48" t="s">
        <v>1149</v>
      </c>
      <c r="AI74" s="90">
        <v>866069064179375</v>
      </c>
      <c r="AJ74" s="89">
        <v>46127</v>
      </c>
      <c r="AK74" s="102">
        <f ca="1">IF(Table2[[#This Row],[تاريخ انتهاء ال GPS]]="","",IFERROR(_xlfn.DAYS(Table2[[#This Row],[تاريخ انتهاء ال GPS]],TODAY()),""))</f>
        <v>-133</v>
      </c>
      <c r="AL74" s="49" t="s">
        <v>1043</v>
      </c>
      <c r="AM74" s="50">
        <v>46266</v>
      </c>
      <c r="AN74" s="51">
        <f ca="1">IF(Table2[[#This Row],[تاريخ انتهاء بطاقة التشغيل]]="","",IFERROR(_xlfn.DAYS(Table2[[#This Row],[تاريخ انتهاء بطاقة التشغيل]],TODAY()),""))</f>
        <v>6</v>
      </c>
      <c r="AO74" s="80">
        <v>46367</v>
      </c>
      <c r="AP74" s="52">
        <f>Table2[[#This Row],[تاريخ انتهاء رخصة السير هجري]]</f>
        <v>46367</v>
      </c>
      <c r="AQ74" s="53">
        <f ca="1">IF(Table2[[#This Row],[تاريخ انتهاء رخصة السير ميلادي]]="","",IFERROR(_xlfn.DAYS(Table2[[#This Row],[تاريخ انتهاء رخصة السير ميلادي]],TODAY()),""))</f>
        <v>107</v>
      </c>
      <c r="AR74" s="55">
        <v>46394</v>
      </c>
      <c r="AS74" s="56">
        <f>Table2[[#This Row],[تاريخ انتهاء الفحص هجري]]</f>
        <v>46394</v>
      </c>
      <c r="AT74" s="106">
        <f ca="1">IF(Table2[[#This Row],[تاريخ انتهاء الفحص ميلادي]]="","",IFERROR(_xlfn.DAYS(Table2[[#This Row],[تاريخ انتهاء الفحص ميلادي]],TODAY()),""))</f>
        <v>134</v>
      </c>
      <c r="AU74" s="54"/>
      <c r="AV74" s="1"/>
      <c r="BE74" s="3"/>
      <c r="BH74" s="1"/>
    </row>
    <row r="75" spans="1:60" x14ac:dyDescent="0.3">
      <c r="A75" s="39" t="s">
        <v>19</v>
      </c>
      <c r="B75" s="39" t="s">
        <v>2003</v>
      </c>
      <c r="C75" s="39" t="s">
        <v>2004</v>
      </c>
      <c r="D75" s="39" t="s">
        <v>17</v>
      </c>
      <c r="E75" s="39" t="s">
        <v>819</v>
      </c>
      <c r="F75" s="40">
        <v>7025667531</v>
      </c>
      <c r="G75" s="41" t="s">
        <v>174</v>
      </c>
      <c r="H75" s="39" t="s">
        <v>175</v>
      </c>
      <c r="I75" s="58">
        <v>100964020</v>
      </c>
      <c r="J75" s="39" t="s">
        <v>20</v>
      </c>
      <c r="K75" s="39" t="s">
        <v>67</v>
      </c>
      <c r="L75" s="39" t="s">
        <v>22</v>
      </c>
      <c r="M75" s="39">
        <v>2024</v>
      </c>
      <c r="N75" s="39" t="s">
        <v>64</v>
      </c>
      <c r="O75" s="39" t="s">
        <v>1844</v>
      </c>
      <c r="P75" s="58">
        <v>2548468749</v>
      </c>
      <c r="Q75" s="39" t="s">
        <v>1630</v>
      </c>
      <c r="R75" s="124">
        <v>46217</v>
      </c>
      <c r="S75" s="124">
        <v>46387</v>
      </c>
      <c r="T75" s="58">
        <f ca="1">IF(Table2[[#This Row],[تاريخ نهاية التفويض]]="","",IFERROR(_xlfn.DAYS(Table2[[#This Row],[تاريخ نهاية التفويض]],TODAY()),""))</f>
        <v>127</v>
      </c>
      <c r="U75" s="42" t="s">
        <v>26</v>
      </c>
      <c r="V75" s="43">
        <v>46393</v>
      </c>
      <c r="W75" s="44">
        <f ca="1">IF(Table2[[#This Row],[تاريخ انتهاء التأمين]]="","",IFERROR(_xlfn.DAYS(Table2[[#This Row],[تاريخ انتهاء التأمين]],TODAY()),""))</f>
        <v>133</v>
      </c>
      <c r="X75" s="42" t="s">
        <v>27</v>
      </c>
      <c r="Y75" s="42" t="s">
        <v>28</v>
      </c>
      <c r="Z75" s="45">
        <v>1180</v>
      </c>
      <c r="AA75" s="46">
        <v>609232</v>
      </c>
      <c r="AB75" s="46" t="s">
        <v>1329</v>
      </c>
      <c r="AC75" s="46" t="s">
        <v>861</v>
      </c>
      <c r="AD75" s="46" t="s">
        <v>938</v>
      </c>
      <c r="AE75" s="47">
        <v>300</v>
      </c>
      <c r="AF75" s="48" t="s">
        <v>1147</v>
      </c>
      <c r="AG75" s="48" t="s">
        <v>861</v>
      </c>
      <c r="AH75" s="48" t="s">
        <v>1149</v>
      </c>
      <c r="AI75" s="90">
        <v>867747075436988</v>
      </c>
      <c r="AJ75" s="89">
        <v>46109</v>
      </c>
      <c r="AK75" s="102">
        <f ca="1">IF(Table2[[#This Row],[تاريخ انتهاء ال GPS]]="","",IFERROR(_xlfn.DAYS(Table2[[#This Row],[تاريخ انتهاء ال GPS]],TODAY()),""))</f>
        <v>-151</v>
      </c>
      <c r="AL75" s="49" t="s">
        <v>1557</v>
      </c>
      <c r="AM75" s="50">
        <v>46621</v>
      </c>
      <c r="AN75" s="51">
        <f ca="1">IF(Table2[[#This Row],[تاريخ انتهاء بطاقة التشغيل]]="","",IFERROR(_xlfn.DAYS(Table2[[#This Row],[تاريخ انتهاء بطاقة التشغيل]],TODAY()),""))</f>
        <v>361</v>
      </c>
      <c r="AO75" s="80">
        <v>46362</v>
      </c>
      <c r="AP75" s="52">
        <f>Table2[[#This Row],[تاريخ انتهاء رخصة السير هجري]]</f>
        <v>46362</v>
      </c>
      <c r="AQ75" s="53">
        <f ca="1">IF(Table2[[#This Row],[تاريخ انتهاء رخصة السير ميلادي]]="","",IFERROR(_xlfn.DAYS(Table2[[#This Row],[تاريخ انتهاء رخصة السير ميلادي]],TODAY()),""))</f>
        <v>102</v>
      </c>
      <c r="AR75" s="55">
        <v>46397</v>
      </c>
      <c r="AS75" s="56">
        <f>Table2[[#This Row],[تاريخ انتهاء الفحص هجري]]</f>
        <v>46397</v>
      </c>
      <c r="AT75" s="106">
        <f ca="1">IF(Table2[[#This Row],[تاريخ انتهاء الفحص ميلادي]]="","",IFERROR(_xlfn.DAYS(Table2[[#This Row],[تاريخ انتهاء الفحص ميلادي]],TODAY()),""))</f>
        <v>137</v>
      </c>
      <c r="AU75" s="54"/>
      <c r="AV75" s="1"/>
      <c r="BE75" s="3"/>
      <c r="BH75" s="1"/>
    </row>
    <row r="76" spans="1:60" x14ac:dyDescent="0.3">
      <c r="A76" s="39" t="s">
        <v>19</v>
      </c>
      <c r="B76" s="39" t="s">
        <v>1183</v>
      </c>
      <c r="C76" s="39" t="s">
        <v>2004</v>
      </c>
      <c r="D76" s="39" t="s">
        <v>17</v>
      </c>
      <c r="E76" s="39" t="s">
        <v>819</v>
      </c>
      <c r="F76" s="40">
        <v>7025667531</v>
      </c>
      <c r="G76" s="41" t="s">
        <v>176</v>
      </c>
      <c r="H76" s="39" t="s">
        <v>177</v>
      </c>
      <c r="I76" s="58">
        <v>801764020</v>
      </c>
      <c r="J76" s="39" t="s">
        <v>20</v>
      </c>
      <c r="K76" s="39" t="s">
        <v>67</v>
      </c>
      <c r="L76" s="39" t="s">
        <v>22</v>
      </c>
      <c r="M76" s="39">
        <v>2024</v>
      </c>
      <c r="N76" s="39" t="s">
        <v>64</v>
      </c>
      <c r="O76" s="39" t="s">
        <v>1845</v>
      </c>
      <c r="P76" s="58">
        <v>2553949062</v>
      </c>
      <c r="Q76" s="39" t="s">
        <v>1631</v>
      </c>
      <c r="R76" s="124">
        <v>45993</v>
      </c>
      <c r="S76" s="124">
        <v>46327</v>
      </c>
      <c r="T76" s="58">
        <f ca="1">IF(Table2[[#This Row],[تاريخ نهاية التفويض]]="","",IFERROR(_xlfn.DAYS(Table2[[#This Row],[تاريخ نهاية التفويض]],TODAY()),""))</f>
        <v>67</v>
      </c>
      <c r="U76" s="42" t="s">
        <v>26</v>
      </c>
      <c r="V76" s="43">
        <v>46393</v>
      </c>
      <c r="W76" s="44">
        <f ca="1">IF(Table2[[#This Row],[تاريخ انتهاء التأمين]]="","",IFERROR(_xlfn.DAYS(Table2[[#This Row],[تاريخ انتهاء التأمين]],TODAY()),""))</f>
        <v>133</v>
      </c>
      <c r="X76" s="42" t="s">
        <v>27</v>
      </c>
      <c r="Y76" s="42" t="s">
        <v>28</v>
      </c>
      <c r="Z76" s="45">
        <v>1180</v>
      </c>
      <c r="AA76" s="46">
        <v>609231</v>
      </c>
      <c r="AB76" s="46" t="s">
        <v>1330</v>
      </c>
      <c r="AC76" s="46" t="s">
        <v>861</v>
      </c>
      <c r="AD76" s="46" t="s">
        <v>938</v>
      </c>
      <c r="AE76" s="47">
        <v>300</v>
      </c>
      <c r="AF76" s="48" t="s">
        <v>1147</v>
      </c>
      <c r="AG76" s="48" t="s">
        <v>861</v>
      </c>
      <c r="AH76" s="48" t="s">
        <v>1149</v>
      </c>
      <c r="AI76" s="90">
        <v>864454078052937</v>
      </c>
      <c r="AJ76" s="89">
        <v>46110</v>
      </c>
      <c r="AK76" s="102">
        <f ca="1">IF(Table2[[#This Row],[تاريخ انتهاء ال GPS]]="","",IFERROR(_xlfn.DAYS(Table2[[#This Row],[تاريخ انتهاء ال GPS]],TODAY()),""))</f>
        <v>-150</v>
      </c>
      <c r="AL76" s="49" t="s">
        <v>1558</v>
      </c>
      <c r="AM76" s="50">
        <v>46621</v>
      </c>
      <c r="AN76" s="51">
        <f ca="1">IF(Table2[[#This Row],[تاريخ انتهاء بطاقة التشغيل]]="","",IFERROR(_xlfn.DAYS(Table2[[#This Row],[تاريخ انتهاء بطاقة التشغيل]],TODAY()),""))</f>
        <v>361</v>
      </c>
      <c r="AO76" s="80">
        <v>46361</v>
      </c>
      <c r="AP76" s="52">
        <f>Table2[[#This Row],[تاريخ انتهاء رخصة السير هجري]]</f>
        <v>46361</v>
      </c>
      <c r="AQ76" s="53">
        <f ca="1">IF(Table2[[#This Row],[تاريخ انتهاء رخصة السير ميلادي]]="","",IFERROR(_xlfn.DAYS(Table2[[#This Row],[تاريخ انتهاء رخصة السير ميلادي]],TODAY()),""))</f>
        <v>101</v>
      </c>
      <c r="AR76" s="55">
        <v>46394</v>
      </c>
      <c r="AS76" s="56">
        <f>Table2[[#This Row],[تاريخ انتهاء الفحص هجري]]</f>
        <v>46394</v>
      </c>
      <c r="AT76" s="106">
        <f ca="1">IF(Table2[[#This Row],[تاريخ انتهاء الفحص ميلادي]]="","",IFERROR(_xlfn.DAYS(Table2[[#This Row],[تاريخ انتهاء الفحص ميلادي]],TODAY()),""))</f>
        <v>134</v>
      </c>
      <c r="AU76" s="54"/>
      <c r="AV76" s="1"/>
      <c r="BE76" s="3"/>
      <c r="BH76" s="1"/>
    </row>
    <row r="77" spans="1:60" x14ac:dyDescent="0.3">
      <c r="A77" s="39" t="s">
        <v>19</v>
      </c>
      <c r="B77" s="39" t="s">
        <v>1193</v>
      </c>
      <c r="C77" s="39" t="s">
        <v>1193</v>
      </c>
      <c r="D77" s="39" t="s">
        <v>17</v>
      </c>
      <c r="E77" s="39" t="s">
        <v>819</v>
      </c>
      <c r="F77" s="40">
        <v>7025667531</v>
      </c>
      <c r="G77" s="41" t="s">
        <v>178</v>
      </c>
      <c r="H77" s="39" t="s">
        <v>179</v>
      </c>
      <c r="I77" s="58">
        <v>301764020</v>
      </c>
      <c r="J77" s="39" t="s">
        <v>20</v>
      </c>
      <c r="K77" s="39" t="s">
        <v>67</v>
      </c>
      <c r="L77" s="39" t="s">
        <v>22</v>
      </c>
      <c r="M77" s="39">
        <v>2024</v>
      </c>
      <c r="N77" s="39" t="s">
        <v>64</v>
      </c>
      <c r="O77" s="39" t="s">
        <v>1137</v>
      </c>
      <c r="P77" s="39" t="s">
        <v>1137</v>
      </c>
      <c r="Q77" s="39" t="s">
        <v>1137</v>
      </c>
      <c r="R77" s="124" t="s">
        <v>1137</v>
      </c>
      <c r="S77" s="124" t="s">
        <v>1137</v>
      </c>
      <c r="T77" s="124" t="s">
        <v>1137</v>
      </c>
      <c r="U77" s="42" t="s">
        <v>26</v>
      </c>
      <c r="V77" s="43">
        <v>46393</v>
      </c>
      <c r="W77" s="44">
        <f ca="1">IF(Table2[[#This Row],[تاريخ انتهاء التأمين]]="","",IFERROR(_xlfn.DAYS(Table2[[#This Row],[تاريخ انتهاء التأمين]],TODAY()),""))</f>
        <v>133</v>
      </c>
      <c r="X77" s="42" t="s">
        <v>27</v>
      </c>
      <c r="Y77" s="42" t="s">
        <v>28</v>
      </c>
      <c r="Z77" s="45">
        <v>1180</v>
      </c>
      <c r="AA77" s="46">
        <v>609213</v>
      </c>
      <c r="AB77" s="46" t="s">
        <v>1331</v>
      </c>
      <c r="AC77" s="46" t="s">
        <v>861</v>
      </c>
      <c r="AD77" s="46" t="s">
        <v>938</v>
      </c>
      <c r="AE77" s="47">
        <v>300</v>
      </c>
      <c r="AF77" s="48" t="s">
        <v>1147</v>
      </c>
      <c r="AG77" s="48" t="s">
        <v>861</v>
      </c>
      <c r="AH77" s="48" t="s">
        <v>1149</v>
      </c>
      <c r="AI77" s="90">
        <v>867747077357976</v>
      </c>
      <c r="AJ77" s="89">
        <v>46125</v>
      </c>
      <c r="AK77" s="102">
        <f ca="1">IF(Table2[[#This Row],[تاريخ انتهاء ال GPS]]="","",IFERROR(_xlfn.DAYS(Table2[[#This Row],[تاريخ انتهاء ال GPS]],TODAY()),""))</f>
        <v>-135</v>
      </c>
      <c r="AL77" s="49" t="s">
        <v>1044</v>
      </c>
      <c r="AM77" s="50">
        <v>46266</v>
      </c>
      <c r="AN77" s="51">
        <f ca="1">IF(Table2[[#This Row],[تاريخ انتهاء بطاقة التشغيل]]="","",IFERROR(_xlfn.DAYS(Table2[[#This Row],[تاريخ انتهاء بطاقة التشغيل]],TODAY()),""))</f>
        <v>6</v>
      </c>
      <c r="AO77" s="80">
        <v>46361</v>
      </c>
      <c r="AP77" s="52">
        <f>Table2[[#This Row],[تاريخ انتهاء رخصة السير هجري]]</f>
        <v>46361</v>
      </c>
      <c r="AQ77" s="53">
        <f ca="1">IF(Table2[[#This Row],[تاريخ انتهاء رخصة السير ميلادي]]="","",IFERROR(_xlfn.DAYS(Table2[[#This Row],[تاريخ انتهاء رخصة السير ميلادي]],TODAY()),""))</f>
        <v>101</v>
      </c>
      <c r="AR77" s="55">
        <v>46418</v>
      </c>
      <c r="AS77" s="56">
        <f>Table2[[#This Row],[تاريخ انتهاء الفحص هجري]]</f>
        <v>46418</v>
      </c>
      <c r="AT77" s="106">
        <f ca="1">IF(Table2[[#This Row],[تاريخ انتهاء الفحص ميلادي]]="","",IFERROR(_xlfn.DAYS(Table2[[#This Row],[تاريخ انتهاء الفحص ميلادي]],TODAY()),""))</f>
        <v>158</v>
      </c>
      <c r="AU77" s="54"/>
      <c r="AV77" s="1"/>
      <c r="BE77" s="3"/>
      <c r="BH77" s="1"/>
    </row>
    <row r="78" spans="1:60" x14ac:dyDescent="0.3">
      <c r="A78" s="39" t="s">
        <v>19</v>
      </c>
      <c r="B78" s="39" t="s">
        <v>1183</v>
      </c>
      <c r="C78" s="39" t="s">
        <v>2004</v>
      </c>
      <c r="D78" s="39" t="s">
        <v>17</v>
      </c>
      <c r="E78" s="39" t="s">
        <v>819</v>
      </c>
      <c r="F78" s="40">
        <v>7025667531</v>
      </c>
      <c r="G78" s="41" t="s">
        <v>180</v>
      </c>
      <c r="H78" s="39" t="s">
        <v>181</v>
      </c>
      <c r="I78" s="58">
        <v>790764020</v>
      </c>
      <c r="J78" s="39" t="s">
        <v>20</v>
      </c>
      <c r="K78" s="39" t="s">
        <v>67</v>
      </c>
      <c r="L78" s="39" t="s">
        <v>22</v>
      </c>
      <c r="M78" s="39">
        <v>2024</v>
      </c>
      <c r="N78" s="39" t="s">
        <v>64</v>
      </c>
      <c r="O78" s="39" t="s">
        <v>1846</v>
      </c>
      <c r="P78" s="58">
        <v>2562201877</v>
      </c>
      <c r="Q78" s="39" t="s">
        <v>1632</v>
      </c>
      <c r="R78" s="124">
        <v>46046</v>
      </c>
      <c r="S78" s="124">
        <v>46387</v>
      </c>
      <c r="T78" s="58">
        <f ca="1">IF(Table2[[#This Row],[تاريخ نهاية التفويض]]="","",IFERROR(_xlfn.DAYS(Table2[[#This Row],[تاريخ نهاية التفويض]],TODAY()),""))</f>
        <v>127</v>
      </c>
      <c r="U78" s="42" t="s">
        <v>26</v>
      </c>
      <c r="V78" s="43">
        <v>46393</v>
      </c>
      <c r="W78" s="44">
        <f ca="1">IF(Table2[[#This Row],[تاريخ انتهاء التأمين]]="","",IFERROR(_xlfn.DAYS(Table2[[#This Row],[تاريخ انتهاء التأمين]],TODAY()),""))</f>
        <v>133</v>
      </c>
      <c r="X78" s="42" t="s">
        <v>27</v>
      </c>
      <c r="Y78" s="42" t="s">
        <v>28</v>
      </c>
      <c r="Z78" s="45">
        <v>1180</v>
      </c>
      <c r="AA78" s="46">
        <v>609224</v>
      </c>
      <c r="AB78" s="46" t="s">
        <v>1332</v>
      </c>
      <c r="AC78" s="46" t="s">
        <v>861</v>
      </c>
      <c r="AD78" s="46" t="s">
        <v>938</v>
      </c>
      <c r="AE78" s="47">
        <v>300</v>
      </c>
      <c r="AF78" s="48" t="s">
        <v>1147</v>
      </c>
      <c r="AG78" s="48" t="s">
        <v>861</v>
      </c>
      <c r="AH78" s="48" t="s">
        <v>1149</v>
      </c>
      <c r="AI78" s="90">
        <v>867747074906155</v>
      </c>
      <c r="AJ78" s="89">
        <v>46125</v>
      </c>
      <c r="AK78" s="102">
        <f ca="1">IF(Table2[[#This Row],[تاريخ انتهاء ال GPS]]="","",IFERROR(_xlfn.DAYS(Table2[[#This Row],[تاريخ انتهاء ال GPS]],TODAY()),""))</f>
        <v>-135</v>
      </c>
      <c r="AL78" s="49" t="s">
        <v>1559</v>
      </c>
      <c r="AM78" s="50">
        <v>46621</v>
      </c>
      <c r="AN78" s="51">
        <f ca="1">IF(Table2[[#This Row],[تاريخ انتهاء بطاقة التشغيل]]="","",IFERROR(_xlfn.DAYS(Table2[[#This Row],[تاريخ انتهاء بطاقة التشغيل]],TODAY()),""))</f>
        <v>361</v>
      </c>
      <c r="AO78" s="80">
        <v>46361</v>
      </c>
      <c r="AP78" s="52">
        <f>Table2[[#This Row],[تاريخ انتهاء رخصة السير هجري]]</f>
        <v>46361</v>
      </c>
      <c r="AQ78" s="53">
        <f ca="1">IF(Table2[[#This Row],[تاريخ انتهاء رخصة السير ميلادي]]="","",IFERROR(_xlfn.DAYS(Table2[[#This Row],[تاريخ انتهاء رخصة السير ميلادي]],TODAY()),""))</f>
        <v>101</v>
      </c>
      <c r="AR78" s="55">
        <v>46409</v>
      </c>
      <c r="AS78" s="56">
        <f>Table2[[#This Row],[تاريخ انتهاء الفحص هجري]]</f>
        <v>46409</v>
      </c>
      <c r="AT78" s="106">
        <f ca="1">IF(Table2[[#This Row],[تاريخ انتهاء الفحص ميلادي]]="","",IFERROR(_xlfn.DAYS(Table2[[#This Row],[تاريخ انتهاء الفحص ميلادي]],TODAY()),""))</f>
        <v>149</v>
      </c>
      <c r="AU78" s="54"/>
      <c r="AV78" s="1"/>
      <c r="BE78" s="3"/>
      <c r="BH78" s="1"/>
    </row>
    <row r="79" spans="1:60" x14ac:dyDescent="0.3">
      <c r="A79" s="39" t="s">
        <v>19</v>
      </c>
      <c r="B79" s="39" t="s">
        <v>1193</v>
      </c>
      <c r="C79" s="39" t="s">
        <v>1193</v>
      </c>
      <c r="D79" s="39" t="s">
        <v>17</v>
      </c>
      <c r="E79" s="39" t="s">
        <v>819</v>
      </c>
      <c r="F79" s="40">
        <v>7025667531</v>
      </c>
      <c r="G79" s="41" t="s">
        <v>182</v>
      </c>
      <c r="H79" s="39" t="s">
        <v>183</v>
      </c>
      <c r="I79" s="58">
        <v>90764020</v>
      </c>
      <c r="J79" s="39" t="s">
        <v>20</v>
      </c>
      <c r="K79" s="39" t="s">
        <v>67</v>
      </c>
      <c r="L79" s="39" t="s">
        <v>22</v>
      </c>
      <c r="M79" s="39">
        <v>2024</v>
      </c>
      <c r="N79" s="39" t="s">
        <v>64</v>
      </c>
      <c r="O79" s="39" t="s">
        <v>1137</v>
      </c>
      <c r="P79" s="39" t="s">
        <v>1137</v>
      </c>
      <c r="Q79" s="39" t="s">
        <v>1137</v>
      </c>
      <c r="R79" s="124" t="s">
        <v>1137</v>
      </c>
      <c r="S79" s="124" t="s">
        <v>1137</v>
      </c>
      <c r="T79" s="124" t="s">
        <v>1137</v>
      </c>
      <c r="U79" s="42" t="s">
        <v>26</v>
      </c>
      <c r="V79" s="43">
        <v>46393</v>
      </c>
      <c r="W79" s="44">
        <f ca="1">IF(Table2[[#This Row],[تاريخ انتهاء التأمين]]="","",IFERROR(_xlfn.DAYS(Table2[[#This Row],[تاريخ انتهاء التأمين]],TODAY()),""))</f>
        <v>133</v>
      </c>
      <c r="X79" s="42" t="s">
        <v>27</v>
      </c>
      <c r="Y79" s="42" t="s">
        <v>28</v>
      </c>
      <c r="Z79" s="45">
        <v>1180</v>
      </c>
      <c r="AA79" s="46">
        <v>609221</v>
      </c>
      <c r="AB79" s="46" t="s">
        <v>1333</v>
      </c>
      <c r="AC79" s="46" t="s">
        <v>861</v>
      </c>
      <c r="AD79" s="46" t="s">
        <v>938</v>
      </c>
      <c r="AE79" s="47">
        <v>300</v>
      </c>
      <c r="AF79" s="48" t="s">
        <v>1147</v>
      </c>
      <c r="AG79" s="48" t="s">
        <v>861</v>
      </c>
      <c r="AH79" s="48" t="s">
        <v>1149</v>
      </c>
      <c r="AI79" s="90">
        <v>867747075445716</v>
      </c>
      <c r="AJ79" s="89">
        <v>46109</v>
      </c>
      <c r="AK79" s="102">
        <f ca="1">IF(Table2[[#This Row],[تاريخ انتهاء ال GPS]]="","",IFERROR(_xlfn.DAYS(Table2[[#This Row],[تاريخ انتهاء ال GPS]],TODAY()),""))</f>
        <v>-151</v>
      </c>
      <c r="AL79" s="49" t="s">
        <v>1560</v>
      </c>
      <c r="AM79" s="50">
        <v>46621</v>
      </c>
      <c r="AN79" s="51">
        <f ca="1">IF(Table2[[#This Row],[تاريخ انتهاء بطاقة التشغيل]]="","",IFERROR(_xlfn.DAYS(Table2[[#This Row],[تاريخ انتهاء بطاقة التشغيل]],TODAY()),""))</f>
        <v>361</v>
      </c>
      <c r="AO79" s="80">
        <v>46361</v>
      </c>
      <c r="AP79" s="52">
        <f>Table2[[#This Row],[تاريخ انتهاء رخصة السير هجري]]</f>
        <v>46361</v>
      </c>
      <c r="AQ79" s="53">
        <f ca="1">IF(Table2[[#This Row],[تاريخ انتهاء رخصة السير ميلادي]]="","",IFERROR(_xlfn.DAYS(Table2[[#This Row],[تاريخ انتهاء رخصة السير ميلادي]],TODAY()),""))</f>
        <v>101</v>
      </c>
      <c r="AR79" s="55">
        <v>46566</v>
      </c>
      <c r="AS79" s="56">
        <f>Table2[[#This Row],[تاريخ انتهاء الفحص هجري]]</f>
        <v>46566</v>
      </c>
      <c r="AT79" s="106">
        <f ca="1">IF(Table2[[#This Row],[تاريخ انتهاء الفحص ميلادي]]="","",IFERROR(_xlfn.DAYS(Table2[[#This Row],[تاريخ انتهاء الفحص ميلادي]],TODAY()),""))</f>
        <v>306</v>
      </c>
      <c r="AU79" s="54"/>
      <c r="AV79" s="1"/>
      <c r="BE79" s="3"/>
      <c r="BH79" s="1"/>
    </row>
    <row r="80" spans="1:60" x14ac:dyDescent="0.3">
      <c r="A80" s="39" t="s">
        <v>19</v>
      </c>
      <c r="B80" s="39" t="s">
        <v>2000</v>
      </c>
      <c r="C80" s="39" t="s">
        <v>1187</v>
      </c>
      <c r="D80" s="39" t="s">
        <v>17</v>
      </c>
      <c r="E80" s="39" t="s">
        <v>819</v>
      </c>
      <c r="F80" s="40">
        <v>7025667531</v>
      </c>
      <c r="G80" s="41" t="s">
        <v>184</v>
      </c>
      <c r="H80" s="39" t="s">
        <v>185</v>
      </c>
      <c r="I80" s="58">
        <v>780764020</v>
      </c>
      <c r="J80" s="39" t="s">
        <v>20</v>
      </c>
      <c r="K80" s="39" t="s">
        <v>67</v>
      </c>
      <c r="L80" s="39" t="s">
        <v>22</v>
      </c>
      <c r="M80" s="39">
        <v>2024</v>
      </c>
      <c r="N80" s="39" t="s">
        <v>64</v>
      </c>
      <c r="O80" s="39" t="s">
        <v>1847</v>
      </c>
      <c r="P80" s="58">
        <v>2559107137</v>
      </c>
      <c r="Q80" s="39" t="s">
        <v>1633</v>
      </c>
      <c r="R80" s="124">
        <v>46218</v>
      </c>
      <c r="S80" s="124">
        <v>46387</v>
      </c>
      <c r="T80" s="58">
        <f ca="1">IF(Table2[[#This Row],[تاريخ نهاية التفويض]]="","",IFERROR(_xlfn.DAYS(Table2[[#This Row],[تاريخ نهاية التفويض]],TODAY()),""))</f>
        <v>127</v>
      </c>
      <c r="U80" s="42" t="s">
        <v>26</v>
      </c>
      <c r="V80" s="43">
        <v>46393</v>
      </c>
      <c r="W80" s="44">
        <f ca="1">IF(Table2[[#This Row],[تاريخ انتهاء التأمين]]="","",IFERROR(_xlfn.DAYS(Table2[[#This Row],[تاريخ انتهاء التأمين]],TODAY()),""))</f>
        <v>133</v>
      </c>
      <c r="X80" s="42" t="s">
        <v>27</v>
      </c>
      <c r="Y80" s="42" t="s">
        <v>28</v>
      </c>
      <c r="Z80" s="45">
        <v>1180</v>
      </c>
      <c r="AA80" s="46">
        <v>609214</v>
      </c>
      <c r="AB80" s="46" t="s">
        <v>1334</v>
      </c>
      <c r="AC80" s="46" t="s">
        <v>861</v>
      </c>
      <c r="AD80" s="46" t="s">
        <v>938</v>
      </c>
      <c r="AE80" s="47">
        <v>300</v>
      </c>
      <c r="AF80" s="48" t="s">
        <v>1147</v>
      </c>
      <c r="AG80" s="48" t="s">
        <v>861</v>
      </c>
      <c r="AH80" s="48" t="s">
        <v>1149</v>
      </c>
      <c r="AI80" s="90">
        <v>867747071418352</v>
      </c>
      <c r="AJ80" s="89">
        <v>46119</v>
      </c>
      <c r="AK80" s="102">
        <f ca="1">IF(Table2[[#This Row],[تاريخ انتهاء ال GPS]]="","",IFERROR(_xlfn.DAYS(Table2[[#This Row],[تاريخ انتهاء ال GPS]],TODAY()),""))</f>
        <v>-141</v>
      </c>
      <c r="AL80" s="49" t="s">
        <v>1561</v>
      </c>
      <c r="AM80" s="50">
        <v>46621</v>
      </c>
      <c r="AN80" s="51">
        <f ca="1">IF(Table2[[#This Row],[تاريخ انتهاء بطاقة التشغيل]]="","",IFERROR(_xlfn.DAYS(Table2[[#This Row],[تاريخ انتهاء بطاقة التشغيل]],TODAY()),""))</f>
        <v>361</v>
      </c>
      <c r="AO80" s="80">
        <v>46361</v>
      </c>
      <c r="AP80" s="52">
        <f>Table2[[#This Row],[تاريخ انتهاء رخصة السير هجري]]</f>
        <v>46361</v>
      </c>
      <c r="AQ80" s="53">
        <f ca="1">IF(Table2[[#This Row],[تاريخ انتهاء رخصة السير ميلادي]]="","",IFERROR(_xlfn.DAYS(Table2[[#This Row],[تاريخ انتهاء رخصة السير ميلادي]],TODAY()),""))</f>
        <v>101</v>
      </c>
      <c r="AR80" s="55">
        <v>46423</v>
      </c>
      <c r="AS80" s="56">
        <f>Table2[[#This Row],[تاريخ انتهاء الفحص هجري]]</f>
        <v>46423</v>
      </c>
      <c r="AT80" s="106">
        <f ca="1">IF(Table2[[#This Row],[تاريخ انتهاء الفحص ميلادي]]="","",IFERROR(_xlfn.DAYS(Table2[[#This Row],[تاريخ انتهاء الفحص ميلادي]],TODAY()),""))</f>
        <v>163</v>
      </c>
      <c r="AU80" s="54"/>
      <c r="AV80" s="1"/>
      <c r="BE80" s="3"/>
      <c r="BH80" s="1"/>
    </row>
    <row r="81" spans="1:60" x14ac:dyDescent="0.3">
      <c r="A81" s="39" t="s">
        <v>19</v>
      </c>
      <c r="B81" s="39" t="s">
        <v>1183</v>
      </c>
      <c r="C81" s="39" t="s">
        <v>2004</v>
      </c>
      <c r="D81" s="39" t="s">
        <v>17</v>
      </c>
      <c r="E81" s="39" t="s">
        <v>819</v>
      </c>
      <c r="F81" s="40">
        <v>7025667531</v>
      </c>
      <c r="G81" s="41" t="s">
        <v>186</v>
      </c>
      <c r="H81" s="39" t="s">
        <v>187</v>
      </c>
      <c r="I81" s="58">
        <v>180764020</v>
      </c>
      <c r="J81" s="39" t="s">
        <v>20</v>
      </c>
      <c r="K81" s="39" t="s">
        <v>67</v>
      </c>
      <c r="L81" s="39" t="s">
        <v>22</v>
      </c>
      <c r="M81" s="39">
        <v>2024</v>
      </c>
      <c r="N81" s="39" t="s">
        <v>64</v>
      </c>
      <c r="O81" s="39" t="s">
        <v>1848</v>
      </c>
      <c r="P81" s="58">
        <v>2587455912</v>
      </c>
      <c r="Q81" s="39" t="s">
        <v>1634</v>
      </c>
      <c r="R81" s="124">
        <v>46198</v>
      </c>
      <c r="S81" s="124">
        <v>46387</v>
      </c>
      <c r="T81" s="58">
        <f ca="1">IF(Table2[[#This Row],[تاريخ نهاية التفويض]]="","",IFERROR(_xlfn.DAYS(Table2[[#This Row],[تاريخ نهاية التفويض]],TODAY()),""))</f>
        <v>127</v>
      </c>
      <c r="U81" s="42" t="s">
        <v>26</v>
      </c>
      <c r="V81" s="43">
        <v>46393</v>
      </c>
      <c r="W81" s="44">
        <f ca="1">IF(Table2[[#This Row],[تاريخ انتهاء التأمين]]="","",IFERROR(_xlfn.DAYS(Table2[[#This Row],[تاريخ انتهاء التأمين]],TODAY()),""))</f>
        <v>133</v>
      </c>
      <c r="X81" s="42" t="s">
        <v>27</v>
      </c>
      <c r="Y81" s="42" t="s">
        <v>28</v>
      </c>
      <c r="Z81" s="45">
        <v>1180</v>
      </c>
      <c r="AA81" s="46">
        <v>609218</v>
      </c>
      <c r="AB81" s="46" t="s">
        <v>1335</v>
      </c>
      <c r="AC81" s="46" t="s">
        <v>861</v>
      </c>
      <c r="AD81" s="46" t="s">
        <v>938</v>
      </c>
      <c r="AE81" s="47">
        <v>300</v>
      </c>
      <c r="AF81" s="48" t="s">
        <v>1147</v>
      </c>
      <c r="AG81" s="48" t="s">
        <v>861</v>
      </c>
      <c r="AH81" s="48" t="s">
        <v>1149</v>
      </c>
      <c r="AI81" s="90">
        <v>867747075509867</v>
      </c>
      <c r="AJ81" s="89">
        <v>46125</v>
      </c>
      <c r="AK81" s="102">
        <f ca="1">IF(Table2[[#This Row],[تاريخ انتهاء ال GPS]]="","",IFERROR(_xlfn.DAYS(Table2[[#This Row],[تاريخ انتهاء ال GPS]],TODAY()),""))</f>
        <v>-135</v>
      </c>
      <c r="AL81" s="49" t="s">
        <v>1562</v>
      </c>
      <c r="AM81" s="50">
        <v>46621</v>
      </c>
      <c r="AN81" s="51">
        <f ca="1">IF(Table2[[#This Row],[تاريخ انتهاء بطاقة التشغيل]]="","",IFERROR(_xlfn.DAYS(Table2[[#This Row],[تاريخ انتهاء بطاقة التشغيل]],TODAY()),""))</f>
        <v>361</v>
      </c>
      <c r="AO81" s="80">
        <v>46361</v>
      </c>
      <c r="AP81" s="52">
        <f>Table2[[#This Row],[تاريخ انتهاء رخصة السير هجري]]</f>
        <v>46361</v>
      </c>
      <c r="AQ81" s="53">
        <f ca="1">IF(Table2[[#This Row],[تاريخ انتهاء رخصة السير ميلادي]]="","",IFERROR(_xlfn.DAYS(Table2[[#This Row],[تاريخ انتهاء رخصة السير ميلادي]],TODAY()),""))</f>
        <v>101</v>
      </c>
      <c r="AR81" s="55">
        <v>46023</v>
      </c>
      <c r="AS81" s="56">
        <f>Table2[[#This Row],[تاريخ انتهاء الفحص هجري]]</f>
        <v>46023</v>
      </c>
      <c r="AT81" s="106">
        <f ca="1">IF(Table2[[#This Row],[تاريخ انتهاء الفحص ميلادي]]="","",IFERROR(_xlfn.DAYS(Table2[[#This Row],[تاريخ انتهاء الفحص ميلادي]],TODAY()),""))</f>
        <v>-237</v>
      </c>
      <c r="AU81" s="54"/>
      <c r="AV81" s="1"/>
      <c r="BE81" s="3"/>
      <c r="BH81" s="1"/>
    </row>
    <row r="82" spans="1:60" x14ac:dyDescent="0.3">
      <c r="A82" s="39" t="s">
        <v>19</v>
      </c>
      <c r="B82" s="39" t="s">
        <v>1193</v>
      </c>
      <c r="C82" s="39" t="s">
        <v>1193</v>
      </c>
      <c r="D82" s="39" t="s">
        <v>17</v>
      </c>
      <c r="E82" s="39" t="s">
        <v>819</v>
      </c>
      <c r="F82" s="40">
        <v>7025667531</v>
      </c>
      <c r="G82" s="41" t="s">
        <v>188</v>
      </c>
      <c r="H82" s="39" t="s">
        <v>189</v>
      </c>
      <c r="I82" s="58">
        <v>770764020</v>
      </c>
      <c r="J82" s="39" t="s">
        <v>20</v>
      </c>
      <c r="K82" s="39" t="s">
        <v>67</v>
      </c>
      <c r="L82" s="39" t="s">
        <v>22</v>
      </c>
      <c r="M82" s="39">
        <v>2024</v>
      </c>
      <c r="N82" s="39" t="s">
        <v>64</v>
      </c>
      <c r="O82" s="39" t="s">
        <v>1137</v>
      </c>
      <c r="P82" s="39" t="s">
        <v>1137</v>
      </c>
      <c r="Q82" s="39" t="s">
        <v>1137</v>
      </c>
      <c r="R82" s="124" t="s">
        <v>1137</v>
      </c>
      <c r="S82" s="124" t="s">
        <v>1137</v>
      </c>
      <c r="T82" s="124" t="s">
        <v>1137</v>
      </c>
      <c r="U82" s="42" t="s">
        <v>26</v>
      </c>
      <c r="V82" s="43">
        <v>46393</v>
      </c>
      <c r="W82" s="44">
        <f ca="1">IF(Table2[[#This Row],[تاريخ انتهاء التأمين]]="","",IFERROR(_xlfn.DAYS(Table2[[#This Row],[تاريخ انتهاء التأمين]],TODAY()),""))</f>
        <v>133</v>
      </c>
      <c r="X82" s="42" t="s">
        <v>27</v>
      </c>
      <c r="Y82" s="42" t="s">
        <v>28</v>
      </c>
      <c r="Z82" s="45">
        <v>1180</v>
      </c>
      <c r="AA82" s="46">
        <v>609223</v>
      </c>
      <c r="AB82" s="46" t="s">
        <v>1336</v>
      </c>
      <c r="AC82" s="46" t="s">
        <v>861</v>
      </c>
      <c r="AD82" s="46" t="s">
        <v>938</v>
      </c>
      <c r="AE82" s="47">
        <v>300</v>
      </c>
      <c r="AF82" s="48" t="s">
        <v>1147</v>
      </c>
      <c r="AG82" s="48" t="s">
        <v>861</v>
      </c>
      <c r="AH82" s="48" t="s">
        <v>1149</v>
      </c>
      <c r="AI82" s="90">
        <v>866069064235441</v>
      </c>
      <c r="AJ82" s="89">
        <v>46107</v>
      </c>
      <c r="AK82" s="102">
        <f ca="1">IF(Table2[[#This Row],[تاريخ انتهاء ال GPS]]="","",IFERROR(_xlfn.DAYS(Table2[[#This Row],[تاريخ انتهاء ال GPS]],TODAY()),""))</f>
        <v>-153</v>
      </c>
      <c r="AL82" s="49" t="s">
        <v>1045</v>
      </c>
      <c r="AM82" s="50">
        <v>46266</v>
      </c>
      <c r="AN82" s="51">
        <f ca="1">IF(Table2[[#This Row],[تاريخ انتهاء بطاقة التشغيل]]="","",IFERROR(_xlfn.DAYS(Table2[[#This Row],[تاريخ انتهاء بطاقة التشغيل]],TODAY()),""))</f>
        <v>6</v>
      </c>
      <c r="AO82" s="80">
        <v>46361</v>
      </c>
      <c r="AP82" s="52">
        <f>Table2[[#This Row],[تاريخ انتهاء رخصة السير هجري]]</f>
        <v>46361</v>
      </c>
      <c r="AQ82" s="53">
        <f ca="1">IF(Table2[[#This Row],[تاريخ انتهاء رخصة السير ميلادي]]="","",IFERROR(_xlfn.DAYS(Table2[[#This Row],[تاريخ انتهاء رخصة السير ميلادي]],TODAY()),""))</f>
        <v>101</v>
      </c>
      <c r="AR82" s="55">
        <v>46397</v>
      </c>
      <c r="AS82" s="56">
        <f>Table2[[#This Row],[تاريخ انتهاء الفحص هجري]]</f>
        <v>46397</v>
      </c>
      <c r="AT82" s="106">
        <f ca="1">IF(Table2[[#This Row],[تاريخ انتهاء الفحص ميلادي]]="","",IFERROR(_xlfn.DAYS(Table2[[#This Row],[تاريخ انتهاء الفحص ميلادي]],TODAY()),""))</f>
        <v>137</v>
      </c>
      <c r="AU82" s="54"/>
      <c r="AV82" s="1"/>
      <c r="BE82" s="3"/>
      <c r="BH82" s="1"/>
    </row>
    <row r="83" spans="1:60" x14ac:dyDescent="0.3">
      <c r="A83" s="39" t="s">
        <v>19</v>
      </c>
      <c r="B83" s="39" t="s">
        <v>1193</v>
      </c>
      <c r="C83" s="39" t="s">
        <v>1193</v>
      </c>
      <c r="D83" s="39" t="s">
        <v>17</v>
      </c>
      <c r="E83" s="39" t="s">
        <v>819</v>
      </c>
      <c r="F83" s="40">
        <v>7025667531</v>
      </c>
      <c r="G83" s="41" t="s">
        <v>190</v>
      </c>
      <c r="H83" s="39" t="s">
        <v>191</v>
      </c>
      <c r="I83" s="58">
        <v>461764020</v>
      </c>
      <c r="J83" s="39" t="s">
        <v>20</v>
      </c>
      <c r="K83" s="39" t="s">
        <v>67</v>
      </c>
      <c r="L83" s="39" t="s">
        <v>22</v>
      </c>
      <c r="M83" s="39">
        <v>2024</v>
      </c>
      <c r="N83" s="39" t="s">
        <v>64</v>
      </c>
      <c r="O83" s="39" t="s">
        <v>1137</v>
      </c>
      <c r="P83" s="39" t="s">
        <v>1137</v>
      </c>
      <c r="Q83" s="39" t="s">
        <v>1137</v>
      </c>
      <c r="R83" s="124" t="s">
        <v>1137</v>
      </c>
      <c r="S83" s="124" t="s">
        <v>1137</v>
      </c>
      <c r="T83" s="124" t="s">
        <v>1137</v>
      </c>
      <c r="U83" s="42" t="s">
        <v>26</v>
      </c>
      <c r="V83" s="43">
        <v>46393</v>
      </c>
      <c r="W83" s="44">
        <f ca="1">IF(Table2[[#This Row],[تاريخ انتهاء التأمين]]="","",IFERROR(_xlfn.DAYS(Table2[[#This Row],[تاريخ انتهاء التأمين]],TODAY()),""))</f>
        <v>133</v>
      </c>
      <c r="X83" s="42" t="s">
        <v>27</v>
      </c>
      <c r="Y83" s="42" t="s">
        <v>28</v>
      </c>
      <c r="Z83" s="45">
        <v>1180</v>
      </c>
      <c r="AA83" s="46">
        <v>609230</v>
      </c>
      <c r="AB83" s="46" t="s">
        <v>1138</v>
      </c>
      <c r="AC83" s="46" t="s">
        <v>861</v>
      </c>
      <c r="AD83" s="46" t="s">
        <v>938</v>
      </c>
      <c r="AE83" s="47">
        <v>300</v>
      </c>
      <c r="AF83" s="48" t="s">
        <v>1147</v>
      </c>
      <c r="AG83" s="48" t="s">
        <v>861</v>
      </c>
      <c r="AH83" s="48" t="s">
        <v>1149</v>
      </c>
      <c r="AI83" s="90">
        <v>867747079073894</v>
      </c>
      <c r="AJ83" s="89">
        <v>46139</v>
      </c>
      <c r="AK83" s="102">
        <f ca="1">IF(Table2[[#This Row],[تاريخ انتهاء ال GPS]]="","",IFERROR(_xlfn.DAYS(Table2[[#This Row],[تاريخ انتهاء ال GPS]],TODAY()),""))</f>
        <v>-121</v>
      </c>
      <c r="AL83" s="49" t="s">
        <v>1046</v>
      </c>
      <c r="AM83" s="50">
        <v>46266</v>
      </c>
      <c r="AN83" s="51">
        <f ca="1">IF(Table2[[#This Row],[تاريخ انتهاء بطاقة التشغيل]]="","",IFERROR(_xlfn.DAYS(Table2[[#This Row],[تاريخ انتهاء بطاقة التشغيل]],TODAY()),""))</f>
        <v>6</v>
      </c>
      <c r="AO83" s="80">
        <v>46361</v>
      </c>
      <c r="AP83" s="52">
        <f>Table2[[#This Row],[تاريخ انتهاء رخصة السير هجري]]</f>
        <v>46361</v>
      </c>
      <c r="AQ83" s="53">
        <f ca="1">IF(Table2[[#This Row],[تاريخ انتهاء رخصة السير ميلادي]]="","",IFERROR(_xlfn.DAYS(Table2[[#This Row],[تاريخ انتهاء رخصة السير ميلادي]],TODAY()),""))</f>
        <v>101</v>
      </c>
      <c r="AR83" s="55">
        <v>46401</v>
      </c>
      <c r="AS83" s="56">
        <f>Table2[[#This Row],[تاريخ انتهاء الفحص هجري]]</f>
        <v>46401</v>
      </c>
      <c r="AT83" s="106">
        <f ca="1">IF(Table2[[#This Row],[تاريخ انتهاء الفحص ميلادي]]="","",IFERROR(_xlfn.DAYS(Table2[[#This Row],[تاريخ انتهاء الفحص ميلادي]],TODAY()),""))</f>
        <v>141</v>
      </c>
      <c r="AU83" s="54"/>
      <c r="AV83" s="1"/>
      <c r="BE83" s="3"/>
      <c r="BH83" s="1"/>
    </row>
    <row r="84" spans="1:60" x14ac:dyDescent="0.3">
      <c r="A84" s="39" t="s">
        <v>19</v>
      </c>
      <c r="B84" s="39" t="s">
        <v>1193</v>
      </c>
      <c r="C84" s="39" t="s">
        <v>1193</v>
      </c>
      <c r="D84" s="39" t="s">
        <v>17</v>
      </c>
      <c r="E84" s="39" t="s">
        <v>819</v>
      </c>
      <c r="F84" s="40">
        <v>7025667531</v>
      </c>
      <c r="G84" s="41" t="s">
        <v>192</v>
      </c>
      <c r="H84" s="39" t="s">
        <v>193</v>
      </c>
      <c r="I84" s="58">
        <v>570764020</v>
      </c>
      <c r="J84" s="39" t="s">
        <v>20</v>
      </c>
      <c r="K84" s="39" t="s">
        <v>67</v>
      </c>
      <c r="L84" s="39" t="s">
        <v>22</v>
      </c>
      <c r="M84" s="39">
        <v>2024</v>
      </c>
      <c r="N84" s="39" t="s">
        <v>64</v>
      </c>
      <c r="O84" s="39" t="s">
        <v>1137</v>
      </c>
      <c r="P84" s="39" t="s">
        <v>1137</v>
      </c>
      <c r="Q84" s="39" t="s">
        <v>1137</v>
      </c>
      <c r="R84" s="124" t="s">
        <v>1137</v>
      </c>
      <c r="S84" s="124" t="s">
        <v>1137</v>
      </c>
      <c r="T84" s="124" t="s">
        <v>1137</v>
      </c>
      <c r="U84" s="42" t="s">
        <v>26</v>
      </c>
      <c r="V84" s="43">
        <v>46393</v>
      </c>
      <c r="W84" s="44">
        <f ca="1">IF(Table2[[#This Row],[تاريخ انتهاء التأمين]]="","",IFERROR(_xlfn.DAYS(Table2[[#This Row],[تاريخ انتهاء التأمين]],TODAY()),""))</f>
        <v>133</v>
      </c>
      <c r="X84" s="42" t="s">
        <v>27</v>
      </c>
      <c r="Y84" s="42" t="s">
        <v>28</v>
      </c>
      <c r="Z84" s="45">
        <v>1180</v>
      </c>
      <c r="AA84" s="46">
        <v>609267</v>
      </c>
      <c r="AB84" s="46" t="s">
        <v>1337</v>
      </c>
      <c r="AC84" s="46" t="s">
        <v>861</v>
      </c>
      <c r="AD84" s="46" t="s">
        <v>938</v>
      </c>
      <c r="AE84" s="47">
        <v>300</v>
      </c>
      <c r="AF84" s="48" t="s">
        <v>1147</v>
      </c>
      <c r="AG84" s="48" t="s">
        <v>861</v>
      </c>
      <c r="AH84" s="48" t="s">
        <v>1149</v>
      </c>
      <c r="AI84" s="90">
        <v>866069063454464</v>
      </c>
      <c r="AJ84" s="89">
        <v>46107</v>
      </c>
      <c r="AK84" s="102">
        <f ca="1">IF(Table2[[#This Row],[تاريخ انتهاء ال GPS]]="","",IFERROR(_xlfn.DAYS(Table2[[#This Row],[تاريخ انتهاء ال GPS]],TODAY()),""))</f>
        <v>-153</v>
      </c>
      <c r="AL84" s="49" t="s">
        <v>1047</v>
      </c>
      <c r="AM84" s="50">
        <v>46266</v>
      </c>
      <c r="AN84" s="51">
        <f ca="1">IF(Table2[[#This Row],[تاريخ انتهاء بطاقة التشغيل]]="","",IFERROR(_xlfn.DAYS(Table2[[#This Row],[تاريخ انتهاء بطاقة التشغيل]],TODAY()),""))</f>
        <v>6</v>
      </c>
      <c r="AO84" s="80">
        <v>46361</v>
      </c>
      <c r="AP84" s="52">
        <f>Table2[[#This Row],[تاريخ انتهاء رخصة السير هجري]]</f>
        <v>46361</v>
      </c>
      <c r="AQ84" s="53">
        <f ca="1">IF(Table2[[#This Row],[تاريخ انتهاء رخصة السير ميلادي]]="","",IFERROR(_xlfn.DAYS(Table2[[#This Row],[تاريخ انتهاء رخصة السير ميلادي]],TODAY()),""))</f>
        <v>101</v>
      </c>
      <c r="AR84" s="55">
        <v>46393</v>
      </c>
      <c r="AS84" s="56">
        <f>Table2[[#This Row],[تاريخ انتهاء الفحص هجري]]</f>
        <v>46393</v>
      </c>
      <c r="AT84" s="106">
        <f ca="1">IF(Table2[[#This Row],[تاريخ انتهاء الفحص ميلادي]]="","",IFERROR(_xlfn.DAYS(Table2[[#This Row],[تاريخ انتهاء الفحص ميلادي]],TODAY()),""))</f>
        <v>133</v>
      </c>
      <c r="AU84" s="54"/>
      <c r="AV84" s="1"/>
      <c r="BE84" s="3"/>
      <c r="BH84" s="1"/>
    </row>
    <row r="85" spans="1:60" x14ac:dyDescent="0.3">
      <c r="A85" s="39" t="s">
        <v>19</v>
      </c>
      <c r="B85" s="39" t="s">
        <v>2003</v>
      </c>
      <c r="C85" s="39" t="s">
        <v>2004</v>
      </c>
      <c r="D85" s="39" t="s">
        <v>17</v>
      </c>
      <c r="E85" s="39" t="s">
        <v>819</v>
      </c>
      <c r="F85" s="40">
        <v>7025667531</v>
      </c>
      <c r="G85" s="41" t="s">
        <v>194</v>
      </c>
      <c r="H85" s="39" t="s">
        <v>195</v>
      </c>
      <c r="I85" s="58">
        <v>360764020</v>
      </c>
      <c r="J85" s="39" t="s">
        <v>20</v>
      </c>
      <c r="K85" s="39" t="s">
        <v>67</v>
      </c>
      <c r="L85" s="39" t="s">
        <v>22</v>
      </c>
      <c r="M85" s="39">
        <v>2024</v>
      </c>
      <c r="N85" s="39" t="s">
        <v>64</v>
      </c>
      <c r="O85" s="39" t="s">
        <v>1849</v>
      </c>
      <c r="P85" s="58">
        <v>2577075902</v>
      </c>
      <c r="Q85" s="39" t="s">
        <v>1635</v>
      </c>
      <c r="R85" s="124">
        <v>46196</v>
      </c>
      <c r="S85" s="124">
        <v>46387</v>
      </c>
      <c r="T85" s="58">
        <f ca="1">IF(Table2[[#This Row],[تاريخ نهاية التفويض]]="","",IFERROR(_xlfn.DAYS(Table2[[#This Row],[تاريخ نهاية التفويض]],TODAY()),""))</f>
        <v>127</v>
      </c>
      <c r="U85" s="42" t="s">
        <v>26</v>
      </c>
      <c r="V85" s="43">
        <v>46393</v>
      </c>
      <c r="W85" s="44">
        <f ca="1">IF(Table2[[#This Row],[تاريخ انتهاء التأمين]]="","",IFERROR(_xlfn.DAYS(Table2[[#This Row],[تاريخ انتهاء التأمين]],TODAY()),""))</f>
        <v>133</v>
      </c>
      <c r="X85" s="42" t="s">
        <v>27</v>
      </c>
      <c r="Y85" s="42" t="s">
        <v>28</v>
      </c>
      <c r="Z85" s="45">
        <v>1180</v>
      </c>
      <c r="AA85" s="46">
        <v>609220</v>
      </c>
      <c r="AB85" s="46" t="s">
        <v>1338</v>
      </c>
      <c r="AC85" s="46" t="s">
        <v>861</v>
      </c>
      <c r="AD85" s="46" t="s">
        <v>938</v>
      </c>
      <c r="AE85" s="47">
        <v>300</v>
      </c>
      <c r="AF85" s="48" t="s">
        <v>1147</v>
      </c>
      <c r="AG85" s="48" t="s">
        <v>861</v>
      </c>
      <c r="AH85" s="48" t="s">
        <v>1149</v>
      </c>
      <c r="AI85" s="90">
        <v>867747071342263</v>
      </c>
      <c r="AJ85" s="89">
        <v>46109</v>
      </c>
      <c r="AK85" s="102">
        <f ca="1">IF(Table2[[#This Row],[تاريخ انتهاء ال GPS]]="","",IFERROR(_xlfn.DAYS(Table2[[#This Row],[تاريخ انتهاء ال GPS]],TODAY()),""))</f>
        <v>-151</v>
      </c>
      <c r="AL85" s="49" t="s">
        <v>1563</v>
      </c>
      <c r="AM85" s="50">
        <v>46621</v>
      </c>
      <c r="AN85" s="51">
        <f ca="1">IF(Table2[[#This Row],[تاريخ انتهاء بطاقة التشغيل]]="","",IFERROR(_xlfn.DAYS(Table2[[#This Row],[تاريخ انتهاء بطاقة التشغيل]],TODAY()),""))</f>
        <v>361</v>
      </c>
      <c r="AO85" s="80">
        <v>46361</v>
      </c>
      <c r="AP85" s="52">
        <f>Table2[[#This Row],[تاريخ انتهاء رخصة السير هجري]]</f>
        <v>46361</v>
      </c>
      <c r="AQ85" s="53">
        <f ca="1">IF(Table2[[#This Row],[تاريخ انتهاء رخصة السير ميلادي]]="","",IFERROR(_xlfn.DAYS(Table2[[#This Row],[تاريخ انتهاء رخصة السير ميلادي]],TODAY()),""))</f>
        <v>101</v>
      </c>
      <c r="AR85" s="55">
        <v>46398</v>
      </c>
      <c r="AS85" s="56">
        <f>Table2[[#This Row],[تاريخ انتهاء الفحص هجري]]</f>
        <v>46398</v>
      </c>
      <c r="AT85" s="106">
        <f ca="1">IF(Table2[[#This Row],[تاريخ انتهاء الفحص ميلادي]]="","",IFERROR(_xlfn.DAYS(Table2[[#This Row],[تاريخ انتهاء الفحص ميلادي]],TODAY()),""))</f>
        <v>138</v>
      </c>
      <c r="AU85" s="54"/>
      <c r="AV85" s="1"/>
      <c r="BE85" s="3"/>
      <c r="BH85" s="1"/>
    </row>
    <row r="86" spans="1:60" x14ac:dyDescent="0.3">
      <c r="A86" s="39" t="s">
        <v>19</v>
      </c>
      <c r="B86" s="39" t="s">
        <v>1193</v>
      </c>
      <c r="C86" s="39" t="s">
        <v>1193</v>
      </c>
      <c r="D86" s="39" t="s">
        <v>17</v>
      </c>
      <c r="E86" s="39" t="s">
        <v>819</v>
      </c>
      <c r="F86" s="40">
        <v>7025667531</v>
      </c>
      <c r="G86" s="41" t="s">
        <v>196</v>
      </c>
      <c r="H86" s="39" t="s">
        <v>197</v>
      </c>
      <c r="I86" s="58">
        <v>950764020</v>
      </c>
      <c r="J86" s="39" t="s">
        <v>20</v>
      </c>
      <c r="K86" s="39" t="s">
        <v>67</v>
      </c>
      <c r="L86" s="39" t="s">
        <v>22</v>
      </c>
      <c r="M86" s="39">
        <v>2024</v>
      </c>
      <c r="N86" s="39" t="s">
        <v>64</v>
      </c>
      <c r="O86" s="39" t="s">
        <v>1137</v>
      </c>
      <c r="P86" s="39" t="s">
        <v>1137</v>
      </c>
      <c r="Q86" s="39" t="s">
        <v>1137</v>
      </c>
      <c r="R86" s="124" t="s">
        <v>1137</v>
      </c>
      <c r="S86" s="124" t="s">
        <v>1137</v>
      </c>
      <c r="T86" s="124" t="s">
        <v>1137</v>
      </c>
      <c r="U86" s="42" t="s">
        <v>26</v>
      </c>
      <c r="V86" s="43">
        <v>46393</v>
      </c>
      <c r="W86" s="44">
        <f ca="1">IF(Table2[[#This Row],[تاريخ انتهاء التأمين]]="","",IFERROR(_xlfn.DAYS(Table2[[#This Row],[تاريخ انتهاء التأمين]],TODAY()),""))</f>
        <v>133</v>
      </c>
      <c r="X86" s="42" t="s">
        <v>27</v>
      </c>
      <c r="Y86" s="42" t="s">
        <v>28</v>
      </c>
      <c r="Z86" s="45">
        <v>1180</v>
      </c>
      <c r="AA86" s="46">
        <v>609227</v>
      </c>
      <c r="AB86" s="46" t="s">
        <v>1339</v>
      </c>
      <c r="AC86" s="46" t="s">
        <v>861</v>
      </c>
      <c r="AD86" s="46" t="s">
        <v>938</v>
      </c>
      <c r="AE86" s="47">
        <v>300</v>
      </c>
      <c r="AF86" s="48" t="s">
        <v>1147</v>
      </c>
      <c r="AG86" s="48" t="s">
        <v>861</v>
      </c>
      <c r="AH86" s="48" t="s">
        <v>1149</v>
      </c>
      <c r="AI86" s="90">
        <v>867747075358679</v>
      </c>
      <c r="AJ86" s="89">
        <v>46119</v>
      </c>
      <c r="AK86" s="102">
        <f ca="1">IF(Table2[[#This Row],[تاريخ انتهاء ال GPS]]="","",IFERROR(_xlfn.DAYS(Table2[[#This Row],[تاريخ انتهاء ال GPS]],TODAY()),""))</f>
        <v>-141</v>
      </c>
      <c r="AL86" s="49" t="s">
        <v>1048</v>
      </c>
      <c r="AM86" s="50">
        <v>46266</v>
      </c>
      <c r="AN86" s="51">
        <f ca="1">IF(Table2[[#This Row],[تاريخ انتهاء بطاقة التشغيل]]="","",IFERROR(_xlfn.DAYS(Table2[[#This Row],[تاريخ انتهاء بطاقة التشغيل]],TODAY()),""))</f>
        <v>6</v>
      </c>
      <c r="AO86" s="80">
        <v>46361</v>
      </c>
      <c r="AP86" s="52">
        <f>Table2[[#This Row],[تاريخ انتهاء رخصة السير هجري]]</f>
        <v>46361</v>
      </c>
      <c r="AQ86" s="53">
        <f ca="1">IF(Table2[[#This Row],[تاريخ انتهاء رخصة السير ميلادي]]="","",IFERROR(_xlfn.DAYS(Table2[[#This Row],[تاريخ انتهاء رخصة السير ميلادي]],TODAY()),""))</f>
        <v>101</v>
      </c>
      <c r="AR86" s="55">
        <v>46397</v>
      </c>
      <c r="AS86" s="56">
        <f>Table2[[#This Row],[تاريخ انتهاء الفحص هجري]]</f>
        <v>46397</v>
      </c>
      <c r="AT86" s="106">
        <f ca="1">IF(Table2[[#This Row],[تاريخ انتهاء الفحص ميلادي]]="","",IFERROR(_xlfn.DAYS(Table2[[#This Row],[تاريخ انتهاء الفحص ميلادي]],TODAY()),""))</f>
        <v>137</v>
      </c>
      <c r="AU86" s="54"/>
      <c r="AV86" s="1"/>
      <c r="BE86" s="3"/>
      <c r="BH86" s="1"/>
    </row>
    <row r="87" spans="1:60" x14ac:dyDescent="0.3">
      <c r="A87" s="39" t="s">
        <v>19</v>
      </c>
      <c r="B87" s="39" t="s">
        <v>2000</v>
      </c>
      <c r="C87" s="39" t="s">
        <v>1187</v>
      </c>
      <c r="D87" s="39" t="s">
        <v>17</v>
      </c>
      <c r="E87" s="39" t="s">
        <v>819</v>
      </c>
      <c r="F87" s="40">
        <v>7025667531</v>
      </c>
      <c r="G87" s="41" t="s">
        <v>198</v>
      </c>
      <c r="H87" s="39" t="s">
        <v>199</v>
      </c>
      <c r="I87" s="58">
        <v>51764020</v>
      </c>
      <c r="J87" s="39" t="s">
        <v>20</v>
      </c>
      <c r="K87" s="39" t="s">
        <v>67</v>
      </c>
      <c r="L87" s="39" t="s">
        <v>22</v>
      </c>
      <c r="M87" s="39">
        <v>2024</v>
      </c>
      <c r="N87" s="39" t="s">
        <v>64</v>
      </c>
      <c r="O87" s="39" t="s">
        <v>1850</v>
      </c>
      <c r="P87" s="58">
        <v>2588682613</v>
      </c>
      <c r="Q87" s="39" t="s">
        <v>1636</v>
      </c>
      <c r="R87" s="124">
        <v>46190</v>
      </c>
      <c r="S87" s="124">
        <v>46387</v>
      </c>
      <c r="T87" s="58">
        <f ca="1">IF(Table2[[#This Row],[تاريخ نهاية التفويض]]="","",IFERROR(_xlfn.DAYS(Table2[[#This Row],[تاريخ نهاية التفويض]],TODAY()),""))</f>
        <v>127</v>
      </c>
      <c r="U87" s="42" t="s">
        <v>26</v>
      </c>
      <c r="V87" s="43">
        <v>46393</v>
      </c>
      <c r="W87" s="44">
        <f ca="1">IF(Table2[[#This Row],[تاريخ انتهاء التأمين]]="","",IFERROR(_xlfn.DAYS(Table2[[#This Row],[تاريخ انتهاء التأمين]],TODAY()),""))</f>
        <v>133</v>
      </c>
      <c r="X87" s="42" t="s">
        <v>27</v>
      </c>
      <c r="Y87" s="42" t="s">
        <v>28</v>
      </c>
      <c r="Z87" s="45">
        <v>1180</v>
      </c>
      <c r="AA87" s="46">
        <v>609236</v>
      </c>
      <c r="AB87" s="46" t="s">
        <v>1340</v>
      </c>
      <c r="AC87" s="46" t="s">
        <v>861</v>
      </c>
      <c r="AD87" s="46" t="s">
        <v>938</v>
      </c>
      <c r="AE87" s="47">
        <v>300</v>
      </c>
      <c r="AF87" s="48" t="s">
        <v>1147</v>
      </c>
      <c r="AG87" s="48" t="s">
        <v>861</v>
      </c>
      <c r="AH87" s="48" t="s">
        <v>1149</v>
      </c>
      <c r="AI87" s="90">
        <v>867747075438638</v>
      </c>
      <c r="AJ87" s="89">
        <v>46110</v>
      </c>
      <c r="AK87" s="102">
        <f ca="1">IF(Table2[[#This Row],[تاريخ انتهاء ال GPS]]="","",IFERROR(_xlfn.DAYS(Table2[[#This Row],[تاريخ انتهاء ال GPS]],TODAY()),""))</f>
        <v>-150</v>
      </c>
      <c r="AL87" s="49" t="s">
        <v>1049</v>
      </c>
      <c r="AM87" s="50">
        <v>46266</v>
      </c>
      <c r="AN87" s="51">
        <f ca="1">IF(Table2[[#This Row],[تاريخ انتهاء بطاقة التشغيل]]="","",IFERROR(_xlfn.DAYS(Table2[[#This Row],[تاريخ انتهاء بطاقة التشغيل]],TODAY()),""))</f>
        <v>6</v>
      </c>
      <c r="AO87" s="80">
        <v>46361</v>
      </c>
      <c r="AP87" s="52">
        <f>Table2[[#This Row],[تاريخ انتهاء رخصة السير هجري]]</f>
        <v>46361</v>
      </c>
      <c r="AQ87" s="53">
        <f ca="1">IF(Table2[[#This Row],[تاريخ انتهاء رخصة السير ميلادي]]="","",IFERROR(_xlfn.DAYS(Table2[[#This Row],[تاريخ انتهاء رخصة السير ميلادي]],TODAY()),""))</f>
        <v>101</v>
      </c>
      <c r="AR87" s="55">
        <v>46022</v>
      </c>
      <c r="AS87" s="56">
        <f>Table2[[#This Row],[تاريخ انتهاء الفحص هجري]]</f>
        <v>46022</v>
      </c>
      <c r="AT87" s="106">
        <f ca="1">IF(Table2[[#This Row],[تاريخ انتهاء الفحص ميلادي]]="","",IFERROR(_xlfn.DAYS(Table2[[#This Row],[تاريخ انتهاء الفحص ميلادي]],TODAY()),""))</f>
        <v>-238</v>
      </c>
      <c r="AU87" s="54"/>
      <c r="AV87" s="1"/>
      <c r="BE87" s="3"/>
      <c r="BH87" s="1"/>
    </row>
    <row r="88" spans="1:60" x14ac:dyDescent="0.3">
      <c r="A88" s="39" t="s">
        <v>19</v>
      </c>
      <c r="B88" s="39" t="s">
        <v>1183</v>
      </c>
      <c r="C88" s="39" t="s">
        <v>2004</v>
      </c>
      <c r="D88" s="39" t="s">
        <v>17</v>
      </c>
      <c r="E88" s="39" t="s">
        <v>819</v>
      </c>
      <c r="F88" s="40">
        <v>7025667531</v>
      </c>
      <c r="G88" s="41" t="s">
        <v>200</v>
      </c>
      <c r="H88" s="39" t="s">
        <v>201</v>
      </c>
      <c r="I88" s="58">
        <v>541764020</v>
      </c>
      <c r="J88" s="39" t="s">
        <v>20</v>
      </c>
      <c r="K88" s="39" t="s">
        <v>67</v>
      </c>
      <c r="L88" s="39" t="s">
        <v>22</v>
      </c>
      <c r="M88" s="39">
        <v>2024</v>
      </c>
      <c r="N88" s="39" t="s">
        <v>64</v>
      </c>
      <c r="O88" s="39" t="s">
        <v>1851</v>
      </c>
      <c r="P88" s="58">
        <v>2559187683</v>
      </c>
      <c r="Q88" s="39" t="s">
        <v>1637</v>
      </c>
      <c r="R88" s="124">
        <v>45993</v>
      </c>
      <c r="S88" s="124">
        <v>46327</v>
      </c>
      <c r="T88" s="58">
        <f ca="1">IF(Table2[[#This Row],[تاريخ نهاية التفويض]]="","",IFERROR(_xlfn.DAYS(Table2[[#This Row],[تاريخ نهاية التفويض]],TODAY()),""))</f>
        <v>67</v>
      </c>
      <c r="U88" s="42" t="s">
        <v>26</v>
      </c>
      <c r="V88" s="43">
        <v>46393</v>
      </c>
      <c r="W88" s="44">
        <f ca="1">IF(Table2[[#This Row],[تاريخ انتهاء التأمين]]="","",IFERROR(_xlfn.DAYS(Table2[[#This Row],[تاريخ انتهاء التأمين]],TODAY()),""))</f>
        <v>133</v>
      </c>
      <c r="X88" s="42" t="s">
        <v>27</v>
      </c>
      <c r="Y88" s="42" t="s">
        <v>28</v>
      </c>
      <c r="Z88" s="45">
        <v>1180</v>
      </c>
      <c r="AA88" s="46">
        <v>609239</v>
      </c>
      <c r="AB88" s="46" t="s">
        <v>1341</v>
      </c>
      <c r="AC88" s="46" t="s">
        <v>861</v>
      </c>
      <c r="AD88" s="46" t="s">
        <v>938</v>
      </c>
      <c r="AE88" s="47">
        <v>300</v>
      </c>
      <c r="AF88" s="48" t="s">
        <v>1147</v>
      </c>
      <c r="AG88" s="48" t="s">
        <v>861</v>
      </c>
      <c r="AH88" s="48" t="s">
        <v>1149</v>
      </c>
      <c r="AI88" s="90">
        <v>867747070601545</v>
      </c>
      <c r="AJ88" s="89">
        <v>46121</v>
      </c>
      <c r="AK88" s="102">
        <f ca="1">IF(Table2[[#This Row],[تاريخ انتهاء ال GPS]]="","",IFERROR(_xlfn.DAYS(Table2[[#This Row],[تاريخ انتهاء ال GPS]],TODAY()),""))</f>
        <v>-139</v>
      </c>
      <c r="AL88" s="49" t="s">
        <v>1050</v>
      </c>
      <c r="AM88" s="50">
        <v>46266</v>
      </c>
      <c r="AN88" s="51">
        <f ca="1">IF(Table2[[#This Row],[تاريخ انتهاء بطاقة التشغيل]]="","",IFERROR(_xlfn.DAYS(Table2[[#This Row],[تاريخ انتهاء بطاقة التشغيل]],TODAY()),""))</f>
        <v>6</v>
      </c>
      <c r="AO88" s="80">
        <v>46361</v>
      </c>
      <c r="AP88" s="52">
        <f>Table2[[#This Row],[تاريخ انتهاء رخصة السير هجري]]</f>
        <v>46361</v>
      </c>
      <c r="AQ88" s="53">
        <f ca="1">IF(Table2[[#This Row],[تاريخ انتهاء رخصة السير ميلادي]]="","",IFERROR(_xlfn.DAYS(Table2[[#This Row],[تاريخ انتهاء رخصة السير ميلادي]],TODAY()),""))</f>
        <v>101</v>
      </c>
      <c r="AR88" s="55">
        <v>46394</v>
      </c>
      <c r="AS88" s="56">
        <f>Table2[[#This Row],[تاريخ انتهاء الفحص هجري]]</f>
        <v>46394</v>
      </c>
      <c r="AT88" s="106">
        <f ca="1">IF(Table2[[#This Row],[تاريخ انتهاء الفحص ميلادي]]="","",IFERROR(_xlfn.DAYS(Table2[[#This Row],[تاريخ انتهاء الفحص ميلادي]],TODAY()),""))</f>
        <v>134</v>
      </c>
      <c r="AU88" s="54"/>
      <c r="AV88" s="1"/>
      <c r="BE88" s="3"/>
      <c r="BH88" s="1"/>
    </row>
    <row r="89" spans="1:60" x14ac:dyDescent="0.3">
      <c r="A89" s="39" t="s">
        <v>19</v>
      </c>
      <c r="B89" s="39" t="s">
        <v>2003</v>
      </c>
      <c r="C89" s="39" t="s">
        <v>2004</v>
      </c>
      <c r="D89" s="39" t="s">
        <v>17</v>
      </c>
      <c r="E89" s="39" t="s">
        <v>819</v>
      </c>
      <c r="F89" s="40">
        <v>7025667531</v>
      </c>
      <c r="G89" s="41" t="s">
        <v>202</v>
      </c>
      <c r="H89" s="39" t="s">
        <v>203</v>
      </c>
      <c r="I89" s="58">
        <v>241764020</v>
      </c>
      <c r="J89" s="39" t="s">
        <v>20</v>
      </c>
      <c r="K89" s="39" t="s">
        <v>67</v>
      </c>
      <c r="L89" s="39" t="s">
        <v>22</v>
      </c>
      <c r="M89" s="39">
        <v>2024</v>
      </c>
      <c r="N89" s="39" t="s">
        <v>64</v>
      </c>
      <c r="O89" s="39" t="s">
        <v>1852</v>
      </c>
      <c r="P89" s="58">
        <v>2583315326</v>
      </c>
      <c r="Q89" s="39" t="s">
        <v>1638</v>
      </c>
      <c r="R89" s="124">
        <v>46217</v>
      </c>
      <c r="S89" s="124">
        <v>46387</v>
      </c>
      <c r="T89" s="58">
        <f ca="1">IF(Table2[[#This Row],[تاريخ نهاية التفويض]]="","",IFERROR(_xlfn.DAYS(Table2[[#This Row],[تاريخ نهاية التفويض]],TODAY()),""))</f>
        <v>127</v>
      </c>
      <c r="U89" s="42" t="s">
        <v>26</v>
      </c>
      <c r="V89" s="43">
        <v>46393</v>
      </c>
      <c r="W89" s="44">
        <f ca="1">IF(Table2[[#This Row],[تاريخ انتهاء التأمين]]="","",IFERROR(_xlfn.DAYS(Table2[[#This Row],[تاريخ انتهاء التأمين]],TODAY()),""))</f>
        <v>133</v>
      </c>
      <c r="X89" s="42" t="s">
        <v>27</v>
      </c>
      <c r="Y89" s="42" t="s">
        <v>28</v>
      </c>
      <c r="Z89" s="45">
        <v>1180</v>
      </c>
      <c r="AA89" s="46">
        <v>609238</v>
      </c>
      <c r="AB89" s="46" t="s">
        <v>1342</v>
      </c>
      <c r="AC89" s="46" t="s">
        <v>861</v>
      </c>
      <c r="AD89" s="46" t="s">
        <v>938</v>
      </c>
      <c r="AE89" s="47">
        <v>300</v>
      </c>
      <c r="AF89" s="48" t="s">
        <v>1147</v>
      </c>
      <c r="AG89" s="48" t="s">
        <v>861</v>
      </c>
      <c r="AH89" s="48" t="s">
        <v>1149</v>
      </c>
      <c r="AI89" s="90">
        <v>866069064193848</v>
      </c>
      <c r="AJ89" s="89">
        <v>46107</v>
      </c>
      <c r="AK89" s="102">
        <f ca="1">IF(Table2[[#This Row],[تاريخ انتهاء ال GPS]]="","",IFERROR(_xlfn.DAYS(Table2[[#This Row],[تاريخ انتهاء ال GPS]],TODAY()),""))</f>
        <v>-153</v>
      </c>
      <c r="AL89" s="49" t="s">
        <v>1051</v>
      </c>
      <c r="AM89" s="50">
        <v>46266</v>
      </c>
      <c r="AN89" s="51">
        <f ca="1">IF(Table2[[#This Row],[تاريخ انتهاء بطاقة التشغيل]]="","",IFERROR(_xlfn.DAYS(Table2[[#This Row],[تاريخ انتهاء بطاقة التشغيل]],TODAY()),""))</f>
        <v>6</v>
      </c>
      <c r="AO89" s="80">
        <v>46361</v>
      </c>
      <c r="AP89" s="52">
        <f>Table2[[#This Row],[تاريخ انتهاء رخصة السير هجري]]</f>
        <v>46361</v>
      </c>
      <c r="AQ89" s="53">
        <f ca="1">IF(Table2[[#This Row],[تاريخ انتهاء رخصة السير ميلادي]]="","",IFERROR(_xlfn.DAYS(Table2[[#This Row],[تاريخ انتهاء رخصة السير ميلادي]],TODAY()),""))</f>
        <v>101</v>
      </c>
      <c r="AR89" s="55">
        <v>46397</v>
      </c>
      <c r="AS89" s="56">
        <f>Table2[[#This Row],[تاريخ انتهاء الفحص هجري]]</f>
        <v>46397</v>
      </c>
      <c r="AT89" s="106">
        <f ca="1">IF(Table2[[#This Row],[تاريخ انتهاء الفحص ميلادي]]="","",IFERROR(_xlfn.DAYS(Table2[[#This Row],[تاريخ انتهاء الفحص ميلادي]],TODAY()),""))</f>
        <v>137</v>
      </c>
      <c r="AU89" s="54"/>
      <c r="AV89" s="1"/>
      <c r="BE89" s="3"/>
      <c r="BH89" s="1"/>
    </row>
    <row r="90" spans="1:60" x14ac:dyDescent="0.3">
      <c r="A90" s="39" t="s">
        <v>19</v>
      </c>
      <c r="B90" s="39" t="s">
        <v>2000</v>
      </c>
      <c r="C90" s="39" t="s">
        <v>1187</v>
      </c>
      <c r="D90" s="39" t="s">
        <v>17</v>
      </c>
      <c r="E90" s="39" t="s">
        <v>819</v>
      </c>
      <c r="F90" s="40">
        <v>7025667531</v>
      </c>
      <c r="G90" s="41" t="s">
        <v>204</v>
      </c>
      <c r="H90" s="39" t="s">
        <v>205</v>
      </c>
      <c r="I90" s="58">
        <v>41764020</v>
      </c>
      <c r="J90" s="39" t="s">
        <v>20</v>
      </c>
      <c r="K90" s="39" t="s">
        <v>67</v>
      </c>
      <c r="L90" s="39" t="s">
        <v>22</v>
      </c>
      <c r="M90" s="39">
        <v>2024</v>
      </c>
      <c r="N90" s="39" t="s">
        <v>64</v>
      </c>
      <c r="O90" s="39" t="s">
        <v>1810</v>
      </c>
      <c r="P90" s="58">
        <v>2600468512</v>
      </c>
      <c r="Q90" s="39" t="s">
        <v>1639</v>
      </c>
      <c r="R90" s="124">
        <v>46243</v>
      </c>
      <c r="S90" s="124">
        <v>46387</v>
      </c>
      <c r="T90" s="58">
        <f ca="1">IF(Table2[[#This Row],[تاريخ نهاية التفويض]]="","",IFERROR(_xlfn.DAYS(Table2[[#This Row],[تاريخ نهاية التفويض]],TODAY()),""))</f>
        <v>127</v>
      </c>
      <c r="U90" s="42" t="s">
        <v>26</v>
      </c>
      <c r="V90" s="43">
        <v>46393</v>
      </c>
      <c r="W90" s="44">
        <f ca="1">IF(Table2[[#This Row],[تاريخ انتهاء التأمين]]="","",IFERROR(_xlfn.DAYS(Table2[[#This Row],[تاريخ انتهاء التأمين]],TODAY()),""))</f>
        <v>133</v>
      </c>
      <c r="X90" s="42" t="s">
        <v>27</v>
      </c>
      <c r="Y90" s="42" t="s">
        <v>28</v>
      </c>
      <c r="Z90" s="45">
        <v>1180</v>
      </c>
      <c r="AA90" s="46">
        <v>609240</v>
      </c>
      <c r="AB90" s="46" t="s">
        <v>1343</v>
      </c>
      <c r="AC90" s="46" t="s">
        <v>861</v>
      </c>
      <c r="AD90" s="46" t="s">
        <v>938</v>
      </c>
      <c r="AE90" s="47">
        <v>300</v>
      </c>
      <c r="AF90" s="48" t="s">
        <v>1147</v>
      </c>
      <c r="AG90" s="48" t="s">
        <v>861</v>
      </c>
      <c r="AH90" s="48" t="s">
        <v>1149</v>
      </c>
      <c r="AI90" s="90">
        <v>866344055991645</v>
      </c>
      <c r="AJ90" s="89">
        <v>46107</v>
      </c>
      <c r="AK90" s="102">
        <f ca="1">IF(Table2[[#This Row],[تاريخ انتهاء ال GPS]]="","",IFERROR(_xlfn.DAYS(Table2[[#This Row],[تاريخ انتهاء ال GPS]],TODAY()),""))</f>
        <v>-153</v>
      </c>
      <c r="AL90" s="49" t="s">
        <v>1564</v>
      </c>
      <c r="AM90" s="50">
        <v>46621</v>
      </c>
      <c r="AN90" s="51">
        <f ca="1">IF(Table2[[#This Row],[تاريخ انتهاء بطاقة التشغيل]]="","",IFERROR(_xlfn.DAYS(Table2[[#This Row],[تاريخ انتهاء بطاقة التشغيل]],TODAY()),""))</f>
        <v>361</v>
      </c>
      <c r="AO90" s="80">
        <v>46361</v>
      </c>
      <c r="AP90" s="52">
        <f>Table2[[#This Row],[تاريخ انتهاء رخصة السير هجري]]</f>
        <v>46361</v>
      </c>
      <c r="AQ90" s="53">
        <f ca="1">IF(Table2[[#This Row],[تاريخ انتهاء رخصة السير ميلادي]]="","",IFERROR(_xlfn.DAYS(Table2[[#This Row],[تاريخ انتهاء رخصة السير ميلادي]],TODAY()),""))</f>
        <v>101</v>
      </c>
      <c r="AR90" s="55">
        <v>46579</v>
      </c>
      <c r="AS90" s="56">
        <f>Table2[[#This Row],[تاريخ انتهاء الفحص هجري]]</f>
        <v>46579</v>
      </c>
      <c r="AT90" s="106">
        <f ca="1">IF(Table2[[#This Row],[تاريخ انتهاء الفحص ميلادي]]="","",IFERROR(_xlfn.DAYS(Table2[[#This Row],[تاريخ انتهاء الفحص ميلادي]],TODAY()),""))</f>
        <v>319</v>
      </c>
      <c r="AU90" s="54"/>
      <c r="AV90" s="1"/>
      <c r="BE90" s="3"/>
      <c r="BH90" s="1"/>
    </row>
    <row r="91" spans="1:60" x14ac:dyDescent="0.3">
      <c r="A91" s="39" t="s">
        <v>19</v>
      </c>
      <c r="B91" s="39" t="s">
        <v>1183</v>
      </c>
      <c r="C91" s="39" t="s">
        <v>2004</v>
      </c>
      <c r="D91" s="39" t="s">
        <v>17</v>
      </c>
      <c r="E91" s="39" t="s">
        <v>819</v>
      </c>
      <c r="F91" s="40">
        <v>7025667531</v>
      </c>
      <c r="G91" s="41" t="s">
        <v>206</v>
      </c>
      <c r="H91" s="39" t="s">
        <v>207</v>
      </c>
      <c r="I91" s="58">
        <v>431764020</v>
      </c>
      <c r="J91" s="39" t="s">
        <v>20</v>
      </c>
      <c r="K91" s="39" t="s">
        <v>67</v>
      </c>
      <c r="L91" s="39" t="s">
        <v>22</v>
      </c>
      <c r="M91" s="39">
        <v>2024</v>
      </c>
      <c r="N91" s="39" t="s">
        <v>64</v>
      </c>
      <c r="O91" s="39" t="s">
        <v>1853</v>
      </c>
      <c r="P91" s="58">
        <v>2559187386</v>
      </c>
      <c r="Q91" s="39" t="s">
        <v>1640</v>
      </c>
      <c r="R91" s="124">
        <v>45993</v>
      </c>
      <c r="S91" s="124">
        <v>46327</v>
      </c>
      <c r="T91" s="58">
        <f ca="1">IF(Table2[[#This Row],[تاريخ نهاية التفويض]]="","",IFERROR(_xlfn.DAYS(Table2[[#This Row],[تاريخ نهاية التفويض]],TODAY()),""))</f>
        <v>67</v>
      </c>
      <c r="U91" s="42" t="s">
        <v>26</v>
      </c>
      <c r="V91" s="43">
        <v>46393</v>
      </c>
      <c r="W91" s="44">
        <f ca="1">IF(Table2[[#This Row],[تاريخ انتهاء التأمين]]="","",IFERROR(_xlfn.DAYS(Table2[[#This Row],[تاريخ انتهاء التأمين]],TODAY()),""))</f>
        <v>133</v>
      </c>
      <c r="X91" s="42" t="s">
        <v>27</v>
      </c>
      <c r="Y91" s="42" t="s">
        <v>28</v>
      </c>
      <c r="Z91" s="45">
        <v>1180</v>
      </c>
      <c r="AA91" s="46">
        <v>609241</v>
      </c>
      <c r="AB91" s="46" t="s">
        <v>1344</v>
      </c>
      <c r="AC91" s="46" t="s">
        <v>861</v>
      </c>
      <c r="AD91" s="46" t="s">
        <v>938</v>
      </c>
      <c r="AE91" s="47">
        <v>300</v>
      </c>
      <c r="AF91" s="48" t="s">
        <v>1147</v>
      </c>
      <c r="AG91" s="48" t="s">
        <v>861</v>
      </c>
      <c r="AH91" s="48" t="s">
        <v>1149</v>
      </c>
      <c r="AI91" s="90">
        <v>864454079675256</v>
      </c>
      <c r="AJ91" s="89">
        <v>46121</v>
      </c>
      <c r="AK91" s="102">
        <f ca="1">IF(Table2[[#This Row],[تاريخ انتهاء ال GPS]]="","",IFERROR(_xlfn.DAYS(Table2[[#This Row],[تاريخ انتهاء ال GPS]],TODAY()),""))</f>
        <v>-139</v>
      </c>
      <c r="AL91" s="49" t="s">
        <v>1565</v>
      </c>
      <c r="AM91" s="50">
        <v>46621</v>
      </c>
      <c r="AN91" s="51">
        <f ca="1">IF(Table2[[#This Row],[تاريخ انتهاء بطاقة التشغيل]]="","",IFERROR(_xlfn.DAYS(Table2[[#This Row],[تاريخ انتهاء بطاقة التشغيل]],TODAY()),""))</f>
        <v>361</v>
      </c>
      <c r="AO91" s="80">
        <v>46361</v>
      </c>
      <c r="AP91" s="52">
        <f>Table2[[#This Row],[تاريخ انتهاء رخصة السير هجري]]</f>
        <v>46361</v>
      </c>
      <c r="AQ91" s="53">
        <f ca="1">IF(Table2[[#This Row],[تاريخ انتهاء رخصة السير ميلادي]]="","",IFERROR(_xlfn.DAYS(Table2[[#This Row],[تاريخ انتهاء رخصة السير ميلادي]],TODAY()),""))</f>
        <v>101</v>
      </c>
      <c r="AR91" s="55">
        <v>46394</v>
      </c>
      <c r="AS91" s="56">
        <f>Table2[[#This Row],[تاريخ انتهاء الفحص هجري]]</f>
        <v>46394</v>
      </c>
      <c r="AT91" s="106">
        <f ca="1">IF(Table2[[#This Row],[تاريخ انتهاء الفحص ميلادي]]="","",IFERROR(_xlfn.DAYS(Table2[[#This Row],[تاريخ انتهاء الفحص ميلادي]],TODAY()),""))</f>
        <v>134</v>
      </c>
      <c r="AU91" s="54"/>
      <c r="AV91" s="1"/>
      <c r="BE91" s="3"/>
      <c r="BH91" s="1"/>
    </row>
    <row r="92" spans="1:60" x14ac:dyDescent="0.3">
      <c r="A92" s="39" t="s">
        <v>19</v>
      </c>
      <c r="B92" s="39" t="s">
        <v>1183</v>
      </c>
      <c r="C92" s="39" t="s">
        <v>2004</v>
      </c>
      <c r="D92" s="39" t="s">
        <v>17</v>
      </c>
      <c r="E92" s="39" t="s">
        <v>819</v>
      </c>
      <c r="F92" s="40">
        <v>7025667531</v>
      </c>
      <c r="G92" s="41" t="s">
        <v>208</v>
      </c>
      <c r="H92" s="39" t="s">
        <v>209</v>
      </c>
      <c r="I92" s="58">
        <v>921764020</v>
      </c>
      <c r="J92" s="39" t="s">
        <v>20</v>
      </c>
      <c r="K92" s="39" t="s">
        <v>67</v>
      </c>
      <c r="L92" s="39" t="s">
        <v>22</v>
      </c>
      <c r="M92" s="39">
        <v>2024</v>
      </c>
      <c r="N92" s="39" t="s">
        <v>64</v>
      </c>
      <c r="O92" s="39" t="s">
        <v>1854</v>
      </c>
      <c r="P92" s="58">
        <v>2566744484</v>
      </c>
      <c r="Q92" s="39" t="s">
        <v>1641</v>
      </c>
      <c r="R92" s="124">
        <v>45993</v>
      </c>
      <c r="S92" s="124">
        <v>46327</v>
      </c>
      <c r="T92" s="58">
        <f ca="1">IF(Table2[[#This Row],[تاريخ نهاية التفويض]]="","",IFERROR(_xlfn.DAYS(Table2[[#This Row],[تاريخ نهاية التفويض]],TODAY()),""))</f>
        <v>67</v>
      </c>
      <c r="U92" s="42" t="s">
        <v>26</v>
      </c>
      <c r="V92" s="43">
        <v>46393</v>
      </c>
      <c r="W92" s="44">
        <f ca="1">IF(Table2[[#This Row],[تاريخ انتهاء التأمين]]="","",IFERROR(_xlfn.DAYS(Table2[[#This Row],[تاريخ انتهاء التأمين]],TODAY()),""))</f>
        <v>133</v>
      </c>
      <c r="X92" s="42" t="s">
        <v>27</v>
      </c>
      <c r="Y92" s="42" t="s">
        <v>28</v>
      </c>
      <c r="Z92" s="45">
        <v>1180</v>
      </c>
      <c r="AA92" s="46">
        <v>609215</v>
      </c>
      <c r="AB92" s="46" t="s">
        <v>1345</v>
      </c>
      <c r="AC92" s="46" t="s">
        <v>861</v>
      </c>
      <c r="AD92" s="46" t="s">
        <v>938</v>
      </c>
      <c r="AE92" s="47">
        <v>300</v>
      </c>
      <c r="AF92" s="48" t="s">
        <v>1147</v>
      </c>
      <c r="AG92" s="48" t="s">
        <v>861</v>
      </c>
      <c r="AH92" s="48" t="s">
        <v>1149</v>
      </c>
      <c r="AI92" s="90">
        <v>866069064811191</v>
      </c>
      <c r="AJ92" s="89">
        <v>46107</v>
      </c>
      <c r="AK92" s="102">
        <f ca="1">IF(Table2[[#This Row],[تاريخ انتهاء ال GPS]]="","",IFERROR(_xlfn.DAYS(Table2[[#This Row],[تاريخ انتهاء ال GPS]],TODAY()),""))</f>
        <v>-153</v>
      </c>
      <c r="AL92" s="49" t="s">
        <v>1566</v>
      </c>
      <c r="AM92" s="50">
        <v>46621</v>
      </c>
      <c r="AN92" s="51">
        <f ca="1">IF(Table2[[#This Row],[تاريخ انتهاء بطاقة التشغيل]]="","",IFERROR(_xlfn.DAYS(Table2[[#This Row],[تاريخ انتهاء بطاقة التشغيل]],TODAY()),""))</f>
        <v>361</v>
      </c>
      <c r="AO92" s="80">
        <v>46361</v>
      </c>
      <c r="AP92" s="52">
        <f>Table2[[#This Row],[تاريخ انتهاء رخصة السير هجري]]</f>
        <v>46361</v>
      </c>
      <c r="AQ92" s="53">
        <f ca="1">IF(Table2[[#This Row],[تاريخ انتهاء رخصة السير ميلادي]]="","",IFERROR(_xlfn.DAYS(Table2[[#This Row],[تاريخ انتهاء رخصة السير ميلادي]],TODAY()),""))</f>
        <v>101</v>
      </c>
      <c r="AR92" s="55">
        <v>46395</v>
      </c>
      <c r="AS92" s="56">
        <f>Table2[[#This Row],[تاريخ انتهاء الفحص هجري]]</f>
        <v>46395</v>
      </c>
      <c r="AT92" s="106">
        <f ca="1">IF(Table2[[#This Row],[تاريخ انتهاء الفحص ميلادي]]="","",IFERROR(_xlfn.DAYS(Table2[[#This Row],[تاريخ انتهاء الفحص ميلادي]],TODAY()),""))</f>
        <v>135</v>
      </c>
      <c r="AU92" s="54"/>
      <c r="AV92" s="1"/>
      <c r="BE92" s="3"/>
      <c r="BH92" s="1"/>
    </row>
    <row r="93" spans="1:60" x14ac:dyDescent="0.3">
      <c r="A93" s="39" t="s">
        <v>19</v>
      </c>
      <c r="B93" s="39" t="s">
        <v>1193</v>
      </c>
      <c r="C93" s="39" t="s">
        <v>1193</v>
      </c>
      <c r="D93" s="39" t="s">
        <v>17</v>
      </c>
      <c r="E93" s="39" t="s">
        <v>819</v>
      </c>
      <c r="F93" s="40">
        <v>7025667531</v>
      </c>
      <c r="G93" s="41" t="s">
        <v>210</v>
      </c>
      <c r="H93" s="39" t="s">
        <v>211</v>
      </c>
      <c r="I93" s="58">
        <v>621764020</v>
      </c>
      <c r="J93" s="39" t="s">
        <v>20</v>
      </c>
      <c r="K93" s="39" t="s">
        <v>67</v>
      </c>
      <c r="L93" s="39" t="s">
        <v>22</v>
      </c>
      <c r="M93" s="39">
        <v>2024</v>
      </c>
      <c r="N93" s="39" t="s">
        <v>64</v>
      </c>
      <c r="O93" s="39" t="s">
        <v>1137</v>
      </c>
      <c r="P93" s="39" t="s">
        <v>1137</v>
      </c>
      <c r="Q93" s="39" t="s">
        <v>1137</v>
      </c>
      <c r="R93" s="124" t="s">
        <v>1137</v>
      </c>
      <c r="S93" s="124" t="s">
        <v>1137</v>
      </c>
      <c r="T93" s="124" t="s">
        <v>1137</v>
      </c>
      <c r="U93" s="42" t="s">
        <v>26</v>
      </c>
      <c r="V93" s="43">
        <v>46393</v>
      </c>
      <c r="W93" s="44">
        <f ca="1">IF(Table2[[#This Row],[تاريخ انتهاء التأمين]]="","",IFERROR(_xlfn.DAYS(Table2[[#This Row],[تاريخ انتهاء التأمين]],TODAY()),""))</f>
        <v>133</v>
      </c>
      <c r="X93" s="42" t="s">
        <v>27</v>
      </c>
      <c r="Y93" s="42" t="s">
        <v>28</v>
      </c>
      <c r="Z93" s="45">
        <v>1180</v>
      </c>
      <c r="AA93" s="46">
        <v>609228</v>
      </c>
      <c r="AB93" s="46" t="s">
        <v>1346</v>
      </c>
      <c r="AC93" s="46" t="s">
        <v>861</v>
      </c>
      <c r="AD93" s="46" t="s">
        <v>938</v>
      </c>
      <c r="AE93" s="47">
        <v>300</v>
      </c>
      <c r="AF93" s="48" t="s">
        <v>1147</v>
      </c>
      <c r="AG93" s="48" t="s">
        <v>861</v>
      </c>
      <c r="AH93" s="48" t="s">
        <v>1149</v>
      </c>
      <c r="AI93" s="90">
        <v>866069063488736</v>
      </c>
      <c r="AJ93" s="89">
        <v>46107</v>
      </c>
      <c r="AK93" s="102">
        <f ca="1">IF(Table2[[#This Row],[تاريخ انتهاء ال GPS]]="","",IFERROR(_xlfn.DAYS(Table2[[#This Row],[تاريخ انتهاء ال GPS]],TODAY()),""))</f>
        <v>-153</v>
      </c>
      <c r="AL93" s="49" t="s">
        <v>1052</v>
      </c>
      <c r="AM93" s="50">
        <v>46266</v>
      </c>
      <c r="AN93" s="51">
        <f ca="1">IF(Table2[[#This Row],[تاريخ انتهاء بطاقة التشغيل]]="","",IFERROR(_xlfn.DAYS(Table2[[#This Row],[تاريخ انتهاء بطاقة التشغيل]],TODAY()),""))</f>
        <v>6</v>
      </c>
      <c r="AO93" s="80">
        <v>46361</v>
      </c>
      <c r="AP93" s="52">
        <f>Table2[[#This Row],[تاريخ انتهاء رخصة السير هجري]]</f>
        <v>46361</v>
      </c>
      <c r="AQ93" s="53">
        <f ca="1">IF(Table2[[#This Row],[تاريخ انتهاء رخصة السير ميلادي]]="","",IFERROR(_xlfn.DAYS(Table2[[#This Row],[تاريخ انتهاء رخصة السير ميلادي]],TODAY()),""))</f>
        <v>101</v>
      </c>
      <c r="AR93" s="55">
        <v>46392</v>
      </c>
      <c r="AS93" s="56">
        <f>Table2[[#This Row],[تاريخ انتهاء الفحص هجري]]</f>
        <v>46392</v>
      </c>
      <c r="AT93" s="106">
        <f ca="1">IF(Table2[[#This Row],[تاريخ انتهاء الفحص ميلادي]]="","",IFERROR(_xlfn.DAYS(Table2[[#This Row],[تاريخ انتهاء الفحص ميلادي]],TODAY()),""))</f>
        <v>132</v>
      </c>
      <c r="AU93" s="54"/>
      <c r="AV93" s="1"/>
      <c r="BE93" s="3"/>
      <c r="BH93" s="1"/>
    </row>
    <row r="94" spans="1:60" x14ac:dyDescent="0.3">
      <c r="A94" s="39" t="s">
        <v>19</v>
      </c>
      <c r="B94" s="39" t="s">
        <v>1193</v>
      </c>
      <c r="C94" s="39" t="s">
        <v>1193</v>
      </c>
      <c r="D94" s="39" t="s">
        <v>17</v>
      </c>
      <c r="E94" s="39" t="s">
        <v>819</v>
      </c>
      <c r="F94" s="40">
        <v>7025667531</v>
      </c>
      <c r="G94" s="41" t="s">
        <v>212</v>
      </c>
      <c r="H94" s="39" t="s">
        <v>213</v>
      </c>
      <c r="I94" s="58">
        <v>399864020</v>
      </c>
      <c r="J94" s="39" t="s">
        <v>20</v>
      </c>
      <c r="K94" s="39" t="s">
        <v>67</v>
      </c>
      <c r="L94" s="39" t="s">
        <v>22</v>
      </c>
      <c r="M94" s="39">
        <v>2024</v>
      </c>
      <c r="N94" s="39" t="s">
        <v>64</v>
      </c>
      <c r="O94" s="39" t="s">
        <v>1137</v>
      </c>
      <c r="P94" s="39" t="s">
        <v>1137</v>
      </c>
      <c r="Q94" s="39" t="s">
        <v>1137</v>
      </c>
      <c r="R94" s="124" t="s">
        <v>1137</v>
      </c>
      <c r="S94" s="124" t="s">
        <v>1137</v>
      </c>
      <c r="T94" s="124" t="s">
        <v>1137</v>
      </c>
      <c r="U94" s="42" t="s">
        <v>26</v>
      </c>
      <c r="V94" s="43">
        <v>46393</v>
      </c>
      <c r="W94" s="44">
        <f ca="1">IF(Table2[[#This Row],[تاريخ انتهاء التأمين]]="","",IFERROR(_xlfn.DAYS(Table2[[#This Row],[تاريخ انتهاء التأمين]],TODAY()),""))</f>
        <v>133</v>
      </c>
      <c r="X94" s="42" t="s">
        <v>27</v>
      </c>
      <c r="Y94" s="42" t="s">
        <v>28</v>
      </c>
      <c r="Z94" s="45">
        <v>1180</v>
      </c>
      <c r="AA94" s="46">
        <v>609222</v>
      </c>
      <c r="AB94" s="46" t="s">
        <v>1347</v>
      </c>
      <c r="AC94" s="46" t="s">
        <v>861</v>
      </c>
      <c r="AD94" s="46" t="s">
        <v>938</v>
      </c>
      <c r="AE94" s="47">
        <v>300</v>
      </c>
      <c r="AF94" s="48" t="s">
        <v>1147</v>
      </c>
      <c r="AG94" s="48" t="s">
        <v>861</v>
      </c>
      <c r="AH94" s="48" t="s">
        <v>1149</v>
      </c>
      <c r="AI94" s="90">
        <v>867747078730940</v>
      </c>
      <c r="AJ94" s="89">
        <v>46139</v>
      </c>
      <c r="AK94" s="102">
        <f ca="1">IF(Table2[[#This Row],[تاريخ انتهاء ال GPS]]="","",IFERROR(_xlfn.DAYS(Table2[[#This Row],[تاريخ انتهاء ال GPS]],TODAY()),""))</f>
        <v>-121</v>
      </c>
      <c r="AL94" s="49" t="s">
        <v>1053</v>
      </c>
      <c r="AM94" s="50">
        <v>46266</v>
      </c>
      <c r="AN94" s="51">
        <f ca="1">IF(Table2[[#This Row],[تاريخ انتهاء بطاقة التشغيل]]="","",IFERROR(_xlfn.DAYS(Table2[[#This Row],[تاريخ انتهاء بطاقة التشغيل]],TODAY()),""))</f>
        <v>6</v>
      </c>
      <c r="AO94" s="80">
        <v>46362</v>
      </c>
      <c r="AP94" s="52">
        <f>Table2[[#This Row],[تاريخ انتهاء رخصة السير هجري]]</f>
        <v>46362</v>
      </c>
      <c r="AQ94" s="53">
        <f ca="1">IF(Table2[[#This Row],[تاريخ انتهاء رخصة السير ميلادي]]="","",IFERROR(_xlfn.DAYS(Table2[[#This Row],[تاريخ انتهاء رخصة السير ميلادي]],TODAY()),""))</f>
        <v>102</v>
      </c>
      <c r="AR94" s="55">
        <f>Table2[[#This Row],[تاريخ انتهاء الفحص ميلادي]]</f>
        <v>46022</v>
      </c>
      <c r="AS94" s="56">
        <v>46022</v>
      </c>
      <c r="AT94" s="106">
        <f ca="1">IF(Table2[[#This Row],[تاريخ انتهاء الفحص ميلادي]]="","",IFERROR(_xlfn.DAYS(Table2[[#This Row],[تاريخ انتهاء الفحص ميلادي]],TODAY()),""))</f>
        <v>-238</v>
      </c>
      <c r="AU94" s="54"/>
      <c r="AV94" s="1"/>
      <c r="BE94" s="3"/>
      <c r="BH94" s="1"/>
    </row>
    <row r="95" spans="1:60" x14ac:dyDescent="0.3">
      <c r="A95" s="39" t="s">
        <v>19</v>
      </c>
      <c r="B95" s="39" t="s">
        <v>1183</v>
      </c>
      <c r="C95" s="39" t="s">
        <v>2004</v>
      </c>
      <c r="D95" s="39" t="s">
        <v>17</v>
      </c>
      <c r="E95" s="39" t="s">
        <v>819</v>
      </c>
      <c r="F95" s="40">
        <v>7025667531</v>
      </c>
      <c r="G95" s="41" t="s">
        <v>214</v>
      </c>
      <c r="H95" s="39" t="s">
        <v>215</v>
      </c>
      <c r="I95" s="58">
        <v>911764020</v>
      </c>
      <c r="J95" s="39" t="s">
        <v>20</v>
      </c>
      <c r="K95" s="39" t="s">
        <v>67</v>
      </c>
      <c r="L95" s="39" t="s">
        <v>22</v>
      </c>
      <c r="M95" s="39">
        <v>2024</v>
      </c>
      <c r="N95" s="39" t="s">
        <v>64</v>
      </c>
      <c r="O95" s="39" t="s">
        <v>1855</v>
      </c>
      <c r="P95" s="58">
        <v>2555618590</v>
      </c>
      <c r="Q95" s="39" t="s">
        <v>1642</v>
      </c>
      <c r="R95" s="124">
        <v>46212</v>
      </c>
      <c r="S95" s="124">
        <v>46387</v>
      </c>
      <c r="T95" s="58">
        <f ca="1">IF(Table2[[#This Row],[تاريخ نهاية التفويض]]="","",IFERROR(_xlfn.DAYS(Table2[[#This Row],[تاريخ نهاية التفويض]],TODAY()),""))</f>
        <v>127</v>
      </c>
      <c r="U95" s="42" t="s">
        <v>26</v>
      </c>
      <c r="V95" s="43">
        <v>46393</v>
      </c>
      <c r="W95" s="44">
        <f ca="1">IF(Table2[[#This Row],[تاريخ انتهاء التأمين]]="","",IFERROR(_xlfn.DAYS(Table2[[#This Row],[تاريخ انتهاء التأمين]],TODAY()),""))</f>
        <v>133</v>
      </c>
      <c r="X95" s="42" t="s">
        <v>27</v>
      </c>
      <c r="Y95" s="42" t="s">
        <v>28</v>
      </c>
      <c r="Z95" s="45">
        <v>1180</v>
      </c>
      <c r="AA95" s="46">
        <v>609217</v>
      </c>
      <c r="AB95" s="46" t="s">
        <v>1348</v>
      </c>
      <c r="AC95" s="46" t="s">
        <v>861</v>
      </c>
      <c r="AD95" s="46" t="s">
        <v>938</v>
      </c>
      <c r="AE95" s="47">
        <v>300</v>
      </c>
      <c r="AF95" s="48" t="s">
        <v>1147</v>
      </c>
      <c r="AG95" s="48" t="s">
        <v>1173</v>
      </c>
      <c r="AH95" s="48" t="s">
        <v>1149</v>
      </c>
      <c r="AI95" s="90">
        <v>867747071418980</v>
      </c>
      <c r="AJ95" s="89">
        <v>46109</v>
      </c>
      <c r="AK95" s="102">
        <f ca="1">IF(Table2[[#This Row],[تاريخ انتهاء ال GPS]]="","",IFERROR(_xlfn.DAYS(Table2[[#This Row],[تاريخ انتهاء ال GPS]],TODAY()),""))</f>
        <v>-151</v>
      </c>
      <c r="AL95" s="49" t="s">
        <v>1054</v>
      </c>
      <c r="AM95" s="50">
        <v>46266</v>
      </c>
      <c r="AN95" s="51">
        <f ca="1">IF(Table2[[#This Row],[تاريخ انتهاء بطاقة التشغيل]]="","",IFERROR(_xlfn.DAYS(Table2[[#This Row],[تاريخ انتهاء بطاقة التشغيل]],TODAY()),""))</f>
        <v>6</v>
      </c>
      <c r="AO95" s="80">
        <v>46361</v>
      </c>
      <c r="AP95" s="52">
        <f>Table2[[#This Row],[تاريخ انتهاء رخصة السير هجري]]</f>
        <v>46361</v>
      </c>
      <c r="AQ95" s="53">
        <f ca="1">IF(Table2[[#This Row],[تاريخ انتهاء رخصة السير ميلادي]]="","",IFERROR(_xlfn.DAYS(Table2[[#This Row],[تاريخ انتهاء رخصة السير ميلادي]],TODAY()),""))</f>
        <v>101</v>
      </c>
      <c r="AR95" s="55">
        <v>46393</v>
      </c>
      <c r="AS95" s="56">
        <f>Table2[[#This Row],[تاريخ انتهاء الفحص هجري]]</f>
        <v>46393</v>
      </c>
      <c r="AT95" s="106">
        <f ca="1">IF(Table2[[#This Row],[تاريخ انتهاء الفحص ميلادي]]="","",IFERROR(_xlfn.DAYS(Table2[[#This Row],[تاريخ انتهاء الفحص ميلادي]],TODAY()),""))</f>
        <v>133</v>
      </c>
      <c r="AU95" s="54"/>
      <c r="AV95" s="1"/>
      <c r="BE95" s="3"/>
      <c r="BH95" s="1"/>
    </row>
    <row r="96" spans="1:60" x14ac:dyDescent="0.3">
      <c r="A96" s="39" t="s">
        <v>19</v>
      </c>
      <c r="B96" s="39" t="s">
        <v>1193</v>
      </c>
      <c r="C96" s="39" t="s">
        <v>1193</v>
      </c>
      <c r="D96" s="39" t="s">
        <v>17</v>
      </c>
      <c r="E96" s="39" t="s">
        <v>819</v>
      </c>
      <c r="F96" s="40">
        <v>7025667531</v>
      </c>
      <c r="G96" s="41" t="s">
        <v>216</v>
      </c>
      <c r="H96" s="39" t="s">
        <v>217</v>
      </c>
      <c r="I96" s="58">
        <v>411764020</v>
      </c>
      <c r="J96" s="39" t="s">
        <v>20</v>
      </c>
      <c r="K96" s="39" t="s">
        <v>67</v>
      </c>
      <c r="L96" s="39" t="s">
        <v>22</v>
      </c>
      <c r="M96" s="39">
        <v>2024</v>
      </c>
      <c r="N96" s="39" t="s">
        <v>64</v>
      </c>
      <c r="O96" s="39" t="s">
        <v>1137</v>
      </c>
      <c r="P96" s="39" t="s">
        <v>1137</v>
      </c>
      <c r="Q96" s="39" t="s">
        <v>1137</v>
      </c>
      <c r="R96" s="124" t="s">
        <v>1137</v>
      </c>
      <c r="S96" s="124" t="s">
        <v>1137</v>
      </c>
      <c r="T96" s="124" t="s">
        <v>1137</v>
      </c>
      <c r="U96" s="42" t="s">
        <v>26</v>
      </c>
      <c r="V96" s="43">
        <v>46393</v>
      </c>
      <c r="W96" s="44">
        <f ca="1">IF(Table2[[#This Row],[تاريخ انتهاء التأمين]]="","",IFERROR(_xlfn.DAYS(Table2[[#This Row],[تاريخ انتهاء التأمين]],TODAY()),""))</f>
        <v>133</v>
      </c>
      <c r="X96" s="42" t="s">
        <v>27</v>
      </c>
      <c r="Y96" s="42" t="s">
        <v>28</v>
      </c>
      <c r="Z96" s="45">
        <v>1180</v>
      </c>
      <c r="AA96" s="46">
        <v>609229</v>
      </c>
      <c r="AB96" s="46" t="s">
        <v>1349</v>
      </c>
      <c r="AC96" s="46" t="s">
        <v>861</v>
      </c>
      <c r="AD96" s="46" t="s">
        <v>938</v>
      </c>
      <c r="AE96" s="47">
        <v>300</v>
      </c>
      <c r="AF96" s="48" t="s">
        <v>1147</v>
      </c>
      <c r="AG96" s="48" t="s">
        <v>1173</v>
      </c>
      <c r="AH96" s="48" t="s">
        <v>1149</v>
      </c>
      <c r="AI96" s="90">
        <v>864454078051467</v>
      </c>
      <c r="AJ96" s="89">
        <v>46127</v>
      </c>
      <c r="AK96" s="102">
        <f ca="1">IF(Table2[[#This Row],[تاريخ انتهاء ال GPS]]="","",IFERROR(_xlfn.DAYS(Table2[[#This Row],[تاريخ انتهاء ال GPS]],TODAY()),""))</f>
        <v>-133</v>
      </c>
      <c r="AL96" s="49" t="s">
        <v>1055</v>
      </c>
      <c r="AM96" s="50">
        <v>46266</v>
      </c>
      <c r="AN96" s="51">
        <f ca="1">IF(Table2[[#This Row],[تاريخ انتهاء بطاقة التشغيل]]="","",IFERROR(_xlfn.DAYS(Table2[[#This Row],[تاريخ انتهاء بطاقة التشغيل]],TODAY()),""))</f>
        <v>6</v>
      </c>
      <c r="AO96" s="80">
        <v>46361</v>
      </c>
      <c r="AP96" s="52">
        <f>Table2[[#This Row],[تاريخ انتهاء رخصة السير هجري]]</f>
        <v>46361</v>
      </c>
      <c r="AQ96" s="53">
        <f ca="1">IF(Table2[[#This Row],[تاريخ انتهاء رخصة السير ميلادي]]="","",IFERROR(_xlfn.DAYS(Table2[[#This Row],[تاريخ انتهاء رخصة السير ميلادي]],TODAY()),""))</f>
        <v>101</v>
      </c>
      <c r="AR96" s="55">
        <v>46400</v>
      </c>
      <c r="AS96" s="56">
        <f>Table2[[#This Row],[تاريخ انتهاء الفحص هجري]]</f>
        <v>46400</v>
      </c>
      <c r="AT96" s="106">
        <f ca="1">IF(Table2[[#This Row],[تاريخ انتهاء الفحص ميلادي]]="","",IFERROR(_xlfn.DAYS(Table2[[#This Row],[تاريخ انتهاء الفحص ميلادي]],TODAY()),""))</f>
        <v>140</v>
      </c>
      <c r="AU96" s="54"/>
      <c r="AV96" s="1"/>
      <c r="BE96" s="3"/>
      <c r="BH96" s="1"/>
    </row>
    <row r="97" spans="1:60" x14ac:dyDescent="0.3">
      <c r="A97" s="39" t="s">
        <v>19</v>
      </c>
      <c r="B97" s="39" t="s">
        <v>1193</v>
      </c>
      <c r="C97" s="39" t="s">
        <v>1193</v>
      </c>
      <c r="D97" s="39" t="s">
        <v>17</v>
      </c>
      <c r="E97" s="39" t="s">
        <v>819</v>
      </c>
      <c r="F97" s="40">
        <v>7025667531</v>
      </c>
      <c r="G97" s="41" t="s">
        <v>218</v>
      </c>
      <c r="H97" s="39" t="s">
        <v>219</v>
      </c>
      <c r="I97" s="58">
        <v>674384020</v>
      </c>
      <c r="J97" s="39" t="s">
        <v>20</v>
      </c>
      <c r="K97" s="39" t="s">
        <v>67</v>
      </c>
      <c r="L97" s="39" t="s">
        <v>22</v>
      </c>
      <c r="M97" s="39">
        <v>2024</v>
      </c>
      <c r="N97" s="39" t="s">
        <v>64</v>
      </c>
      <c r="O97" s="39" t="s">
        <v>1137</v>
      </c>
      <c r="P97" s="39" t="s">
        <v>1137</v>
      </c>
      <c r="Q97" s="39" t="s">
        <v>1137</v>
      </c>
      <c r="R97" s="124" t="s">
        <v>1137</v>
      </c>
      <c r="S97" s="124" t="s">
        <v>1137</v>
      </c>
      <c r="T97" s="124" t="s">
        <v>1137</v>
      </c>
      <c r="U97" s="42" t="s">
        <v>26</v>
      </c>
      <c r="V97" s="43">
        <v>46393</v>
      </c>
      <c r="W97" s="44">
        <f ca="1">IF(Table2[[#This Row],[تاريخ انتهاء التأمين]]="","",IFERROR(_xlfn.DAYS(Table2[[#This Row],[تاريخ انتهاء التأمين]],TODAY()),""))</f>
        <v>133</v>
      </c>
      <c r="X97" s="42" t="s">
        <v>27</v>
      </c>
      <c r="Y97" s="42" t="s">
        <v>28</v>
      </c>
      <c r="Z97" s="45">
        <v>1180</v>
      </c>
      <c r="AA97" s="46">
        <v>609268</v>
      </c>
      <c r="AB97" s="46" t="s">
        <v>1350</v>
      </c>
      <c r="AC97" s="46" t="s">
        <v>861</v>
      </c>
      <c r="AD97" s="46" t="s">
        <v>938</v>
      </c>
      <c r="AE97" s="47">
        <v>300</v>
      </c>
      <c r="AF97" s="48" t="s">
        <v>1147</v>
      </c>
      <c r="AG97" s="48" t="s">
        <v>861</v>
      </c>
      <c r="AH97" s="48" t="s">
        <v>1149</v>
      </c>
      <c r="AI97" s="90">
        <v>866069063471138</v>
      </c>
      <c r="AJ97" s="89">
        <v>46107</v>
      </c>
      <c r="AK97" s="102">
        <f ca="1">IF(Table2[[#This Row],[تاريخ انتهاء ال GPS]]="","",IFERROR(_xlfn.DAYS(Table2[[#This Row],[تاريخ انتهاء ال GPS]],TODAY()),""))</f>
        <v>-153</v>
      </c>
      <c r="AL97" s="49" t="s">
        <v>1056</v>
      </c>
      <c r="AM97" s="50">
        <v>46266</v>
      </c>
      <c r="AN97" s="51">
        <f ca="1">IF(Table2[[#This Row],[تاريخ انتهاء بطاقة التشغيل]]="","",IFERROR(_xlfn.DAYS(Table2[[#This Row],[تاريخ انتهاء بطاقة التشغيل]],TODAY()),""))</f>
        <v>6</v>
      </c>
      <c r="AO97" s="80">
        <v>46367</v>
      </c>
      <c r="AP97" s="52">
        <f>Table2[[#This Row],[تاريخ انتهاء رخصة السير هجري]]</f>
        <v>46367</v>
      </c>
      <c r="AQ97" s="53">
        <f ca="1">IF(Table2[[#This Row],[تاريخ انتهاء رخصة السير ميلادي]]="","",IFERROR(_xlfn.DAYS(Table2[[#This Row],[تاريخ انتهاء رخصة السير ميلادي]],TODAY()),""))</f>
        <v>107</v>
      </c>
      <c r="AR97" s="55">
        <v>46393</v>
      </c>
      <c r="AS97" s="56">
        <f>Table2[[#This Row],[تاريخ انتهاء الفحص هجري]]</f>
        <v>46393</v>
      </c>
      <c r="AT97" s="106">
        <f ca="1">IF(Table2[[#This Row],[تاريخ انتهاء الفحص ميلادي]]="","",IFERROR(_xlfn.DAYS(Table2[[#This Row],[تاريخ انتهاء الفحص ميلادي]],TODAY()),""))</f>
        <v>133</v>
      </c>
      <c r="AU97" s="54"/>
      <c r="AV97" s="1"/>
      <c r="BE97" s="3"/>
      <c r="BH97" s="1"/>
    </row>
    <row r="98" spans="1:60" x14ac:dyDescent="0.3">
      <c r="A98" s="39" t="s">
        <v>19</v>
      </c>
      <c r="B98" s="39" t="s">
        <v>2000</v>
      </c>
      <c r="C98" s="39" t="s">
        <v>1187</v>
      </c>
      <c r="D98" s="39" t="s">
        <v>17</v>
      </c>
      <c r="E98" s="39" t="s">
        <v>819</v>
      </c>
      <c r="F98" s="40">
        <v>7025667531</v>
      </c>
      <c r="G98" s="41" t="s">
        <v>220</v>
      </c>
      <c r="H98" s="39" t="s">
        <v>221</v>
      </c>
      <c r="I98" s="58">
        <v>684384020</v>
      </c>
      <c r="J98" s="39" t="s">
        <v>20</v>
      </c>
      <c r="K98" s="39" t="s">
        <v>67</v>
      </c>
      <c r="L98" s="39" t="s">
        <v>22</v>
      </c>
      <c r="M98" s="39">
        <v>2024</v>
      </c>
      <c r="N98" s="39" t="s">
        <v>64</v>
      </c>
      <c r="O98" s="39" t="s">
        <v>1856</v>
      </c>
      <c r="P98" s="58">
        <v>2577457951</v>
      </c>
      <c r="Q98" s="39" t="s">
        <v>1643</v>
      </c>
      <c r="R98" s="124">
        <v>46217</v>
      </c>
      <c r="S98" s="124">
        <v>46387</v>
      </c>
      <c r="T98" s="58">
        <f ca="1">IF(Table2[[#This Row],[تاريخ نهاية التفويض]]="","",IFERROR(_xlfn.DAYS(Table2[[#This Row],[تاريخ نهاية التفويض]],TODAY()),""))</f>
        <v>127</v>
      </c>
      <c r="U98" s="42" t="s">
        <v>26</v>
      </c>
      <c r="V98" s="43">
        <v>46393</v>
      </c>
      <c r="W98" s="44">
        <f ca="1">IF(Table2[[#This Row],[تاريخ انتهاء التأمين]]="","",IFERROR(_xlfn.DAYS(Table2[[#This Row],[تاريخ انتهاء التأمين]],TODAY()),""))</f>
        <v>133</v>
      </c>
      <c r="X98" s="42" t="s">
        <v>27</v>
      </c>
      <c r="Y98" s="42" t="s">
        <v>28</v>
      </c>
      <c r="Z98" s="45">
        <v>1180</v>
      </c>
      <c r="AA98" s="46">
        <v>609270</v>
      </c>
      <c r="AB98" s="46" t="s">
        <v>1351</v>
      </c>
      <c r="AC98" s="46" t="s">
        <v>861</v>
      </c>
      <c r="AD98" s="46" t="s">
        <v>938</v>
      </c>
      <c r="AE98" s="47">
        <v>300</v>
      </c>
      <c r="AF98" s="48" t="s">
        <v>1147</v>
      </c>
      <c r="AG98" s="48" t="s">
        <v>861</v>
      </c>
      <c r="AH98" s="48" t="s">
        <v>1149</v>
      </c>
      <c r="AI98" s="90">
        <v>867747074929157</v>
      </c>
      <c r="AJ98" s="89">
        <v>46119</v>
      </c>
      <c r="AK98" s="102">
        <f ca="1">IF(Table2[[#This Row],[تاريخ انتهاء ال GPS]]="","",IFERROR(_xlfn.DAYS(Table2[[#This Row],[تاريخ انتهاء ال GPS]],TODAY()),""))</f>
        <v>-141</v>
      </c>
      <c r="AL98" s="49" t="s">
        <v>1567</v>
      </c>
      <c r="AM98" s="50">
        <v>46621</v>
      </c>
      <c r="AN98" s="51">
        <f ca="1">IF(Table2[[#This Row],[تاريخ انتهاء بطاقة التشغيل]]="","",IFERROR(_xlfn.DAYS(Table2[[#This Row],[تاريخ انتهاء بطاقة التشغيل]],TODAY()),""))</f>
        <v>361</v>
      </c>
      <c r="AO98" s="80">
        <v>46367</v>
      </c>
      <c r="AP98" s="52">
        <f>Table2[[#This Row],[تاريخ انتهاء رخصة السير هجري]]</f>
        <v>46367</v>
      </c>
      <c r="AQ98" s="53">
        <f ca="1">IF(Table2[[#This Row],[تاريخ انتهاء رخصة السير ميلادي]]="","",IFERROR(_xlfn.DAYS(Table2[[#This Row],[تاريخ انتهاء رخصة السير ميلادي]],TODAY()),""))</f>
        <v>107</v>
      </c>
      <c r="AR98" s="55">
        <v>46568</v>
      </c>
      <c r="AS98" s="56">
        <f>Table2[[#This Row],[تاريخ انتهاء الفحص هجري]]</f>
        <v>46568</v>
      </c>
      <c r="AT98" s="106">
        <f ca="1">IF(Table2[[#This Row],[تاريخ انتهاء الفحص ميلادي]]="","",IFERROR(_xlfn.DAYS(Table2[[#This Row],[تاريخ انتهاء الفحص ميلادي]],TODAY()),""))</f>
        <v>308</v>
      </c>
      <c r="AU98" s="54"/>
      <c r="AV98" s="1"/>
      <c r="BE98" s="3"/>
      <c r="BH98" s="1"/>
    </row>
    <row r="99" spans="1:60" x14ac:dyDescent="0.3">
      <c r="A99" s="39" t="s">
        <v>19</v>
      </c>
      <c r="B99" s="39" t="s">
        <v>2000</v>
      </c>
      <c r="C99" s="39" t="s">
        <v>1187</v>
      </c>
      <c r="D99" s="39" t="s">
        <v>17</v>
      </c>
      <c r="E99" s="39" t="s">
        <v>819</v>
      </c>
      <c r="F99" s="40">
        <v>7025667531</v>
      </c>
      <c r="G99" s="41" t="s">
        <v>222</v>
      </c>
      <c r="H99" s="39" t="s">
        <v>223</v>
      </c>
      <c r="I99" s="58">
        <v>870384020</v>
      </c>
      <c r="J99" s="39" t="s">
        <v>20</v>
      </c>
      <c r="K99" s="39" t="s">
        <v>67</v>
      </c>
      <c r="L99" s="39" t="s">
        <v>22</v>
      </c>
      <c r="M99" s="39">
        <v>2024</v>
      </c>
      <c r="N99" s="39" t="s">
        <v>64</v>
      </c>
      <c r="O99" s="39" t="s">
        <v>1857</v>
      </c>
      <c r="P99" s="58">
        <v>2630928295</v>
      </c>
      <c r="Q99" s="39" t="s">
        <v>1644</v>
      </c>
      <c r="R99" s="124">
        <v>46251</v>
      </c>
      <c r="S99" s="124">
        <v>46387</v>
      </c>
      <c r="T99" s="58">
        <f ca="1">IF(Table2[[#This Row],[تاريخ نهاية التفويض]]="","",IFERROR(_xlfn.DAYS(Table2[[#This Row],[تاريخ نهاية التفويض]],TODAY()),""))</f>
        <v>127</v>
      </c>
      <c r="U99" s="42" t="s">
        <v>26</v>
      </c>
      <c r="V99" s="43">
        <v>46393</v>
      </c>
      <c r="W99" s="44">
        <f ca="1">IF(Table2[[#This Row],[تاريخ انتهاء التأمين]]="","",IFERROR(_xlfn.DAYS(Table2[[#This Row],[تاريخ انتهاء التأمين]],TODAY()),""))</f>
        <v>133</v>
      </c>
      <c r="X99" s="42" t="s">
        <v>27</v>
      </c>
      <c r="Y99" s="42" t="s">
        <v>28</v>
      </c>
      <c r="Z99" s="45">
        <v>1180</v>
      </c>
      <c r="AA99" s="46">
        <v>609265</v>
      </c>
      <c r="AB99" s="46" t="s">
        <v>1352</v>
      </c>
      <c r="AC99" s="46" t="s">
        <v>861</v>
      </c>
      <c r="AD99" s="46" t="s">
        <v>938</v>
      </c>
      <c r="AE99" s="47">
        <v>300</v>
      </c>
      <c r="AF99" s="48" t="s">
        <v>1147</v>
      </c>
      <c r="AG99" s="48" t="s">
        <v>861</v>
      </c>
      <c r="AH99" s="48" t="s">
        <v>1149</v>
      </c>
      <c r="AI99" s="90">
        <v>867747071419137</v>
      </c>
      <c r="AJ99" s="89">
        <v>46109</v>
      </c>
      <c r="AK99" s="102">
        <f ca="1">IF(Table2[[#This Row],[تاريخ انتهاء ال GPS]]="","",IFERROR(_xlfn.DAYS(Table2[[#This Row],[تاريخ انتهاء ال GPS]],TODAY()),""))</f>
        <v>-151</v>
      </c>
      <c r="AL99" s="49" t="s">
        <v>1568</v>
      </c>
      <c r="AM99" s="50">
        <v>46621</v>
      </c>
      <c r="AN99" s="51">
        <f ca="1">IF(Table2[[#This Row],[تاريخ انتهاء بطاقة التشغيل]]="","",IFERROR(_xlfn.DAYS(Table2[[#This Row],[تاريخ انتهاء بطاقة التشغيل]],TODAY()),""))</f>
        <v>361</v>
      </c>
      <c r="AO99" s="80">
        <v>46367</v>
      </c>
      <c r="AP99" s="52">
        <f>Table2[[#This Row],[تاريخ انتهاء رخصة السير هجري]]</f>
        <v>46367</v>
      </c>
      <c r="AQ99" s="53">
        <f ca="1">IF(Table2[[#This Row],[تاريخ انتهاء رخصة السير ميلادي]]="","",IFERROR(_xlfn.DAYS(Table2[[#This Row],[تاريخ انتهاء رخصة السير ميلادي]],TODAY()),""))</f>
        <v>107</v>
      </c>
      <c r="AR99" s="55">
        <v>46399</v>
      </c>
      <c r="AS99" s="56">
        <f>Table2[[#This Row],[تاريخ انتهاء الفحص هجري]]</f>
        <v>46399</v>
      </c>
      <c r="AT99" s="106">
        <f ca="1">IF(Table2[[#This Row],[تاريخ انتهاء الفحص ميلادي]]="","",IFERROR(_xlfn.DAYS(Table2[[#This Row],[تاريخ انتهاء الفحص ميلادي]],TODAY()),""))</f>
        <v>139</v>
      </c>
      <c r="AU99" s="54"/>
      <c r="AV99" s="1"/>
      <c r="BE99" s="3"/>
      <c r="BH99" s="1"/>
    </row>
    <row r="100" spans="1:60" x14ac:dyDescent="0.3">
      <c r="A100" s="39" t="s">
        <v>19</v>
      </c>
      <c r="B100" s="39" t="s">
        <v>2000</v>
      </c>
      <c r="C100" s="39" t="s">
        <v>1187</v>
      </c>
      <c r="D100" s="39" t="s">
        <v>17</v>
      </c>
      <c r="E100" s="39" t="s">
        <v>819</v>
      </c>
      <c r="F100" s="40">
        <v>7025667531</v>
      </c>
      <c r="G100" s="41" t="s">
        <v>224</v>
      </c>
      <c r="H100" s="39" t="s">
        <v>225</v>
      </c>
      <c r="I100" s="58">
        <v>106384020</v>
      </c>
      <c r="J100" s="39" t="s">
        <v>20</v>
      </c>
      <c r="K100" s="39" t="s">
        <v>67</v>
      </c>
      <c r="L100" s="39" t="s">
        <v>22</v>
      </c>
      <c r="M100" s="39">
        <v>2024</v>
      </c>
      <c r="N100" s="39" t="s">
        <v>64</v>
      </c>
      <c r="O100" s="39" t="s">
        <v>1858</v>
      </c>
      <c r="P100" s="58">
        <v>2568883777</v>
      </c>
      <c r="Q100" s="39" t="s">
        <v>1645</v>
      </c>
      <c r="R100" s="124">
        <v>46005</v>
      </c>
      <c r="S100" s="124">
        <v>46327</v>
      </c>
      <c r="T100" s="58">
        <f ca="1">IF(Table2[[#This Row],[تاريخ نهاية التفويض]]="","",IFERROR(_xlfn.DAYS(Table2[[#This Row],[تاريخ نهاية التفويض]],TODAY()),""))</f>
        <v>67</v>
      </c>
      <c r="U100" s="42" t="s">
        <v>26</v>
      </c>
      <c r="V100" s="43">
        <v>46393</v>
      </c>
      <c r="W100" s="44">
        <f ca="1">IF(Table2[[#This Row],[تاريخ انتهاء التأمين]]="","",IFERROR(_xlfn.DAYS(Table2[[#This Row],[تاريخ انتهاء التأمين]],TODAY()),""))</f>
        <v>133</v>
      </c>
      <c r="X100" s="42" t="s">
        <v>27</v>
      </c>
      <c r="Y100" s="42" t="s">
        <v>28</v>
      </c>
      <c r="Z100" s="45">
        <v>1180</v>
      </c>
      <c r="AA100" s="46">
        <v>609266</v>
      </c>
      <c r="AB100" s="46" t="s">
        <v>1353</v>
      </c>
      <c r="AC100" s="46" t="s">
        <v>861</v>
      </c>
      <c r="AD100" s="46" t="s">
        <v>938</v>
      </c>
      <c r="AE100" s="47">
        <v>300</v>
      </c>
      <c r="AF100" s="48" t="s">
        <v>1147</v>
      </c>
      <c r="AG100" s="48" t="s">
        <v>861</v>
      </c>
      <c r="AH100" s="48" t="s">
        <v>1149</v>
      </c>
      <c r="AI100" s="90">
        <v>867747075502797</v>
      </c>
      <c r="AJ100" s="89">
        <v>46110</v>
      </c>
      <c r="AK100" s="102">
        <f ca="1">IF(Table2[[#This Row],[تاريخ انتهاء ال GPS]]="","",IFERROR(_xlfn.DAYS(Table2[[#This Row],[تاريخ انتهاء ال GPS]],TODAY()),""))</f>
        <v>-150</v>
      </c>
      <c r="AL100" s="49" t="s">
        <v>1057</v>
      </c>
      <c r="AM100" s="50">
        <v>46266</v>
      </c>
      <c r="AN100" s="51">
        <f ca="1">IF(Table2[[#This Row],[تاريخ انتهاء بطاقة التشغيل]]="","",IFERROR(_xlfn.DAYS(Table2[[#This Row],[تاريخ انتهاء بطاقة التشغيل]],TODAY()),""))</f>
        <v>6</v>
      </c>
      <c r="AO100" s="80">
        <v>46367</v>
      </c>
      <c r="AP100" s="52">
        <f>Table2[[#This Row],[تاريخ انتهاء رخصة السير هجري]]</f>
        <v>46367</v>
      </c>
      <c r="AQ100" s="53">
        <f ca="1">IF(Table2[[#This Row],[تاريخ انتهاء رخصة السير ميلادي]]="","",IFERROR(_xlfn.DAYS(Table2[[#This Row],[تاريخ انتهاء رخصة السير ميلادي]],TODAY()),""))</f>
        <v>107</v>
      </c>
      <c r="AR100" s="55">
        <f>Table2[[#This Row],[تاريخ انتهاء الفحص ميلادي]]</f>
        <v>46022</v>
      </c>
      <c r="AS100" s="56">
        <v>46022</v>
      </c>
      <c r="AT100" s="106">
        <f ca="1">IF(Table2[[#This Row],[تاريخ انتهاء الفحص ميلادي]]="","",IFERROR(_xlfn.DAYS(Table2[[#This Row],[تاريخ انتهاء الفحص ميلادي]],TODAY()),""))</f>
        <v>-238</v>
      </c>
      <c r="AU100" s="54"/>
      <c r="AV100" s="1"/>
      <c r="BE100" s="3"/>
      <c r="BH100" s="1"/>
    </row>
    <row r="101" spans="1:60" x14ac:dyDescent="0.3">
      <c r="A101" s="39" t="s">
        <v>19</v>
      </c>
      <c r="B101" s="39" t="s">
        <v>1183</v>
      </c>
      <c r="C101" s="39" t="s">
        <v>1187</v>
      </c>
      <c r="D101" s="39" t="s">
        <v>17</v>
      </c>
      <c r="E101" s="39" t="s">
        <v>819</v>
      </c>
      <c r="F101" s="40">
        <v>7025667531</v>
      </c>
      <c r="G101" s="41" t="s">
        <v>226</v>
      </c>
      <c r="H101" s="39" t="s">
        <v>227</v>
      </c>
      <c r="I101" s="58">
        <v>501384020</v>
      </c>
      <c r="J101" s="39" t="s">
        <v>20</v>
      </c>
      <c r="K101" s="39" t="s">
        <v>67</v>
      </c>
      <c r="L101" s="39" t="s">
        <v>22</v>
      </c>
      <c r="M101" s="39">
        <v>2024</v>
      </c>
      <c r="N101" s="39" t="s">
        <v>64</v>
      </c>
      <c r="O101" s="39" t="s">
        <v>1859</v>
      </c>
      <c r="P101" s="58">
        <v>2570718409</v>
      </c>
      <c r="Q101" s="39" t="s">
        <v>1646</v>
      </c>
      <c r="R101" s="124">
        <v>46244</v>
      </c>
      <c r="S101" s="124">
        <v>46387</v>
      </c>
      <c r="T101" s="58">
        <f ca="1">IF(Table2[[#This Row],[تاريخ نهاية التفويض]]="","",IFERROR(_xlfn.DAYS(Table2[[#This Row],[تاريخ نهاية التفويض]],TODAY()),""))</f>
        <v>127</v>
      </c>
      <c r="U101" s="42" t="s">
        <v>26</v>
      </c>
      <c r="V101" s="43">
        <v>46393</v>
      </c>
      <c r="W101" s="44">
        <f ca="1">IF(Table2[[#This Row],[تاريخ انتهاء التأمين]]="","",IFERROR(_xlfn.DAYS(Table2[[#This Row],[تاريخ انتهاء التأمين]],TODAY()),""))</f>
        <v>133</v>
      </c>
      <c r="X101" s="42" t="s">
        <v>27</v>
      </c>
      <c r="Y101" s="42" t="s">
        <v>28</v>
      </c>
      <c r="Z101" s="45">
        <v>1180</v>
      </c>
      <c r="AA101" s="46">
        <v>609272</v>
      </c>
      <c r="AB101" s="46" t="s">
        <v>1354</v>
      </c>
      <c r="AC101" s="46" t="s">
        <v>861</v>
      </c>
      <c r="AD101" s="46" t="s">
        <v>938</v>
      </c>
      <c r="AE101" s="47">
        <v>300</v>
      </c>
      <c r="AF101" s="48" t="s">
        <v>1147</v>
      </c>
      <c r="AG101" s="48" t="s">
        <v>861</v>
      </c>
      <c r="AH101" s="48" t="s">
        <v>1149</v>
      </c>
      <c r="AI101" s="90">
        <v>866344059658778</v>
      </c>
      <c r="AJ101" s="89">
        <v>46107</v>
      </c>
      <c r="AK101" s="102">
        <f ca="1">IF(Table2[[#This Row],[تاريخ انتهاء ال GPS]]="","",IFERROR(_xlfn.DAYS(Table2[[#This Row],[تاريخ انتهاء ال GPS]],TODAY()),""))</f>
        <v>-153</v>
      </c>
      <c r="AL101" s="49" t="s">
        <v>1569</v>
      </c>
      <c r="AM101" s="50">
        <v>46621</v>
      </c>
      <c r="AN101" s="51">
        <f ca="1">IF(Table2[[#This Row],[تاريخ انتهاء بطاقة التشغيل]]="","",IFERROR(_xlfn.DAYS(Table2[[#This Row],[تاريخ انتهاء بطاقة التشغيل]],TODAY()),""))</f>
        <v>361</v>
      </c>
      <c r="AO101" s="80">
        <v>46367</v>
      </c>
      <c r="AP101" s="52">
        <f>Table2[[#This Row],[تاريخ انتهاء رخصة السير هجري]]</f>
        <v>46367</v>
      </c>
      <c r="AQ101" s="53">
        <f ca="1">IF(Table2[[#This Row],[تاريخ انتهاء رخصة السير ميلادي]]="","",IFERROR(_xlfn.DAYS(Table2[[#This Row],[تاريخ انتهاء رخصة السير ميلادي]],TODAY()),""))</f>
        <v>107</v>
      </c>
      <c r="AR101" s="55">
        <v>46393</v>
      </c>
      <c r="AS101" s="56">
        <f>Table2[[#This Row],[تاريخ انتهاء الفحص هجري]]</f>
        <v>46393</v>
      </c>
      <c r="AT101" s="106">
        <f ca="1">IF(Table2[[#This Row],[تاريخ انتهاء الفحص ميلادي]]="","",IFERROR(_xlfn.DAYS(Table2[[#This Row],[تاريخ انتهاء الفحص ميلادي]],TODAY()),""))</f>
        <v>133</v>
      </c>
      <c r="AU101" s="54"/>
      <c r="AV101" s="1"/>
      <c r="BE101" s="3"/>
      <c r="BH101" s="1"/>
    </row>
    <row r="102" spans="1:60" x14ac:dyDescent="0.3">
      <c r="A102" s="39" t="s">
        <v>19</v>
      </c>
      <c r="B102" s="39" t="s">
        <v>1193</v>
      </c>
      <c r="C102" s="39" t="s">
        <v>1193</v>
      </c>
      <c r="D102" s="39" t="s">
        <v>17</v>
      </c>
      <c r="E102" s="39" t="s">
        <v>819</v>
      </c>
      <c r="F102" s="40">
        <v>7025667531</v>
      </c>
      <c r="G102" s="41" t="s">
        <v>228</v>
      </c>
      <c r="H102" s="39" t="s">
        <v>229</v>
      </c>
      <c r="I102" s="58">
        <v>903384020</v>
      </c>
      <c r="J102" s="39" t="s">
        <v>20</v>
      </c>
      <c r="K102" s="39" t="s">
        <v>67</v>
      </c>
      <c r="L102" s="39" t="s">
        <v>22</v>
      </c>
      <c r="M102" s="39">
        <v>2024</v>
      </c>
      <c r="N102" s="39" t="s">
        <v>64</v>
      </c>
      <c r="O102" s="39" t="s">
        <v>1137</v>
      </c>
      <c r="P102" s="39" t="s">
        <v>1137</v>
      </c>
      <c r="Q102" s="39" t="s">
        <v>1137</v>
      </c>
      <c r="R102" s="124" t="s">
        <v>1137</v>
      </c>
      <c r="S102" s="124" t="s">
        <v>1137</v>
      </c>
      <c r="T102" s="124" t="s">
        <v>1137</v>
      </c>
      <c r="U102" s="42" t="s">
        <v>26</v>
      </c>
      <c r="V102" s="43">
        <v>46393</v>
      </c>
      <c r="W102" s="44">
        <f ca="1">IF(Table2[[#This Row],[تاريخ انتهاء التأمين]]="","",IFERROR(_xlfn.DAYS(Table2[[#This Row],[تاريخ انتهاء التأمين]],TODAY()),""))</f>
        <v>133</v>
      </c>
      <c r="X102" s="42" t="s">
        <v>27</v>
      </c>
      <c r="Y102" s="42" t="s">
        <v>28</v>
      </c>
      <c r="Z102" s="45">
        <v>1180</v>
      </c>
      <c r="AA102" s="46">
        <v>609269</v>
      </c>
      <c r="AB102" s="46" t="s">
        <v>1355</v>
      </c>
      <c r="AC102" s="46" t="s">
        <v>861</v>
      </c>
      <c r="AD102" s="46" t="s">
        <v>938</v>
      </c>
      <c r="AE102" s="47">
        <v>300</v>
      </c>
      <c r="AF102" s="48" t="s">
        <v>1147</v>
      </c>
      <c r="AG102" s="48" t="s">
        <v>1173</v>
      </c>
      <c r="AH102" s="48" t="s">
        <v>1149</v>
      </c>
      <c r="AI102" s="90">
        <v>864454079675173</v>
      </c>
      <c r="AJ102" s="89">
        <v>46127</v>
      </c>
      <c r="AK102" s="102">
        <f ca="1">IF(Table2[[#This Row],[تاريخ انتهاء ال GPS]]="","",IFERROR(_xlfn.DAYS(Table2[[#This Row],[تاريخ انتهاء ال GPS]],TODAY()),""))</f>
        <v>-133</v>
      </c>
      <c r="AL102" s="49" t="s">
        <v>1058</v>
      </c>
      <c r="AM102" s="50">
        <v>46266</v>
      </c>
      <c r="AN102" s="51">
        <f ca="1">IF(Table2[[#This Row],[تاريخ انتهاء بطاقة التشغيل]]="","",IFERROR(_xlfn.DAYS(Table2[[#This Row],[تاريخ انتهاء بطاقة التشغيل]],TODAY()),""))</f>
        <v>6</v>
      </c>
      <c r="AO102" s="80">
        <v>46367</v>
      </c>
      <c r="AP102" s="52">
        <f>Table2[[#This Row],[تاريخ انتهاء رخصة السير هجري]]</f>
        <v>46367</v>
      </c>
      <c r="AQ102" s="53">
        <f ca="1">IF(Table2[[#This Row],[تاريخ انتهاء رخصة السير ميلادي]]="","",IFERROR(_xlfn.DAYS(Table2[[#This Row],[تاريخ انتهاء رخصة السير ميلادي]],TODAY()),""))</f>
        <v>107</v>
      </c>
      <c r="AR102" s="55">
        <v>46419</v>
      </c>
      <c r="AS102" s="56">
        <f>Table2[[#This Row],[تاريخ انتهاء الفحص هجري]]</f>
        <v>46419</v>
      </c>
      <c r="AT102" s="106">
        <f ca="1">IF(Table2[[#This Row],[تاريخ انتهاء الفحص ميلادي]]="","",IFERROR(_xlfn.DAYS(Table2[[#This Row],[تاريخ انتهاء الفحص ميلادي]],TODAY()),""))</f>
        <v>159</v>
      </c>
      <c r="AU102" s="54"/>
      <c r="AV102" s="1"/>
      <c r="BE102" s="3"/>
      <c r="BH102" s="1"/>
    </row>
    <row r="103" spans="1:60" x14ac:dyDescent="0.3">
      <c r="A103" s="39" t="s">
        <v>19</v>
      </c>
      <c r="B103" s="39" t="s">
        <v>1183</v>
      </c>
      <c r="C103" s="39" t="s">
        <v>1187</v>
      </c>
      <c r="D103" s="39" t="s">
        <v>17</v>
      </c>
      <c r="E103" s="39" t="s">
        <v>819</v>
      </c>
      <c r="F103" s="40">
        <v>7025667531</v>
      </c>
      <c r="G103" s="41" t="s">
        <v>230</v>
      </c>
      <c r="H103" s="39" t="s">
        <v>231</v>
      </c>
      <c r="I103" s="58">
        <v>723384020</v>
      </c>
      <c r="J103" s="39" t="s">
        <v>20</v>
      </c>
      <c r="K103" s="39" t="s">
        <v>67</v>
      </c>
      <c r="L103" s="39" t="s">
        <v>22</v>
      </c>
      <c r="M103" s="39">
        <v>2024</v>
      </c>
      <c r="N103" s="39" t="s">
        <v>64</v>
      </c>
      <c r="O103" s="39" t="s">
        <v>1860</v>
      </c>
      <c r="P103" s="58">
        <v>2570718912</v>
      </c>
      <c r="Q103" s="39" t="s">
        <v>1647</v>
      </c>
      <c r="R103" s="124">
        <v>46244</v>
      </c>
      <c r="S103" s="124">
        <v>46387</v>
      </c>
      <c r="T103" s="58">
        <f ca="1">IF(Table2[[#This Row],[تاريخ نهاية التفويض]]="","",IFERROR(_xlfn.DAYS(Table2[[#This Row],[تاريخ نهاية التفويض]],TODAY()),""))</f>
        <v>127</v>
      </c>
      <c r="U103" s="42" t="s">
        <v>26</v>
      </c>
      <c r="V103" s="43">
        <v>46393</v>
      </c>
      <c r="W103" s="44">
        <f ca="1">IF(Table2[[#This Row],[تاريخ انتهاء التأمين]]="","",IFERROR(_xlfn.DAYS(Table2[[#This Row],[تاريخ انتهاء التأمين]],TODAY()),""))</f>
        <v>133</v>
      </c>
      <c r="X103" s="42" t="s">
        <v>27</v>
      </c>
      <c r="Y103" s="42" t="s">
        <v>28</v>
      </c>
      <c r="Z103" s="45">
        <v>1180</v>
      </c>
      <c r="AA103" s="46">
        <v>609271</v>
      </c>
      <c r="AB103" s="46" t="s">
        <v>1138</v>
      </c>
      <c r="AC103" s="46" t="s">
        <v>861</v>
      </c>
      <c r="AD103" s="46" t="s">
        <v>938</v>
      </c>
      <c r="AE103" s="47">
        <v>300</v>
      </c>
      <c r="AF103" s="48" t="s">
        <v>1147</v>
      </c>
      <c r="AG103" s="48" t="s">
        <v>861</v>
      </c>
      <c r="AH103" s="48" t="s">
        <v>1149</v>
      </c>
      <c r="AI103" s="90">
        <v>866069065099937</v>
      </c>
      <c r="AJ103" s="89">
        <v>46107</v>
      </c>
      <c r="AK103" s="102">
        <f ca="1">IF(Table2[[#This Row],[تاريخ انتهاء ال GPS]]="","",IFERROR(_xlfn.DAYS(Table2[[#This Row],[تاريخ انتهاء ال GPS]],TODAY()),""))</f>
        <v>-153</v>
      </c>
      <c r="AL103" s="49" t="s">
        <v>1570</v>
      </c>
      <c r="AM103" s="50">
        <v>46621</v>
      </c>
      <c r="AN103" s="51">
        <f ca="1">IF(Table2[[#This Row],[تاريخ انتهاء بطاقة التشغيل]]="","",IFERROR(_xlfn.DAYS(Table2[[#This Row],[تاريخ انتهاء بطاقة التشغيل]],TODAY()),""))</f>
        <v>361</v>
      </c>
      <c r="AO103" s="80">
        <v>46367</v>
      </c>
      <c r="AP103" s="52">
        <f>Table2[[#This Row],[تاريخ انتهاء رخصة السير هجري]]</f>
        <v>46367</v>
      </c>
      <c r="AQ103" s="53">
        <f ca="1">IF(Table2[[#This Row],[تاريخ انتهاء رخصة السير ميلادي]]="","",IFERROR(_xlfn.DAYS(Table2[[#This Row],[تاريخ انتهاء رخصة السير ميلادي]],TODAY()),""))</f>
        <v>107</v>
      </c>
      <c r="AR103" s="55">
        <v>46394</v>
      </c>
      <c r="AS103" s="56">
        <f>Table2[[#This Row],[تاريخ انتهاء الفحص هجري]]</f>
        <v>46394</v>
      </c>
      <c r="AT103" s="106">
        <f ca="1">IF(Table2[[#This Row],[تاريخ انتهاء الفحص ميلادي]]="","",IFERROR(_xlfn.DAYS(Table2[[#This Row],[تاريخ انتهاء الفحص ميلادي]],TODAY()),""))</f>
        <v>134</v>
      </c>
      <c r="AU103" s="54"/>
      <c r="AV103" s="1"/>
      <c r="BE103" s="3"/>
      <c r="BH103" s="1"/>
    </row>
    <row r="104" spans="1:60" x14ac:dyDescent="0.3">
      <c r="A104" s="39" t="s">
        <v>19</v>
      </c>
      <c r="B104" s="39" t="s">
        <v>1183</v>
      </c>
      <c r="C104" s="39" t="s">
        <v>2004</v>
      </c>
      <c r="D104" s="39" t="s">
        <v>17</v>
      </c>
      <c r="E104" s="39" t="s">
        <v>819</v>
      </c>
      <c r="F104" s="40">
        <v>7025667531</v>
      </c>
      <c r="G104" s="41" t="s">
        <v>232</v>
      </c>
      <c r="H104" s="39" t="s">
        <v>233</v>
      </c>
      <c r="I104" s="58">
        <v>178565020</v>
      </c>
      <c r="J104" s="39" t="s">
        <v>20</v>
      </c>
      <c r="K104" s="39" t="s">
        <v>67</v>
      </c>
      <c r="L104" s="39" t="s">
        <v>22</v>
      </c>
      <c r="M104" s="39">
        <v>2024</v>
      </c>
      <c r="N104" s="39" t="s">
        <v>64</v>
      </c>
      <c r="O104" s="39" t="s">
        <v>1861</v>
      </c>
      <c r="P104" s="58">
        <v>2587455821</v>
      </c>
      <c r="Q104" s="39" t="s">
        <v>1648</v>
      </c>
      <c r="R104" s="124">
        <v>45994</v>
      </c>
      <c r="S104" s="124">
        <v>46327</v>
      </c>
      <c r="T104" s="58">
        <f ca="1">IF(Table2[[#This Row],[تاريخ نهاية التفويض]]="","",IFERROR(_xlfn.DAYS(Table2[[#This Row],[تاريخ نهاية التفويض]],TODAY()),""))</f>
        <v>67</v>
      </c>
      <c r="U104" s="42" t="s">
        <v>26</v>
      </c>
      <c r="V104" s="43">
        <v>46393</v>
      </c>
      <c r="W104" s="44">
        <f ca="1">IF(Table2[[#This Row],[تاريخ انتهاء التأمين]]="","",IFERROR(_xlfn.DAYS(Table2[[#This Row],[تاريخ انتهاء التأمين]],TODAY()),""))</f>
        <v>133</v>
      </c>
      <c r="X104" s="42" t="s">
        <v>27</v>
      </c>
      <c r="Y104" s="42" t="s">
        <v>28</v>
      </c>
      <c r="Z104" s="45">
        <v>1180</v>
      </c>
      <c r="AA104" s="46">
        <v>624841</v>
      </c>
      <c r="AB104" s="46" t="s">
        <v>1356</v>
      </c>
      <c r="AC104" s="46" t="s">
        <v>861</v>
      </c>
      <c r="AD104" s="46" t="s">
        <v>938</v>
      </c>
      <c r="AE104" s="47">
        <v>300</v>
      </c>
      <c r="AF104" s="48" t="s">
        <v>1147</v>
      </c>
      <c r="AG104" s="48" t="s">
        <v>861</v>
      </c>
      <c r="AH104" s="48" t="s">
        <v>1149</v>
      </c>
      <c r="AI104" s="90">
        <v>867747070607104</v>
      </c>
      <c r="AJ104" s="89">
        <v>46110</v>
      </c>
      <c r="AK104" s="102">
        <f ca="1">IF(Table2[[#This Row],[تاريخ انتهاء ال GPS]]="","",IFERROR(_xlfn.DAYS(Table2[[#This Row],[تاريخ انتهاء ال GPS]],TODAY()),""))</f>
        <v>-150</v>
      </c>
      <c r="AL104" s="49" t="s">
        <v>1571</v>
      </c>
      <c r="AM104" s="50">
        <v>46621</v>
      </c>
      <c r="AN104" s="51">
        <f ca="1">IF(Table2[[#This Row],[تاريخ انتهاء بطاقة التشغيل]]="","",IFERROR(_xlfn.DAYS(Table2[[#This Row],[تاريخ انتهاء بطاقة التشغيل]],TODAY()),""))</f>
        <v>361</v>
      </c>
      <c r="AO104" s="80">
        <v>46398</v>
      </c>
      <c r="AP104" s="52">
        <f>Table2[[#This Row],[تاريخ انتهاء رخصة السير هجري]]</f>
        <v>46398</v>
      </c>
      <c r="AQ104" s="53">
        <f ca="1">IF(Table2[[#This Row],[تاريخ انتهاء رخصة السير ميلادي]]="","",IFERROR(_xlfn.DAYS(Table2[[#This Row],[تاريخ انتهاء رخصة السير ميلادي]],TODAY()),""))</f>
        <v>138</v>
      </c>
      <c r="AR104" s="55">
        <v>46394</v>
      </c>
      <c r="AS104" s="56">
        <f>Table2[[#This Row],[تاريخ انتهاء الفحص هجري]]</f>
        <v>46394</v>
      </c>
      <c r="AT104" s="106">
        <f ca="1">IF(Table2[[#This Row],[تاريخ انتهاء الفحص ميلادي]]="","",IFERROR(_xlfn.DAYS(Table2[[#This Row],[تاريخ انتهاء الفحص ميلادي]],TODAY()),""))</f>
        <v>134</v>
      </c>
      <c r="AU104" s="54"/>
      <c r="AV104" s="1"/>
      <c r="BE104" s="3"/>
      <c r="BH104" s="1"/>
    </row>
    <row r="105" spans="1:60" x14ac:dyDescent="0.3">
      <c r="A105" s="39" t="s">
        <v>19</v>
      </c>
      <c r="B105" s="39" t="s">
        <v>1193</v>
      </c>
      <c r="C105" s="39" t="s">
        <v>1193</v>
      </c>
      <c r="D105" s="39" t="s">
        <v>17</v>
      </c>
      <c r="E105" s="39" t="s">
        <v>819</v>
      </c>
      <c r="F105" s="40">
        <v>7025667531</v>
      </c>
      <c r="G105" s="41" t="s">
        <v>234</v>
      </c>
      <c r="H105" s="39" t="s">
        <v>235</v>
      </c>
      <c r="I105" s="58">
        <v>219565020</v>
      </c>
      <c r="J105" s="39" t="s">
        <v>20</v>
      </c>
      <c r="K105" s="39" t="s">
        <v>67</v>
      </c>
      <c r="L105" s="39" t="s">
        <v>22</v>
      </c>
      <c r="M105" s="39">
        <v>2024</v>
      </c>
      <c r="N105" s="39" t="s">
        <v>64</v>
      </c>
      <c r="O105" s="39" t="s">
        <v>1137</v>
      </c>
      <c r="P105" s="39" t="s">
        <v>1137</v>
      </c>
      <c r="Q105" s="39" t="s">
        <v>1137</v>
      </c>
      <c r="R105" s="124" t="s">
        <v>1137</v>
      </c>
      <c r="S105" s="124" t="s">
        <v>1137</v>
      </c>
      <c r="T105" s="124" t="s">
        <v>1137</v>
      </c>
      <c r="U105" s="42" t="s">
        <v>26</v>
      </c>
      <c r="V105" s="43">
        <v>46393</v>
      </c>
      <c r="W105" s="44">
        <f ca="1">IF(Table2[[#This Row],[تاريخ انتهاء التأمين]]="","",IFERROR(_xlfn.DAYS(Table2[[#This Row],[تاريخ انتهاء التأمين]],TODAY()),""))</f>
        <v>133</v>
      </c>
      <c r="X105" s="42" t="s">
        <v>27</v>
      </c>
      <c r="Y105" s="42" t="s">
        <v>28</v>
      </c>
      <c r="Z105" s="45">
        <v>1180</v>
      </c>
      <c r="AA105" s="46">
        <v>624843</v>
      </c>
      <c r="AB105" s="46" t="s">
        <v>1357</v>
      </c>
      <c r="AC105" s="46" t="s">
        <v>861</v>
      </c>
      <c r="AD105" s="46" t="s">
        <v>938</v>
      </c>
      <c r="AE105" s="47">
        <v>300</v>
      </c>
      <c r="AF105" s="48" t="s">
        <v>1147</v>
      </c>
      <c r="AG105" s="48" t="s">
        <v>861</v>
      </c>
      <c r="AH105" s="48" t="s">
        <v>1149</v>
      </c>
      <c r="AI105" s="90">
        <v>866069065061424</v>
      </c>
      <c r="AJ105" s="89">
        <v>46127</v>
      </c>
      <c r="AK105" s="102">
        <f ca="1">IF(Table2[[#This Row],[تاريخ انتهاء ال GPS]]="","",IFERROR(_xlfn.DAYS(Table2[[#This Row],[تاريخ انتهاء ال GPS]],TODAY()),""))</f>
        <v>-133</v>
      </c>
      <c r="AL105" s="49" t="s">
        <v>1064</v>
      </c>
      <c r="AM105" s="50">
        <v>46266</v>
      </c>
      <c r="AN105" s="51">
        <f ca="1">IF(Table2[[#This Row],[تاريخ انتهاء بطاقة التشغيل]]="","",IFERROR(_xlfn.DAYS(Table2[[#This Row],[تاريخ انتهاء بطاقة التشغيل]],TODAY()),""))</f>
        <v>6</v>
      </c>
      <c r="AO105" s="80">
        <v>46398</v>
      </c>
      <c r="AP105" s="52">
        <f>Table2[[#This Row],[تاريخ انتهاء رخصة السير هجري]]</f>
        <v>46398</v>
      </c>
      <c r="AQ105" s="53">
        <f ca="1">IF(Table2[[#This Row],[تاريخ انتهاء رخصة السير ميلادي]]="","",IFERROR(_xlfn.DAYS(Table2[[#This Row],[تاريخ انتهاء رخصة السير ميلادي]],TODAY()),""))</f>
        <v>138</v>
      </c>
      <c r="AR105" s="55">
        <v>46397</v>
      </c>
      <c r="AS105" s="56">
        <f>Table2[[#This Row],[تاريخ انتهاء الفحص هجري]]</f>
        <v>46397</v>
      </c>
      <c r="AT105" s="106">
        <f ca="1">IF(Table2[[#This Row],[تاريخ انتهاء الفحص ميلادي]]="","",IFERROR(_xlfn.DAYS(Table2[[#This Row],[تاريخ انتهاء الفحص ميلادي]],TODAY()),""))</f>
        <v>137</v>
      </c>
      <c r="AU105" s="54"/>
      <c r="AV105" s="1"/>
      <c r="BE105" s="3"/>
      <c r="BH105" s="1"/>
    </row>
    <row r="106" spans="1:60" x14ac:dyDescent="0.3">
      <c r="A106" s="39" t="s">
        <v>19</v>
      </c>
      <c r="B106" s="39" t="s">
        <v>1183</v>
      </c>
      <c r="C106" s="39" t="s">
        <v>2004</v>
      </c>
      <c r="D106" s="39" t="s">
        <v>17</v>
      </c>
      <c r="E106" s="39" t="s">
        <v>819</v>
      </c>
      <c r="F106" s="40">
        <v>7025667531</v>
      </c>
      <c r="G106" s="41" t="s">
        <v>236</v>
      </c>
      <c r="H106" s="39" t="s">
        <v>237</v>
      </c>
      <c r="I106" s="58">
        <v>139565020</v>
      </c>
      <c r="J106" s="39" t="s">
        <v>20</v>
      </c>
      <c r="K106" s="39" t="s">
        <v>67</v>
      </c>
      <c r="L106" s="39" t="s">
        <v>22</v>
      </c>
      <c r="M106" s="39">
        <v>2024</v>
      </c>
      <c r="N106" s="39" t="s">
        <v>64</v>
      </c>
      <c r="O106" s="39" t="s">
        <v>1862</v>
      </c>
      <c r="P106" s="58">
        <v>2557509342</v>
      </c>
      <c r="Q106" s="39" t="s">
        <v>1649</v>
      </c>
      <c r="R106" s="124">
        <v>46209</v>
      </c>
      <c r="S106" s="124">
        <v>46387</v>
      </c>
      <c r="T106" s="58">
        <f ca="1">IF(Table2[[#This Row],[تاريخ نهاية التفويض]]="","",IFERROR(_xlfn.DAYS(Table2[[#This Row],[تاريخ نهاية التفويض]],TODAY()),""))</f>
        <v>127</v>
      </c>
      <c r="U106" s="42" t="s">
        <v>26</v>
      </c>
      <c r="V106" s="43">
        <v>46393</v>
      </c>
      <c r="W106" s="44">
        <f ca="1">IF(Table2[[#This Row],[تاريخ انتهاء التأمين]]="","",IFERROR(_xlfn.DAYS(Table2[[#This Row],[تاريخ انتهاء التأمين]],TODAY()),""))</f>
        <v>133</v>
      </c>
      <c r="X106" s="42" t="s">
        <v>27</v>
      </c>
      <c r="Y106" s="42" t="s">
        <v>28</v>
      </c>
      <c r="Z106" s="45">
        <v>1180</v>
      </c>
      <c r="AA106" s="46">
        <v>624844</v>
      </c>
      <c r="AB106" s="46" t="s">
        <v>1358</v>
      </c>
      <c r="AC106" s="46" t="s">
        <v>861</v>
      </c>
      <c r="AD106" s="46" t="s">
        <v>938</v>
      </c>
      <c r="AE106" s="47">
        <v>300</v>
      </c>
      <c r="AF106" s="48" t="s">
        <v>1147</v>
      </c>
      <c r="AG106" s="48" t="s">
        <v>861</v>
      </c>
      <c r="AH106" s="48" t="s">
        <v>1149</v>
      </c>
      <c r="AI106" s="90">
        <v>867747071419095</v>
      </c>
      <c r="AJ106" s="89">
        <v>46109</v>
      </c>
      <c r="AK106" s="102">
        <f ca="1">IF(Table2[[#This Row],[تاريخ انتهاء ال GPS]]="","",IFERROR(_xlfn.DAYS(Table2[[#This Row],[تاريخ انتهاء ال GPS]],TODAY()),""))</f>
        <v>-151</v>
      </c>
      <c r="AL106" s="49" t="s">
        <v>1572</v>
      </c>
      <c r="AM106" s="50">
        <v>46621</v>
      </c>
      <c r="AN106" s="51">
        <f ca="1">IF(Table2[[#This Row],[تاريخ انتهاء بطاقة التشغيل]]="","",IFERROR(_xlfn.DAYS(Table2[[#This Row],[تاريخ انتهاء بطاقة التشغيل]],TODAY()),""))</f>
        <v>361</v>
      </c>
      <c r="AO106" s="80">
        <v>46398</v>
      </c>
      <c r="AP106" s="52">
        <f>Table2[[#This Row],[تاريخ انتهاء رخصة السير هجري]]</f>
        <v>46398</v>
      </c>
      <c r="AQ106" s="53">
        <f ca="1">IF(Table2[[#This Row],[تاريخ انتهاء رخصة السير ميلادي]]="","",IFERROR(_xlfn.DAYS(Table2[[#This Row],[تاريخ انتهاء رخصة السير ميلادي]],TODAY()),""))</f>
        <v>138</v>
      </c>
      <c r="AR106" s="55">
        <v>46393</v>
      </c>
      <c r="AS106" s="56">
        <f>Table2[[#This Row],[تاريخ انتهاء الفحص هجري]]</f>
        <v>46393</v>
      </c>
      <c r="AT106" s="106">
        <f ca="1">IF(Table2[[#This Row],[تاريخ انتهاء الفحص ميلادي]]="","",IFERROR(_xlfn.DAYS(Table2[[#This Row],[تاريخ انتهاء الفحص ميلادي]],TODAY()),""))</f>
        <v>133</v>
      </c>
      <c r="AU106" s="54"/>
      <c r="AV106" s="1"/>
      <c r="BE106" s="3"/>
      <c r="BH106" s="1"/>
    </row>
    <row r="107" spans="1:60" x14ac:dyDescent="0.3">
      <c r="A107" s="39" t="s">
        <v>19</v>
      </c>
      <c r="B107" s="39" t="s">
        <v>2003</v>
      </c>
      <c r="C107" s="39" t="s">
        <v>2004</v>
      </c>
      <c r="D107" s="39" t="s">
        <v>17</v>
      </c>
      <c r="E107" s="39" t="s">
        <v>819</v>
      </c>
      <c r="F107" s="40">
        <v>7025667531</v>
      </c>
      <c r="G107" s="41" t="s">
        <v>238</v>
      </c>
      <c r="H107" s="39" t="s">
        <v>239</v>
      </c>
      <c r="I107" s="58">
        <v>939565020</v>
      </c>
      <c r="J107" s="39" t="s">
        <v>20</v>
      </c>
      <c r="K107" s="39" t="s">
        <v>67</v>
      </c>
      <c r="L107" s="39" t="s">
        <v>22</v>
      </c>
      <c r="M107" s="39">
        <v>2024</v>
      </c>
      <c r="N107" s="39" t="s">
        <v>64</v>
      </c>
      <c r="O107" s="39" t="s">
        <v>1137</v>
      </c>
      <c r="P107" s="39" t="s">
        <v>1137</v>
      </c>
      <c r="Q107" s="39" t="s">
        <v>1137</v>
      </c>
      <c r="R107" s="124" t="s">
        <v>1137</v>
      </c>
      <c r="S107" s="124" t="s">
        <v>1137</v>
      </c>
      <c r="T107" s="124" t="s">
        <v>1137</v>
      </c>
      <c r="U107" s="42" t="s">
        <v>26</v>
      </c>
      <c r="V107" s="43">
        <v>46393</v>
      </c>
      <c r="W107" s="44">
        <f ca="1">IF(Table2[[#This Row],[تاريخ انتهاء التأمين]]="","",IFERROR(_xlfn.DAYS(Table2[[#This Row],[تاريخ انتهاء التأمين]],TODAY()),""))</f>
        <v>133</v>
      </c>
      <c r="X107" s="42" t="s">
        <v>27</v>
      </c>
      <c r="Y107" s="42" t="s">
        <v>28</v>
      </c>
      <c r="Z107" s="45">
        <v>1180</v>
      </c>
      <c r="AA107" s="46">
        <v>624845</v>
      </c>
      <c r="AB107" s="46" t="s">
        <v>1359</v>
      </c>
      <c r="AC107" s="46" t="s">
        <v>861</v>
      </c>
      <c r="AD107" s="46" t="s">
        <v>938</v>
      </c>
      <c r="AE107" s="47">
        <v>300</v>
      </c>
      <c r="AF107" s="48" t="s">
        <v>1147</v>
      </c>
      <c r="AG107" s="48" t="s">
        <v>861</v>
      </c>
      <c r="AH107" s="48" t="s">
        <v>1149</v>
      </c>
      <c r="AI107" s="90">
        <v>866069063553026</v>
      </c>
      <c r="AJ107" s="89">
        <v>46107</v>
      </c>
      <c r="AK107" s="102">
        <f ca="1">IF(Table2[[#This Row],[تاريخ انتهاء ال GPS]]="","",IFERROR(_xlfn.DAYS(Table2[[#This Row],[تاريخ انتهاء ال GPS]],TODAY()),""))</f>
        <v>-153</v>
      </c>
      <c r="AL107" s="49" t="s">
        <v>1573</v>
      </c>
      <c r="AM107" s="50">
        <v>46621</v>
      </c>
      <c r="AN107" s="51">
        <f ca="1">IF(Table2[[#This Row],[تاريخ انتهاء بطاقة التشغيل]]="","",IFERROR(_xlfn.DAYS(Table2[[#This Row],[تاريخ انتهاء بطاقة التشغيل]],TODAY()),""))</f>
        <v>361</v>
      </c>
      <c r="AO107" s="80">
        <v>46398</v>
      </c>
      <c r="AP107" s="52">
        <f>Table2[[#This Row],[تاريخ انتهاء رخصة السير هجري]]</f>
        <v>46398</v>
      </c>
      <c r="AQ107" s="53">
        <f ca="1">IF(Table2[[#This Row],[تاريخ انتهاء رخصة السير ميلادي]]="","",IFERROR(_xlfn.DAYS(Table2[[#This Row],[تاريخ انتهاء رخصة السير ميلادي]],TODAY()),""))</f>
        <v>138</v>
      </c>
      <c r="AR107" s="55">
        <v>46435</v>
      </c>
      <c r="AS107" s="56">
        <f>Table2[[#This Row],[تاريخ انتهاء الفحص هجري]]</f>
        <v>46435</v>
      </c>
      <c r="AT107" s="106">
        <f ca="1">IF(Table2[[#This Row],[تاريخ انتهاء الفحص ميلادي]]="","",IFERROR(_xlfn.DAYS(Table2[[#This Row],[تاريخ انتهاء الفحص ميلادي]],TODAY()),""))</f>
        <v>175</v>
      </c>
      <c r="AU107" s="54"/>
      <c r="AV107" s="1"/>
      <c r="BE107" s="3"/>
      <c r="BH107" s="1"/>
    </row>
    <row r="108" spans="1:60" x14ac:dyDescent="0.3">
      <c r="A108" s="39" t="s">
        <v>19</v>
      </c>
      <c r="B108" s="39" t="s">
        <v>2003</v>
      </c>
      <c r="C108" s="39" t="s">
        <v>2004</v>
      </c>
      <c r="D108" s="39" t="s">
        <v>17</v>
      </c>
      <c r="E108" s="39" t="s">
        <v>819</v>
      </c>
      <c r="F108" s="40">
        <v>7025667531</v>
      </c>
      <c r="G108" s="41" t="s">
        <v>240</v>
      </c>
      <c r="H108" s="39" t="s">
        <v>241</v>
      </c>
      <c r="I108" s="58">
        <v>549565020</v>
      </c>
      <c r="J108" s="39" t="s">
        <v>20</v>
      </c>
      <c r="K108" s="39" t="s">
        <v>67</v>
      </c>
      <c r="L108" s="39" t="s">
        <v>22</v>
      </c>
      <c r="M108" s="39">
        <v>2024</v>
      </c>
      <c r="N108" s="39" t="s">
        <v>64</v>
      </c>
      <c r="O108" s="39" t="s">
        <v>1863</v>
      </c>
      <c r="P108" s="58">
        <v>2548474473</v>
      </c>
      <c r="Q108" s="39" t="s">
        <v>1650</v>
      </c>
      <c r="R108" s="124">
        <v>45993</v>
      </c>
      <c r="S108" s="124">
        <v>46327</v>
      </c>
      <c r="T108" s="58">
        <f ca="1">IF(Table2[[#This Row],[تاريخ نهاية التفويض]]="","",IFERROR(_xlfn.DAYS(Table2[[#This Row],[تاريخ نهاية التفويض]],TODAY()),""))</f>
        <v>67</v>
      </c>
      <c r="U108" s="42" t="s">
        <v>26</v>
      </c>
      <c r="V108" s="43">
        <v>46393</v>
      </c>
      <c r="W108" s="44">
        <f ca="1">IF(Table2[[#This Row],[تاريخ انتهاء التأمين]]="","",IFERROR(_xlfn.DAYS(Table2[[#This Row],[تاريخ انتهاء التأمين]],TODAY()),""))</f>
        <v>133</v>
      </c>
      <c r="X108" s="42" t="s">
        <v>27</v>
      </c>
      <c r="Y108" s="42" t="s">
        <v>28</v>
      </c>
      <c r="Z108" s="45">
        <v>1180</v>
      </c>
      <c r="AA108" s="46">
        <v>624846</v>
      </c>
      <c r="AB108" s="46" t="s">
        <v>1360</v>
      </c>
      <c r="AC108" s="46" t="s">
        <v>861</v>
      </c>
      <c r="AD108" s="46" t="s">
        <v>938</v>
      </c>
      <c r="AE108" s="47">
        <v>300</v>
      </c>
      <c r="AF108" s="48" t="s">
        <v>1147</v>
      </c>
      <c r="AG108" s="48" t="s">
        <v>861</v>
      </c>
      <c r="AH108" s="48" t="s">
        <v>1149</v>
      </c>
      <c r="AI108" s="90">
        <v>866069063334344</v>
      </c>
      <c r="AJ108" s="89">
        <v>46127</v>
      </c>
      <c r="AK108" s="102">
        <f ca="1">IF(Table2[[#This Row],[تاريخ انتهاء ال GPS]]="","",IFERROR(_xlfn.DAYS(Table2[[#This Row],[تاريخ انتهاء ال GPS]],TODAY()),""))</f>
        <v>-133</v>
      </c>
      <c r="AL108" s="49" t="s">
        <v>1574</v>
      </c>
      <c r="AM108" s="50">
        <v>46621</v>
      </c>
      <c r="AN108" s="51">
        <f ca="1">IF(Table2[[#This Row],[تاريخ انتهاء بطاقة التشغيل]]="","",IFERROR(_xlfn.DAYS(Table2[[#This Row],[تاريخ انتهاء بطاقة التشغيل]],TODAY()),""))</f>
        <v>361</v>
      </c>
      <c r="AO108" s="80">
        <v>46398</v>
      </c>
      <c r="AP108" s="52">
        <f>Table2[[#This Row],[تاريخ انتهاء رخصة السير هجري]]</f>
        <v>46398</v>
      </c>
      <c r="AQ108" s="53">
        <f ca="1">IF(Table2[[#This Row],[تاريخ انتهاء رخصة السير ميلادي]]="","",IFERROR(_xlfn.DAYS(Table2[[#This Row],[تاريخ انتهاء رخصة السير ميلادي]],TODAY()),""))</f>
        <v>138</v>
      </c>
      <c r="AR108" s="55">
        <v>46398</v>
      </c>
      <c r="AS108" s="56">
        <f>Table2[[#This Row],[تاريخ انتهاء الفحص هجري]]</f>
        <v>46398</v>
      </c>
      <c r="AT108" s="106">
        <f ca="1">IF(Table2[[#This Row],[تاريخ انتهاء الفحص ميلادي]]="","",IFERROR(_xlfn.DAYS(Table2[[#This Row],[تاريخ انتهاء الفحص ميلادي]],TODAY()),""))</f>
        <v>138</v>
      </c>
      <c r="AU108" s="54"/>
      <c r="AV108" s="1"/>
      <c r="BE108" s="3"/>
      <c r="BH108" s="1"/>
    </row>
    <row r="109" spans="1:60" x14ac:dyDescent="0.3">
      <c r="A109" s="39" t="s">
        <v>19</v>
      </c>
      <c r="B109" s="39" t="s">
        <v>1193</v>
      </c>
      <c r="C109" s="39" t="s">
        <v>1193</v>
      </c>
      <c r="D109" s="39" t="s">
        <v>17</v>
      </c>
      <c r="E109" s="39" t="s">
        <v>819</v>
      </c>
      <c r="F109" s="40">
        <v>7025667531</v>
      </c>
      <c r="G109" s="41" t="s">
        <v>242</v>
      </c>
      <c r="H109" s="39" t="s">
        <v>243</v>
      </c>
      <c r="I109" s="58">
        <v>169565020</v>
      </c>
      <c r="J109" s="39" t="s">
        <v>20</v>
      </c>
      <c r="K109" s="39" t="s">
        <v>67</v>
      </c>
      <c r="L109" s="39" t="s">
        <v>22</v>
      </c>
      <c r="M109" s="39">
        <v>2024</v>
      </c>
      <c r="N109" s="39" t="s">
        <v>64</v>
      </c>
      <c r="O109" s="39" t="s">
        <v>1137</v>
      </c>
      <c r="P109" s="39" t="s">
        <v>1137</v>
      </c>
      <c r="Q109" s="39" t="s">
        <v>1137</v>
      </c>
      <c r="R109" s="124" t="s">
        <v>1137</v>
      </c>
      <c r="S109" s="124" t="s">
        <v>1137</v>
      </c>
      <c r="T109" s="124" t="s">
        <v>1137</v>
      </c>
      <c r="U109" s="42" t="s">
        <v>26</v>
      </c>
      <c r="V109" s="43">
        <v>46393</v>
      </c>
      <c r="W109" s="44">
        <f ca="1">IF(Table2[[#This Row],[تاريخ انتهاء التأمين]]="","",IFERROR(_xlfn.DAYS(Table2[[#This Row],[تاريخ انتهاء التأمين]],TODAY()),""))</f>
        <v>133</v>
      </c>
      <c r="X109" s="42" t="s">
        <v>27</v>
      </c>
      <c r="Y109" s="42" t="s">
        <v>28</v>
      </c>
      <c r="Z109" s="45">
        <v>1180</v>
      </c>
      <c r="AA109" s="46">
        <v>624847</v>
      </c>
      <c r="AB109" s="46" t="s">
        <v>1361</v>
      </c>
      <c r="AC109" s="46" t="s">
        <v>861</v>
      </c>
      <c r="AD109" s="46" t="s">
        <v>938</v>
      </c>
      <c r="AE109" s="47">
        <v>300</v>
      </c>
      <c r="AF109" s="48" t="s">
        <v>1147</v>
      </c>
      <c r="AG109" s="48" t="s">
        <v>861</v>
      </c>
      <c r="AH109" s="48" t="s">
        <v>1149</v>
      </c>
      <c r="AI109" s="90">
        <v>867747077357968</v>
      </c>
      <c r="AJ109" s="89">
        <v>46119</v>
      </c>
      <c r="AK109" s="102">
        <f ca="1">IF(Table2[[#This Row],[تاريخ انتهاء ال GPS]]="","",IFERROR(_xlfn.DAYS(Table2[[#This Row],[تاريخ انتهاء ال GPS]],TODAY()),""))</f>
        <v>-141</v>
      </c>
      <c r="AL109" s="49" t="s">
        <v>1065</v>
      </c>
      <c r="AM109" s="50">
        <v>46266</v>
      </c>
      <c r="AN109" s="51">
        <f ca="1">IF(Table2[[#This Row],[تاريخ انتهاء بطاقة التشغيل]]="","",IFERROR(_xlfn.DAYS(Table2[[#This Row],[تاريخ انتهاء بطاقة التشغيل]],TODAY()),""))</f>
        <v>6</v>
      </c>
      <c r="AO109" s="80">
        <v>46398</v>
      </c>
      <c r="AP109" s="52">
        <f>Table2[[#This Row],[تاريخ انتهاء رخصة السير هجري]]</f>
        <v>46398</v>
      </c>
      <c r="AQ109" s="53">
        <f ca="1">IF(Table2[[#This Row],[تاريخ انتهاء رخصة السير ميلادي]]="","",IFERROR(_xlfn.DAYS(Table2[[#This Row],[تاريخ انتهاء رخصة السير ميلادي]],TODAY()),""))</f>
        <v>138</v>
      </c>
      <c r="AR109" s="55">
        <v>46394</v>
      </c>
      <c r="AS109" s="56">
        <f>Table2[[#This Row],[تاريخ انتهاء الفحص هجري]]</f>
        <v>46394</v>
      </c>
      <c r="AT109" s="106">
        <f ca="1">IF(Table2[[#This Row],[تاريخ انتهاء الفحص ميلادي]]="","",IFERROR(_xlfn.DAYS(Table2[[#This Row],[تاريخ انتهاء الفحص ميلادي]],TODAY()),""))</f>
        <v>134</v>
      </c>
      <c r="AU109" s="54"/>
      <c r="AV109" s="1"/>
      <c r="BE109" s="3"/>
      <c r="BH109" s="1"/>
    </row>
    <row r="110" spans="1:60" x14ac:dyDescent="0.3">
      <c r="A110" s="39" t="s">
        <v>19</v>
      </c>
      <c r="B110" s="39" t="s">
        <v>2003</v>
      </c>
      <c r="C110" s="39" t="s">
        <v>2004</v>
      </c>
      <c r="D110" s="39" t="s">
        <v>17</v>
      </c>
      <c r="E110" s="39" t="s">
        <v>819</v>
      </c>
      <c r="F110" s="40">
        <v>7025667531</v>
      </c>
      <c r="G110" s="41" t="s">
        <v>244</v>
      </c>
      <c r="H110" s="39" t="s">
        <v>245</v>
      </c>
      <c r="I110" s="58">
        <v>479565020</v>
      </c>
      <c r="J110" s="39" t="s">
        <v>20</v>
      </c>
      <c r="K110" s="39" t="s">
        <v>67</v>
      </c>
      <c r="L110" s="39" t="s">
        <v>22</v>
      </c>
      <c r="M110" s="39">
        <v>2024</v>
      </c>
      <c r="N110" s="39" t="s">
        <v>64</v>
      </c>
      <c r="O110" s="39" t="s">
        <v>1864</v>
      </c>
      <c r="P110" s="58">
        <v>2586867323</v>
      </c>
      <c r="Q110" s="39" t="s">
        <v>1651</v>
      </c>
      <c r="R110" s="124">
        <v>46210</v>
      </c>
      <c r="S110" s="124">
        <v>46387</v>
      </c>
      <c r="T110" s="58">
        <f ca="1">IF(Table2[[#This Row],[تاريخ نهاية التفويض]]="","",IFERROR(_xlfn.DAYS(Table2[[#This Row],[تاريخ نهاية التفويض]],TODAY()),""))</f>
        <v>127</v>
      </c>
      <c r="U110" s="42" t="s">
        <v>26</v>
      </c>
      <c r="V110" s="43">
        <v>46393</v>
      </c>
      <c r="W110" s="44">
        <f ca="1">IF(Table2[[#This Row],[تاريخ انتهاء التأمين]]="","",IFERROR(_xlfn.DAYS(Table2[[#This Row],[تاريخ انتهاء التأمين]],TODAY()),""))</f>
        <v>133</v>
      </c>
      <c r="X110" s="42" t="s">
        <v>27</v>
      </c>
      <c r="Y110" s="42" t="s">
        <v>28</v>
      </c>
      <c r="Z110" s="45">
        <v>1180</v>
      </c>
      <c r="AA110" s="46">
        <v>624848</v>
      </c>
      <c r="AB110" s="46" t="s">
        <v>1362</v>
      </c>
      <c r="AC110" s="46" t="s">
        <v>861</v>
      </c>
      <c r="AD110" s="46" t="s">
        <v>938</v>
      </c>
      <c r="AE110" s="47">
        <v>300</v>
      </c>
      <c r="AF110" s="48" t="s">
        <v>1147</v>
      </c>
      <c r="AG110" s="48" t="s">
        <v>1173</v>
      </c>
      <c r="AH110" s="48" t="s">
        <v>1149</v>
      </c>
      <c r="AI110" s="90">
        <v>867747074928969</v>
      </c>
      <c r="AJ110" s="89">
        <v>46110</v>
      </c>
      <c r="AK110" s="102">
        <f ca="1">IF(Table2[[#This Row],[تاريخ انتهاء ال GPS]]="","",IFERROR(_xlfn.DAYS(Table2[[#This Row],[تاريخ انتهاء ال GPS]],TODAY()),""))</f>
        <v>-150</v>
      </c>
      <c r="AL110" s="49" t="s">
        <v>1066</v>
      </c>
      <c r="AM110" s="50">
        <v>46266</v>
      </c>
      <c r="AN110" s="51">
        <f ca="1">IF(Table2[[#This Row],[تاريخ انتهاء بطاقة التشغيل]]="","",IFERROR(_xlfn.DAYS(Table2[[#This Row],[تاريخ انتهاء بطاقة التشغيل]],TODAY()),""))</f>
        <v>6</v>
      </c>
      <c r="AO110" s="80">
        <v>46398</v>
      </c>
      <c r="AP110" s="52">
        <f>Table2[[#This Row],[تاريخ انتهاء رخصة السير هجري]]</f>
        <v>46398</v>
      </c>
      <c r="AQ110" s="53">
        <f ca="1">IF(Table2[[#This Row],[تاريخ انتهاء رخصة السير ميلادي]]="","",IFERROR(_xlfn.DAYS(Table2[[#This Row],[تاريخ انتهاء رخصة السير ميلادي]],TODAY()),""))</f>
        <v>138</v>
      </c>
      <c r="AR110" s="55">
        <v>46563</v>
      </c>
      <c r="AS110" s="56">
        <f>Table2[[#This Row],[تاريخ انتهاء الفحص هجري]]</f>
        <v>46563</v>
      </c>
      <c r="AT110" s="106">
        <f ca="1">IF(Table2[[#This Row],[تاريخ انتهاء الفحص ميلادي]]="","",IFERROR(_xlfn.DAYS(Table2[[#This Row],[تاريخ انتهاء الفحص ميلادي]],TODAY()),""))</f>
        <v>303</v>
      </c>
      <c r="AU110" s="54"/>
      <c r="AV110" s="1"/>
      <c r="BE110" s="3"/>
      <c r="BH110" s="1"/>
    </row>
    <row r="111" spans="1:60" x14ac:dyDescent="0.3">
      <c r="A111" s="39" t="s">
        <v>19</v>
      </c>
      <c r="B111" s="39" t="s">
        <v>2003</v>
      </c>
      <c r="C111" s="39" t="s">
        <v>2004</v>
      </c>
      <c r="D111" s="39" t="s">
        <v>17</v>
      </c>
      <c r="E111" s="39" t="s">
        <v>819</v>
      </c>
      <c r="F111" s="40">
        <v>7025667531</v>
      </c>
      <c r="G111" s="41" t="s">
        <v>246</v>
      </c>
      <c r="H111" s="39" t="s">
        <v>247</v>
      </c>
      <c r="I111" s="58">
        <v>99565020</v>
      </c>
      <c r="J111" s="39" t="s">
        <v>20</v>
      </c>
      <c r="K111" s="39" t="s">
        <v>67</v>
      </c>
      <c r="L111" s="39" t="s">
        <v>22</v>
      </c>
      <c r="M111" s="39">
        <v>2024</v>
      </c>
      <c r="N111" s="39" t="s">
        <v>64</v>
      </c>
      <c r="O111" s="39" t="s">
        <v>1865</v>
      </c>
      <c r="P111" s="58">
        <v>2570719415</v>
      </c>
      <c r="Q111" s="39" t="s">
        <v>1652</v>
      </c>
      <c r="R111" s="124">
        <v>45994</v>
      </c>
      <c r="S111" s="124">
        <v>46327</v>
      </c>
      <c r="T111" s="58">
        <f ca="1">IF(Table2[[#This Row],[تاريخ نهاية التفويض]]="","",IFERROR(_xlfn.DAYS(Table2[[#This Row],[تاريخ نهاية التفويض]],TODAY()),""))</f>
        <v>67</v>
      </c>
      <c r="U111" s="42" t="s">
        <v>26</v>
      </c>
      <c r="V111" s="43">
        <v>46393</v>
      </c>
      <c r="W111" s="44">
        <f ca="1">IF(Table2[[#This Row],[تاريخ انتهاء التأمين]]="","",IFERROR(_xlfn.DAYS(Table2[[#This Row],[تاريخ انتهاء التأمين]],TODAY()),""))</f>
        <v>133</v>
      </c>
      <c r="X111" s="42" t="s">
        <v>27</v>
      </c>
      <c r="Y111" s="42" t="s">
        <v>28</v>
      </c>
      <c r="Z111" s="45">
        <v>1180</v>
      </c>
      <c r="AA111" s="46">
        <v>624849</v>
      </c>
      <c r="AB111" s="46" t="s">
        <v>1363</v>
      </c>
      <c r="AC111" s="46" t="s">
        <v>861</v>
      </c>
      <c r="AD111" s="46" t="s">
        <v>938</v>
      </c>
      <c r="AE111" s="47">
        <v>300</v>
      </c>
      <c r="AF111" s="48" t="s">
        <v>1147</v>
      </c>
      <c r="AG111" s="48" t="s">
        <v>861</v>
      </c>
      <c r="AH111" s="48" t="s">
        <v>1149</v>
      </c>
      <c r="AI111" s="90">
        <v>867747070605363</v>
      </c>
      <c r="AJ111" s="89">
        <v>46121</v>
      </c>
      <c r="AK111" s="102">
        <f ca="1">IF(Table2[[#This Row],[تاريخ انتهاء ال GPS]]="","",IFERROR(_xlfn.DAYS(Table2[[#This Row],[تاريخ انتهاء ال GPS]],TODAY()),""))</f>
        <v>-139</v>
      </c>
      <c r="AL111" s="49" t="s">
        <v>1575</v>
      </c>
      <c r="AM111" s="50">
        <v>46621</v>
      </c>
      <c r="AN111" s="51">
        <f ca="1">IF(Table2[[#This Row],[تاريخ انتهاء بطاقة التشغيل]]="","",IFERROR(_xlfn.DAYS(Table2[[#This Row],[تاريخ انتهاء بطاقة التشغيل]],TODAY()),""))</f>
        <v>361</v>
      </c>
      <c r="AO111" s="80">
        <v>46398</v>
      </c>
      <c r="AP111" s="52">
        <f>Table2[[#This Row],[تاريخ انتهاء رخصة السير هجري]]</f>
        <v>46398</v>
      </c>
      <c r="AQ111" s="53">
        <f ca="1">IF(Table2[[#This Row],[تاريخ انتهاء رخصة السير ميلادي]]="","",IFERROR(_xlfn.DAYS(Table2[[#This Row],[تاريخ انتهاء رخصة السير ميلادي]],TODAY()),""))</f>
        <v>138</v>
      </c>
      <c r="AR111" s="55">
        <v>46398</v>
      </c>
      <c r="AS111" s="56">
        <f>Table2[[#This Row],[تاريخ انتهاء الفحص هجري]]</f>
        <v>46398</v>
      </c>
      <c r="AT111" s="106">
        <f ca="1">IF(Table2[[#This Row],[تاريخ انتهاء الفحص ميلادي]]="","",IFERROR(_xlfn.DAYS(Table2[[#This Row],[تاريخ انتهاء الفحص ميلادي]],TODAY()),""))</f>
        <v>138</v>
      </c>
      <c r="AU111" s="54"/>
      <c r="AV111" s="1"/>
      <c r="BE111" s="3"/>
      <c r="BH111" s="1"/>
    </row>
    <row r="112" spans="1:60" x14ac:dyDescent="0.3">
      <c r="A112" s="39" t="s">
        <v>19</v>
      </c>
      <c r="B112" s="39" t="s">
        <v>2003</v>
      </c>
      <c r="C112" s="39" t="s">
        <v>2004</v>
      </c>
      <c r="D112" s="39" t="s">
        <v>17</v>
      </c>
      <c r="E112" s="39" t="s">
        <v>819</v>
      </c>
      <c r="F112" s="40">
        <v>7025667531</v>
      </c>
      <c r="G112" s="41" t="s">
        <v>248</v>
      </c>
      <c r="H112" s="39" t="s">
        <v>249</v>
      </c>
      <c r="I112" s="58">
        <v>100665020</v>
      </c>
      <c r="J112" s="39" t="s">
        <v>20</v>
      </c>
      <c r="K112" s="39" t="s">
        <v>67</v>
      </c>
      <c r="L112" s="39" t="s">
        <v>22</v>
      </c>
      <c r="M112" s="39">
        <v>2024</v>
      </c>
      <c r="N112" s="39" t="s">
        <v>64</v>
      </c>
      <c r="O112" s="39" t="s">
        <v>1137</v>
      </c>
      <c r="P112" s="39" t="s">
        <v>1137</v>
      </c>
      <c r="Q112" s="39" t="s">
        <v>1137</v>
      </c>
      <c r="R112" s="124" t="s">
        <v>1137</v>
      </c>
      <c r="S112" s="124" t="s">
        <v>1137</v>
      </c>
      <c r="T112" s="124" t="s">
        <v>1137</v>
      </c>
      <c r="U112" s="42" t="s">
        <v>26</v>
      </c>
      <c r="V112" s="43">
        <v>46393</v>
      </c>
      <c r="W112" s="44">
        <f ca="1">IF(Table2[[#This Row],[تاريخ انتهاء التأمين]]="","",IFERROR(_xlfn.DAYS(Table2[[#This Row],[تاريخ انتهاء التأمين]],TODAY()),""))</f>
        <v>133</v>
      </c>
      <c r="X112" s="42" t="s">
        <v>27</v>
      </c>
      <c r="Y112" s="42" t="s">
        <v>28</v>
      </c>
      <c r="Z112" s="45">
        <v>1180</v>
      </c>
      <c r="AA112" s="46">
        <v>624871</v>
      </c>
      <c r="AB112" s="46" t="s">
        <v>1364</v>
      </c>
      <c r="AC112" s="46" t="s">
        <v>861</v>
      </c>
      <c r="AD112" s="46" t="s">
        <v>938</v>
      </c>
      <c r="AE112" s="47">
        <v>300</v>
      </c>
      <c r="AF112" s="48" t="s">
        <v>1147</v>
      </c>
      <c r="AG112" s="48" t="s">
        <v>861</v>
      </c>
      <c r="AH112" s="48" t="s">
        <v>1149</v>
      </c>
      <c r="AI112" s="90">
        <v>864454079675116</v>
      </c>
      <c r="AJ112" s="89">
        <v>46121</v>
      </c>
      <c r="AK112" s="102">
        <f ca="1">IF(Table2[[#This Row],[تاريخ انتهاء ال GPS]]="","",IFERROR(_xlfn.DAYS(Table2[[#This Row],[تاريخ انتهاء ال GPS]],TODAY()),""))</f>
        <v>-139</v>
      </c>
      <c r="AL112" s="49" t="s">
        <v>1067</v>
      </c>
      <c r="AM112" s="50">
        <v>46266</v>
      </c>
      <c r="AN112" s="51">
        <f ca="1">IF(Table2[[#This Row],[تاريخ انتهاء بطاقة التشغيل]]="","",IFERROR(_xlfn.DAYS(Table2[[#This Row],[تاريخ انتهاء بطاقة التشغيل]],TODAY()),""))</f>
        <v>6</v>
      </c>
      <c r="AO112" s="80">
        <v>46398</v>
      </c>
      <c r="AP112" s="52">
        <f>Table2[[#This Row],[تاريخ انتهاء رخصة السير هجري]]</f>
        <v>46398</v>
      </c>
      <c r="AQ112" s="53">
        <f ca="1">IF(Table2[[#This Row],[تاريخ انتهاء رخصة السير ميلادي]]="","",IFERROR(_xlfn.DAYS(Table2[[#This Row],[تاريخ انتهاء رخصة السير ميلادي]],TODAY()),""))</f>
        <v>138</v>
      </c>
      <c r="AR112" s="55">
        <v>46400</v>
      </c>
      <c r="AS112" s="56">
        <f>Table2[[#This Row],[تاريخ انتهاء الفحص هجري]]</f>
        <v>46400</v>
      </c>
      <c r="AT112" s="106">
        <f ca="1">IF(Table2[[#This Row],[تاريخ انتهاء الفحص ميلادي]]="","",IFERROR(_xlfn.DAYS(Table2[[#This Row],[تاريخ انتهاء الفحص ميلادي]],TODAY()),""))</f>
        <v>140</v>
      </c>
      <c r="AU112" s="54"/>
      <c r="AV112" s="1"/>
      <c r="BE112" s="3"/>
      <c r="BH112" s="1"/>
    </row>
    <row r="113" spans="1:60" x14ac:dyDescent="0.3">
      <c r="A113" s="39" t="s">
        <v>19</v>
      </c>
      <c r="B113" s="39" t="s">
        <v>1193</v>
      </c>
      <c r="C113" s="39" t="s">
        <v>1193</v>
      </c>
      <c r="D113" s="39" t="s">
        <v>17</v>
      </c>
      <c r="E113" s="39" t="s">
        <v>819</v>
      </c>
      <c r="F113" s="40">
        <v>7025667531</v>
      </c>
      <c r="G113" s="41" t="s">
        <v>250</v>
      </c>
      <c r="H113" s="39" t="s">
        <v>251</v>
      </c>
      <c r="I113" s="58">
        <v>510665020</v>
      </c>
      <c r="J113" s="39" t="s">
        <v>20</v>
      </c>
      <c r="K113" s="39" t="s">
        <v>67</v>
      </c>
      <c r="L113" s="39" t="s">
        <v>22</v>
      </c>
      <c r="M113" s="39">
        <v>2024</v>
      </c>
      <c r="N113" s="39" t="s">
        <v>64</v>
      </c>
      <c r="O113" s="39" t="s">
        <v>1137</v>
      </c>
      <c r="P113" s="39" t="s">
        <v>1137</v>
      </c>
      <c r="Q113" s="39" t="s">
        <v>1137</v>
      </c>
      <c r="R113" s="124" t="s">
        <v>1137</v>
      </c>
      <c r="S113" s="124" t="s">
        <v>1137</v>
      </c>
      <c r="T113" s="124" t="s">
        <v>1137</v>
      </c>
      <c r="U113" s="42" t="s">
        <v>26</v>
      </c>
      <c r="V113" s="43">
        <v>46393</v>
      </c>
      <c r="W113" s="44">
        <f ca="1">IF(Table2[[#This Row],[تاريخ انتهاء التأمين]]="","",IFERROR(_xlfn.DAYS(Table2[[#This Row],[تاريخ انتهاء التأمين]],TODAY()),""))</f>
        <v>133</v>
      </c>
      <c r="X113" s="42" t="s">
        <v>27</v>
      </c>
      <c r="Y113" s="42" t="s">
        <v>28</v>
      </c>
      <c r="Z113" s="45">
        <v>1180</v>
      </c>
      <c r="AA113" s="46">
        <v>624872</v>
      </c>
      <c r="AB113" s="46" t="s">
        <v>1365</v>
      </c>
      <c r="AC113" s="46" t="s">
        <v>861</v>
      </c>
      <c r="AD113" s="46" t="s">
        <v>938</v>
      </c>
      <c r="AE113" s="47">
        <v>300</v>
      </c>
      <c r="AF113" s="48" t="s">
        <v>1147</v>
      </c>
      <c r="AG113" s="48" t="s">
        <v>861</v>
      </c>
      <c r="AH113" s="48" t="s">
        <v>1149</v>
      </c>
      <c r="AI113" s="90">
        <v>867747070602378</v>
      </c>
      <c r="AJ113" s="89">
        <v>46127</v>
      </c>
      <c r="AK113" s="102">
        <f ca="1">IF(Table2[[#This Row],[تاريخ انتهاء ال GPS]]="","",IFERROR(_xlfn.DAYS(Table2[[#This Row],[تاريخ انتهاء ال GPS]],TODAY()),""))</f>
        <v>-133</v>
      </c>
      <c r="AL113" s="49" t="s">
        <v>1068</v>
      </c>
      <c r="AM113" s="50">
        <v>46266</v>
      </c>
      <c r="AN113" s="51">
        <f ca="1">IF(Table2[[#This Row],[تاريخ انتهاء بطاقة التشغيل]]="","",IFERROR(_xlfn.DAYS(Table2[[#This Row],[تاريخ انتهاء بطاقة التشغيل]],TODAY()),""))</f>
        <v>6</v>
      </c>
      <c r="AO113" s="80">
        <v>46398</v>
      </c>
      <c r="AP113" s="52">
        <f>Table2[[#This Row],[تاريخ انتهاء رخصة السير هجري]]</f>
        <v>46398</v>
      </c>
      <c r="AQ113" s="53">
        <f ca="1">IF(Table2[[#This Row],[تاريخ انتهاء رخصة السير ميلادي]]="","",IFERROR(_xlfn.DAYS(Table2[[#This Row],[تاريخ انتهاء رخصة السير ميلادي]],TODAY()),""))</f>
        <v>138</v>
      </c>
      <c r="AR113" s="55">
        <v>46399</v>
      </c>
      <c r="AS113" s="56">
        <f>Table2[[#This Row],[تاريخ انتهاء الفحص هجري]]</f>
        <v>46399</v>
      </c>
      <c r="AT113" s="106">
        <f ca="1">IF(Table2[[#This Row],[تاريخ انتهاء الفحص ميلادي]]="","",IFERROR(_xlfn.DAYS(Table2[[#This Row],[تاريخ انتهاء الفحص ميلادي]],TODAY()),""))</f>
        <v>139</v>
      </c>
      <c r="AU113" s="54"/>
      <c r="AV113" s="1"/>
      <c r="BE113" s="3"/>
      <c r="BH113" s="1"/>
    </row>
    <row r="114" spans="1:60" x14ac:dyDescent="0.3">
      <c r="A114" s="39" t="s">
        <v>19</v>
      </c>
      <c r="B114" s="39" t="s">
        <v>1183</v>
      </c>
      <c r="C114" s="39" t="s">
        <v>1187</v>
      </c>
      <c r="D114" s="39" t="s">
        <v>17</v>
      </c>
      <c r="E114" s="39" t="s">
        <v>819</v>
      </c>
      <c r="F114" s="40">
        <v>7025667531</v>
      </c>
      <c r="G114" s="41" t="s">
        <v>252</v>
      </c>
      <c r="H114" s="39" t="s">
        <v>253</v>
      </c>
      <c r="I114" s="58">
        <v>530665020</v>
      </c>
      <c r="J114" s="39" t="s">
        <v>20</v>
      </c>
      <c r="K114" s="39" t="s">
        <v>67</v>
      </c>
      <c r="L114" s="39" t="s">
        <v>22</v>
      </c>
      <c r="M114" s="39">
        <v>2024</v>
      </c>
      <c r="N114" s="39" t="s">
        <v>64</v>
      </c>
      <c r="O114" s="39" t="s">
        <v>1866</v>
      </c>
      <c r="P114" s="58">
        <v>2560883809</v>
      </c>
      <c r="Q114" s="39" t="s">
        <v>1653</v>
      </c>
      <c r="R114" s="124">
        <v>46245</v>
      </c>
      <c r="S114" s="124">
        <v>46387</v>
      </c>
      <c r="T114" s="58">
        <f ca="1">IF(Table2[[#This Row],[تاريخ نهاية التفويض]]="","",IFERROR(_xlfn.DAYS(Table2[[#This Row],[تاريخ نهاية التفويض]],TODAY()),""))</f>
        <v>127</v>
      </c>
      <c r="U114" s="42" t="s">
        <v>26</v>
      </c>
      <c r="V114" s="43">
        <v>46393</v>
      </c>
      <c r="W114" s="44">
        <f ca="1">IF(Table2[[#This Row],[تاريخ انتهاء التأمين]]="","",IFERROR(_xlfn.DAYS(Table2[[#This Row],[تاريخ انتهاء التأمين]],TODAY()),""))</f>
        <v>133</v>
      </c>
      <c r="X114" s="42" t="s">
        <v>27</v>
      </c>
      <c r="Y114" s="42" t="s">
        <v>28</v>
      </c>
      <c r="Z114" s="45">
        <v>1180</v>
      </c>
      <c r="AA114" s="46">
        <v>624873</v>
      </c>
      <c r="AB114" s="46" t="s">
        <v>1366</v>
      </c>
      <c r="AC114" s="46" t="s">
        <v>861</v>
      </c>
      <c r="AD114" s="46" t="s">
        <v>938</v>
      </c>
      <c r="AE114" s="47">
        <v>300</v>
      </c>
      <c r="AF114" s="48" t="s">
        <v>1147</v>
      </c>
      <c r="AG114" s="48" t="s">
        <v>861</v>
      </c>
      <c r="AH114" s="48" t="s">
        <v>1149</v>
      </c>
      <c r="AI114" s="90">
        <v>867747074928860</v>
      </c>
      <c r="AJ114" s="89">
        <v>46106</v>
      </c>
      <c r="AK114" s="102">
        <f ca="1">IF(Table2[[#This Row],[تاريخ انتهاء ال GPS]]="","",IFERROR(_xlfn.DAYS(Table2[[#This Row],[تاريخ انتهاء ال GPS]],TODAY()),""))</f>
        <v>-154</v>
      </c>
      <c r="AL114" s="49" t="s">
        <v>1576</v>
      </c>
      <c r="AM114" s="50">
        <v>46621</v>
      </c>
      <c r="AN114" s="51">
        <f ca="1">IF(Table2[[#This Row],[تاريخ انتهاء بطاقة التشغيل]]="","",IFERROR(_xlfn.DAYS(Table2[[#This Row],[تاريخ انتهاء بطاقة التشغيل]],TODAY()),""))</f>
        <v>361</v>
      </c>
      <c r="AO114" s="80">
        <v>46398</v>
      </c>
      <c r="AP114" s="52">
        <f>Table2[[#This Row],[تاريخ انتهاء رخصة السير هجري]]</f>
        <v>46398</v>
      </c>
      <c r="AQ114" s="53">
        <f ca="1">IF(Table2[[#This Row],[تاريخ انتهاء رخصة السير ميلادي]]="","",IFERROR(_xlfn.DAYS(Table2[[#This Row],[تاريخ انتهاء رخصة السير ميلادي]],TODAY()),""))</f>
        <v>138</v>
      </c>
      <c r="AR114" s="55">
        <v>46394</v>
      </c>
      <c r="AS114" s="56">
        <f>Table2[[#This Row],[تاريخ انتهاء الفحص هجري]]</f>
        <v>46394</v>
      </c>
      <c r="AT114" s="106">
        <f ca="1">IF(Table2[[#This Row],[تاريخ انتهاء الفحص ميلادي]]="","",IFERROR(_xlfn.DAYS(Table2[[#This Row],[تاريخ انتهاء الفحص ميلادي]],TODAY()),""))</f>
        <v>134</v>
      </c>
      <c r="AU114" s="54"/>
      <c r="AV114" s="1"/>
      <c r="BE114" s="3"/>
      <c r="BH114" s="1"/>
    </row>
    <row r="115" spans="1:60" x14ac:dyDescent="0.3">
      <c r="A115" s="39" t="s">
        <v>19</v>
      </c>
      <c r="B115" s="39" t="s">
        <v>2003</v>
      </c>
      <c r="C115" s="39" t="s">
        <v>2004</v>
      </c>
      <c r="D115" s="39" t="s">
        <v>17</v>
      </c>
      <c r="E115" s="39" t="s">
        <v>819</v>
      </c>
      <c r="F115" s="40">
        <v>7025667531</v>
      </c>
      <c r="G115" s="41" t="s">
        <v>254</v>
      </c>
      <c r="H115" s="39" t="s">
        <v>255</v>
      </c>
      <c r="I115" s="58">
        <v>150665020</v>
      </c>
      <c r="J115" s="39" t="s">
        <v>20</v>
      </c>
      <c r="K115" s="39" t="s">
        <v>67</v>
      </c>
      <c r="L115" s="39" t="s">
        <v>22</v>
      </c>
      <c r="M115" s="39">
        <v>2024</v>
      </c>
      <c r="N115" s="39" t="s">
        <v>64</v>
      </c>
      <c r="O115" s="39" t="s">
        <v>1867</v>
      </c>
      <c r="P115" s="58">
        <v>2575175340</v>
      </c>
      <c r="Q115" s="39" t="s">
        <v>1654</v>
      </c>
      <c r="R115" s="124">
        <v>46210</v>
      </c>
      <c r="S115" s="124">
        <v>46387</v>
      </c>
      <c r="T115" s="58">
        <f ca="1">IF(Table2[[#This Row],[تاريخ نهاية التفويض]]="","",IFERROR(_xlfn.DAYS(Table2[[#This Row],[تاريخ نهاية التفويض]],TODAY()),""))</f>
        <v>127</v>
      </c>
      <c r="U115" s="42" t="s">
        <v>26</v>
      </c>
      <c r="V115" s="43">
        <v>46393</v>
      </c>
      <c r="W115" s="44">
        <f ca="1">IF(Table2[[#This Row],[تاريخ انتهاء التأمين]]="","",IFERROR(_xlfn.DAYS(Table2[[#This Row],[تاريخ انتهاء التأمين]],TODAY()),""))</f>
        <v>133</v>
      </c>
      <c r="X115" s="42" t="s">
        <v>27</v>
      </c>
      <c r="Y115" s="42" t="s">
        <v>28</v>
      </c>
      <c r="Z115" s="45">
        <v>1180</v>
      </c>
      <c r="AA115" s="46">
        <v>624874</v>
      </c>
      <c r="AB115" s="46" t="s">
        <v>1367</v>
      </c>
      <c r="AC115" s="46" t="s">
        <v>861</v>
      </c>
      <c r="AD115" s="46" t="s">
        <v>938</v>
      </c>
      <c r="AE115" s="47">
        <v>300</v>
      </c>
      <c r="AF115" s="48" t="s">
        <v>1147</v>
      </c>
      <c r="AG115" s="48" t="s">
        <v>861</v>
      </c>
      <c r="AH115" s="48" t="s">
        <v>1149</v>
      </c>
      <c r="AI115" s="90">
        <v>866069063659765</v>
      </c>
      <c r="AJ115" s="89">
        <v>46107</v>
      </c>
      <c r="AK115" s="102">
        <f ca="1">IF(Table2[[#This Row],[تاريخ انتهاء ال GPS]]="","",IFERROR(_xlfn.DAYS(Table2[[#This Row],[تاريخ انتهاء ال GPS]],TODAY()),""))</f>
        <v>-153</v>
      </c>
      <c r="AL115" s="49" t="s">
        <v>1577</v>
      </c>
      <c r="AM115" s="50">
        <v>46621</v>
      </c>
      <c r="AN115" s="51">
        <f ca="1">IF(Table2[[#This Row],[تاريخ انتهاء بطاقة التشغيل]]="","",IFERROR(_xlfn.DAYS(Table2[[#This Row],[تاريخ انتهاء بطاقة التشغيل]],TODAY()),""))</f>
        <v>361</v>
      </c>
      <c r="AO115" s="80">
        <v>46398</v>
      </c>
      <c r="AP115" s="52">
        <f>Table2[[#This Row],[تاريخ انتهاء رخصة السير هجري]]</f>
        <v>46398</v>
      </c>
      <c r="AQ115" s="53">
        <f ca="1">IF(Table2[[#This Row],[تاريخ انتهاء رخصة السير ميلادي]]="","",IFERROR(_xlfn.DAYS(Table2[[#This Row],[تاريخ انتهاء رخصة السير ميلادي]],TODAY()),""))</f>
        <v>138</v>
      </c>
      <c r="AR115" s="55">
        <v>46562</v>
      </c>
      <c r="AS115" s="56">
        <f>Table2[[#This Row],[تاريخ انتهاء الفحص هجري]]</f>
        <v>46562</v>
      </c>
      <c r="AT115" s="106">
        <f ca="1">IF(Table2[[#This Row],[تاريخ انتهاء الفحص ميلادي]]="","",IFERROR(_xlfn.DAYS(Table2[[#This Row],[تاريخ انتهاء الفحص ميلادي]],TODAY()),""))</f>
        <v>302</v>
      </c>
      <c r="AU115" s="54"/>
      <c r="AV115" s="1"/>
      <c r="BE115" s="3"/>
      <c r="BH115" s="1"/>
    </row>
    <row r="116" spans="1:60" x14ac:dyDescent="0.3">
      <c r="A116" s="39" t="s">
        <v>19</v>
      </c>
      <c r="B116" s="39" t="s">
        <v>2000</v>
      </c>
      <c r="C116" s="39" t="s">
        <v>1187</v>
      </c>
      <c r="D116" s="39" t="s">
        <v>17</v>
      </c>
      <c r="E116" s="39" t="s">
        <v>819</v>
      </c>
      <c r="F116" s="40">
        <v>7025667531</v>
      </c>
      <c r="G116" s="41" t="s">
        <v>256</v>
      </c>
      <c r="H116" s="39" t="s">
        <v>257</v>
      </c>
      <c r="I116" s="58">
        <v>480665020</v>
      </c>
      <c r="J116" s="39" t="s">
        <v>20</v>
      </c>
      <c r="K116" s="39" t="s">
        <v>67</v>
      </c>
      <c r="L116" s="39" t="s">
        <v>22</v>
      </c>
      <c r="M116" s="39">
        <v>2024</v>
      </c>
      <c r="N116" s="39" t="s">
        <v>64</v>
      </c>
      <c r="O116" s="125" t="s">
        <v>1827</v>
      </c>
      <c r="P116" s="126">
        <v>2578744076</v>
      </c>
      <c r="Q116" s="58">
        <v>101448002419639</v>
      </c>
      <c r="R116" s="124">
        <v>46259</v>
      </c>
      <c r="S116" s="124">
        <v>46387</v>
      </c>
      <c r="T116" s="58">
        <f ca="1">IF(Table2[[#This Row],[تاريخ نهاية التفويض]]="","",IFERROR(_xlfn.DAYS(Table2[[#This Row],[تاريخ نهاية التفويض]],TODAY()),""))</f>
        <v>127</v>
      </c>
      <c r="U116" s="42" t="s">
        <v>26</v>
      </c>
      <c r="V116" s="43">
        <v>46393</v>
      </c>
      <c r="W116" s="44">
        <f ca="1">IF(Table2[[#This Row],[تاريخ انتهاء التأمين]]="","",IFERROR(_xlfn.DAYS(Table2[[#This Row],[تاريخ انتهاء التأمين]],TODAY()),""))</f>
        <v>133</v>
      </c>
      <c r="X116" s="42" t="s">
        <v>27</v>
      </c>
      <c r="Y116" s="42" t="s">
        <v>28</v>
      </c>
      <c r="Z116" s="45">
        <v>1180</v>
      </c>
      <c r="AA116" s="46">
        <v>624875</v>
      </c>
      <c r="AB116" s="46" t="s">
        <v>1368</v>
      </c>
      <c r="AC116" s="46" t="s">
        <v>861</v>
      </c>
      <c r="AD116" s="46" t="s">
        <v>938</v>
      </c>
      <c r="AE116" s="47">
        <v>300</v>
      </c>
      <c r="AF116" s="48" t="s">
        <v>1147</v>
      </c>
      <c r="AG116" s="48" t="s">
        <v>1173</v>
      </c>
      <c r="AH116" s="48" t="s">
        <v>1149</v>
      </c>
      <c r="AI116" s="90">
        <v>866069063454324</v>
      </c>
      <c r="AJ116" s="89">
        <v>46107</v>
      </c>
      <c r="AK116" s="102">
        <f ca="1">IF(Table2[[#This Row],[تاريخ انتهاء ال GPS]]="","",IFERROR(_xlfn.DAYS(Table2[[#This Row],[تاريخ انتهاء ال GPS]],TODAY()),""))</f>
        <v>-153</v>
      </c>
      <c r="AL116" s="49" t="s">
        <v>1069</v>
      </c>
      <c r="AM116" s="50">
        <v>46266</v>
      </c>
      <c r="AN116" s="51">
        <f ca="1">IF(Table2[[#This Row],[تاريخ انتهاء بطاقة التشغيل]]="","",IFERROR(_xlfn.DAYS(Table2[[#This Row],[تاريخ انتهاء بطاقة التشغيل]],TODAY()),""))</f>
        <v>6</v>
      </c>
      <c r="AO116" s="80">
        <v>46398</v>
      </c>
      <c r="AP116" s="52">
        <f>Table2[[#This Row],[تاريخ انتهاء رخصة السير هجري]]</f>
        <v>46398</v>
      </c>
      <c r="AQ116" s="53">
        <f ca="1">IF(Table2[[#This Row],[تاريخ انتهاء رخصة السير ميلادي]]="","",IFERROR(_xlfn.DAYS(Table2[[#This Row],[تاريخ انتهاء رخصة السير ميلادي]],TODAY()),""))</f>
        <v>138</v>
      </c>
      <c r="AR116" s="55">
        <v>46399</v>
      </c>
      <c r="AS116" s="56">
        <f>Table2[[#This Row],[تاريخ انتهاء الفحص هجري]]</f>
        <v>46399</v>
      </c>
      <c r="AT116" s="106">
        <f ca="1">IF(Table2[[#This Row],[تاريخ انتهاء الفحص ميلادي]]="","",IFERROR(_xlfn.DAYS(Table2[[#This Row],[تاريخ انتهاء الفحص ميلادي]],TODAY()),""))</f>
        <v>139</v>
      </c>
      <c r="AU116" s="54"/>
      <c r="AV116" s="1"/>
      <c r="BE116" s="3"/>
      <c r="BH116" s="1"/>
    </row>
    <row r="117" spans="1:60" x14ac:dyDescent="0.3">
      <c r="A117" s="39" t="s">
        <v>19</v>
      </c>
      <c r="B117" s="39" t="s">
        <v>1183</v>
      </c>
      <c r="C117" s="39" t="s">
        <v>1187</v>
      </c>
      <c r="D117" s="39" t="s">
        <v>17</v>
      </c>
      <c r="E117" s="39" t="s">
        <v>819</v>
      </c>
      <c r="F117" s="40">
        <v>7025667531</v>
      </c>
      <c r="G117" s="41" t="s">
        <v>258</v>
      </c>
      <c r="H117" s="39" t="s">
        <v>259</v>
      </c>
      <c r="I117" s="58">
        <v>1665020</v>
      </c>
      <c r="J117" s="39" t="s">
        <v>20</v>
      </c>
      <c r="K117" s="39" t="s">
        <v>67</v>
      </c>
      <c r="L117" s="39" t="s">
        <v>22</v>
      </c>
      <c r="M117" s="39">
        <v>2024</v>
      </c>
      <c r="N117" s="39" t="s">
        <v>64</v>
      </c>
      <c r="O117" s="39" t="s">
        <v>1868</v>
      </c>
      <c r="P117" s="58">
        <v>2562666756</v>
      </c>
      <c r="Q117" s="39" t="s">
        <v>1655</v>
      </c>
      <c r="R117" s="124">
        <v>46244</v>
      </c>
      <c r="S117" s="124">
        <v>46387</v>
      </c>
      <c r="T117" s="58">
        <f ca="1">IF(Table2[[#This Row],[تاريخ نهاية التفويض]]="","",IFERROR(_xlfn.DAYS(Table2[[#This Row],[تاريخ نهاية التفويض]],TODAY()),""))</f>
        <v>127</v>
      </c>
      <c r="U117" s="42" t="s">
        <v>26</v>
      </c>
      <c r="V117" s="43">
        <v>46393</v>
      </c>
      <c r="W117" s="44">
        <f ca="1">IF(Table2[[#This Row],[تاريخ انتهاء التأمين]]="","",IFERROR(_xlfn.DAYS(Table2[[#This Row],[تاريخ انتهاء التأمين]],TODAY()),""))</f>
        <v>133</v>
      </c>
      <c r="X117" s="42" t="s">
        <v>27</v>
      </c>
      <c r="Y117" s="42" t="s">
        <v>28</v>
      </c>
      <c r="Z117" s="45">
        <v>1180</v>
      </c>
      <c r="AA117" s="46">
        <v>624876</v>
      </c>
      <c r="AB117" s="46" t="s">
        <v>1138</v>
      </c>
      <c r="AC117" s="46" t="s">
        <v>861</v>
      </c>
      <c r="AD117" s="46" t="s">
        <v>938</v>
      </c>
      <c r="AE117" s="47">
        <v>300</v>
      </c>
      <c r="AF117" s="48" t="s">
        <v>1147</v>
      </c>
      <c r="AG117" s="48" t="s">
        <v>861</v>
      </c>
      <c r="AH117" s="48" t="s">
        <v>1149</v>
      </c>
      <c r="AI117" s="90">
        <v>867747077358057</v>
      </c>
      <c r="AJ117" s="89">
        <v>46125</v>
      </c>
      <c r="AK117" s="102">
        <f ca="1">IF(Table2[[#This Row],[تاريخ انتهاء ال GPS]]="","",IFERROR(_xlfn.DAYS(Table2[[#This Row],[تاريخ انتهاء ال GPS]],TODAY()),""))</f>
        <v>-135</v>
      </c>
      <c r="AL117" s="49" t="s">
        <v>1070</v>
      </c>
      <c r="AM117" s="50">
        <v>46266</v>
      </c>
      <c r="AN117" s="51">
        <f ca="1">IF(Table2[[#This Row],[تاريخ انتهاء بطاقة التشغيل]]="","",IFERROR(_xlfn.DAYS(Table2[[#This Row],[تاريخ انتهاء بطاقة التشغيل]],TODAY()),""))</f>
        <v>6</v>
      </c>
      <c r="AO117" s="80">
        <v>46398</v>
      </c>
      <c r="AP117" s="52">
        <f>Table2[[#This Row],[تاريخ انتهاء رخصة السير هجري]]</f>
        <v>46398</v>
      </c>
      <c r="AQ117" s="53">
        <f ca="1">IF(Table2[[#This Row],[تاريخ انتهاء رخصة السير ميلادي]]="","",IFERROR(_xlfn.DAYS(Table2[[#This Row],[تاريخ انتهاء رخصة السير ميلادي]],TODAY()),""))</f>
        <v>138</v>
      </c>
      <c r="AR117" s="55">
        <v>46404</v>
      </c>
      <c r="AS117" s="56">
        <f>Table2[[#This Row],[تاريخ انتهاء الفحص هجري]]</f>
        <v>46404</v>
      </c>
      <c r="AT117" s="106">
        <f ca="1">IF(Table2[[#This Row],[تاريخ انتهاء الفحص ميلادي]]="","",IFERROR(_xlfn.DAYS(Table2[[#This Row],[تاريخ انتهاء الفحص ميلادي]],TODAY()),""))</f>
        <v>144</v>
      </c>
      <c r="AU117" s="54"/>
      <c r="AV117" s="1"/>
      <c r="BE117" s="3"/>
      <c r="BH117" s="1"/>
    </row>
    <row r="118" spans="1:60" x14ac:dyDescent="0.3">
      <c r="A118" s="39" t="s">
        <v>19</v>
      </c>
      <c r="B118" s="39" t="s">
        <v>2000</v>
      </c>
      <c r="C118" s="39" t="s">
        <v>1187</v>
      </c>
      <c r="D118" s="39" t="s">
        <v>17</v>
      </c>
      <c r="E118" s="39" t="s">
        <v>819</v>
      </c>
      <c r="F118" s="40">
        <v>7025667531</v>
      </c>
      <c r="G118" s="41" t="s">
        <v>260</v>
      </c>
      <c r="H118" s="39" t="s">
        <v>261</v>
      </c>
      <c r="I118" s="58">
        <v>721665020</v>
      </c>
      <c r="J118" s="39" t="s">
        <v>20</v>
      </c>
      <c r="K118" s="39" t="s">
        <v>67</v>
      </c>
      <c r="L118" s="39" t="s">
        <v>22</v>
      </c>
      <c r="M118" s="39">
        <v>2024</v>
      </c>
      <c r="N118" s="39" t="s">
        <v>64</v>
      </c>
      <c r="O118" s="39" t="s">
        <v>1992</v>
      </c>
      <c r="P118" s="58" t="s">
        <v>1656</v>
      </c>
      <c r="Q118" s="39" t="s">
        <v>1657</v>
      </c>
      <c r="R118" s="124">
        <v>46222</v>
      </c>
      <c r="S118" s="124">
        <v>46387</v>
      </c>
      <c r="T118" s="58">
        <f ca="1">IF(Table2[[#This Row],[تاريخ نهاية التفويض]]="","",IFERROR(_xlfn.DAYS(Table2[[#This Row],[تاريخ نهاية التفويض]],TODAY()),""))</f>
        <v>127</v>
      </c>
      <c r="U118" s="42" t="s">
        <v>26</v>
      </c>
      <c r="V118" s="43">
        <v>46393</v>
      </c>
      <c r="W118" s="44">
        <f ca="1">IF(Table2[[#This Row],[تاريخ انتهاء التأمين]]="","",IFERROR(_xlfn.DAYS(Table2[[#This Row],[تاريخ انتهاء التأمين]],TODAY()),""))</f>
        <v>133</v>
      </c>
      <c r="X118" s="42" t="s">
        <v>27</v>
      </c>
      <c r="Y118" s="42" t="s">
        <v>28</v>
      </c>
      <c r="Z118" s="45">
        <v>1180</v>
      </c>
      <c r="AA118" s="46">
        <v>624877</v>
      </c>
      <c r="AB118" s="46" t="s">
        <v>1369</v>
      </c>
      <c r="AC118" s="46" t="s">
        <v>861</v>
      </c>
      <c r="AD118" s="46" t="s">
        <v>938</v>
      </c>
      <c r="AE118" s="47">
        <v>300</v>
      </c>
      <c r="AF118" s="48" t="s">
        <v>1147</v>
      </c>
      <c r="AG118" s="48" t="s">
        <v>861</v>
      </c>
      <c r="AH118" s="48" t="s">
        <v>1149</v>
      </c>
      <c r="AI118" s="90">
        <v>867747077360954</v>
      </c>
      <c r="AJ118" s="89">
        <v>46125</v>
      </c>
      <c r="AK118" s="102">
        <f ca="1">IF(Table2[[#This Row],[تاريخ انتهاء ال GPS]]="","",IFERROR(_xlfn.DAYS(Table2[[#This Row],[تاريخ انتهاء ال GPS]],TODAY()),""))</f>
        <v>-135</v>
      </c>
      <c r="AL118" s="49" t="s">
        <v>1071</v>
      </c>
      <c r="AM118" s="50">
        <v>46266</v>
      </c>
      <c r="AN118" s="51">
        <f ca="1">IF(Table2[[#This Row],[تاريخ انتهاء بطاقة التشغيل]]="","",IFERROR(_xlfn.DAYS(Table2[[#This Row],[تاريخ انتهاء بطاقة التشغيل]],TODAY()),""))</f>
        <v>6</v>
      </c>
      <c r="AO118" s="80">
        <v>46398</v>
      </c>
      <c r="AP118" s="52">
        <f>Table2[[#This Row],[تاريخ انتهاء رخصة السير هجري]]</f>
        <v>46398</v>
      </c>
      <c r="AQ118" s="53">
        <f ca="1">IF(Table2[[#This Row],[تاريخ انتهاء رخصة السير ميلادي]]="","",IFERROR(_xlfn.DAYS(Table2[[#This Row],[تاريخ انتهاء رخصة السير ميلادي]],TODAY()),""))</f>
        <v>138</v>
      </c>
      <c r="AR118" s="55">
        <v>46582</v>
      </c>
      <c r="AS118" s="56">
        <f>Table2[[#This Row],[تاريخ انتهاء الفحص هجري]]</f>
        <v>46582</v>
      </c>
      <c r="AT118" s="106">
        <f ca="1">IF(Table2[[#This Row],[تاريخ انتهاء الفحص ميلادي]]="","",IFERROR(_xlfn.DAYS(Table2[[#This Row],[تاريخ انتهاء الفحص ميلادي]],TODAY()),""))</f>
        <v>322</v>
      </c>
      <c r="AU118" s="54"/>
      <c r="AV118" s="1"/>
      <c r="BE118" s="3"/>
      <c r="BH118" s="1"/>
    </row>
    <row r="119" spans="1:60" x14ac:dyDescent="0.3">
      <c r="A119" s="39" t="s">
        <v>19</v>
      </c>
      <c r="B119" s="39" t="s">
        <v>2003</v>
      </c>
      <c r="C119" s="39" t="s">
        <v>2004</v>
      </c>
      <c r="D119" s="39" t="s">
        <v>17</v>
      </c>
      <c r="E119" s="39" t="s">
        <v>819</v>
      </c>
      <c r="F119" s="40">
        <v>7025667531</v>
      </c>
      <c r="G119" s="41" t="s">
        <v>262</v>
      </c>
      <c r="H119" s="39" t="s">
        <v>263</v>
      </c>
      <c r="I119" s="58">
        <v>231665020</v>
      </c>
      <c r="J119" s="39" t="s">
        <v>20</v>
      </c>
      <c r="K119" s="39" t="s">
        <v>67</v>
      </c>
      <c r="L119" s="39" t="s">
        <v>22</v>
      </c>
      <c r="M119" s="39">
        <v>2024</v>
      </c>
      <c r="N119" s="39" t="s">
        <v>64</v>
      </c>
      <c r="O119" s="39" t="s">
        <v>1869</v>
      </c>
      <c r="P119" s="58">
        <v>2562206058</v>
      </c>
      <c r="Q119" s="39" t="s">
        <v>1658</v>
      </c>
      <c r="R119" s="124">
        <v>46025</v>
      </c>
      <c r="S119" s="124">
        <v>46327</v>
      </c>
      <c r="T119" s="58">
        <f ca="1">IF(Table2[[#This Row],[تاريخ نهاية التفويض]]="","",IFERROR(_xlfn.DAYS(Table2[[#This Row],[تاريخ نهاية التفويض]],TODAY()),""))</f>
        <v>67</v>
      </c>
      <c r="U119" s="42" t="s">
        <v>26</v>
      </c>
      <c r="V119" s="43">
        <v>46393</v>
      </c>
      <c r="W119" s="44">
        <f ca="1">IF(Table2[[#This Row],[تاريخ انتهاء التأمين]]="","",IFERROR(_xlfn.DAYS(Table2[[#This Row],[تاريخ انتهاء التأمين]],TODAY()),""))</f>
        <v>133</v>
      </c>
      <c r="X119" s="42" t="s">
        <v>27</v>
      </c>
      <c r="Y119" s="42" t="s">
        <v>28</v>
      </c>
      <c r="Z119" s="45">
        <v>1180</v>
      </c>
      <c r="AA119" s="46">
        <v>624878</v>
      </c>
      <c r="AB119" s="46" t="s">
        <v>1370</v>
      </c>
      <c r="AC119" s="46" t="s">
        <v>861</v>
      </c>
      <c r="AD119" s="46" t="s">
        <v>938</v>
      </c>
      <c r="AE119" s="47">
        <v>300</v>
      </c>
      <c r="AF119" s="48" t="s">
        <v>1147</v>
      </c>
      <c r="AG119" s="48" t="s">
        <v>1173</v>
      </c>
      <c r="AH119" s="48" t="s">
        <v>1149</v>
      </c>
      <c r="AI119" s="90">
        <v>867747074929058</v>
      </c>
      <c r="AJ119" s="89">
        <v>46106</v>
      </c>
      <c r="AK119" s="102">
        <f ca="1">IF(Table2[[#This Row],[تاريخ انتهاء ال GPS]]="","",IFERROR(_xlfn.DAYS(Table2[[#This Row],[تاريخ انتهاء ال GPS]],TODAY()),""))</f>
        <v>-154</v>
      </c>
      <c r="AL119" s="49" t="s">
        <v>1072</v>
      </c>
      <c r="AM119" s="50">
        <v>46266</v>
      </c>
      <c r="AN119" s="51">
        <f ca="1">IF(Table2[[#This Row],[تاريخ انتهاء بطاقة التشغيل]]="","",IFERROR(_xlfn.DAYS(Table2[[#This Row],[تاريخ انتهاء بطاقة التشغيل]],TODAY()),""))</f>
        <v>6</v>
      </c>
      <c r="AO119" s="80">
        <v>46398</v>
      </c>
      <c r="AP119" s="52">
        <f>Table2[[#This Row],[تاريخ انتهاء رخصة السير هجري]]</f>
        <v>46398</v>
      </c>
      <c r="AQ119" s="53">
        <f ca="1">IF(Table2[[#This Row],[تاريخ انتهاء رخصة السير ميلادي]]="","",IFERROR(_xlfn.DAYS(Table2[[#This Row],[تاريخ انتهاء رخصة السير ميلادي]],TODAY()),""))</f>
        <v>138</v>
      </c>
      <c r="AR119" s="55">
        <v>46397</v>
      </c>
      <c r="AS119" s="56">
        <f>Table2[[#This Row],[تاريخ انتهاء الفحص هجري]]</f>
        <v>46397</v>
      </c>
      <c r="AT119" s="106">
        <f ca="1">IF(Table2[[#This Row],[تاريخ انتهاء الفحص ميلادي]]="","",IFERROR(_xlfn.DAYS(Table2[[#This Row],[تاريخ انتهاء الفحص ميلادي]],TODAY()),""))</f>
        <v>137</v>
      </c>
      <c r="AU119" s="54"/>
      <c r="AV119" s="1"/>
      <c r="BE119" s="3"/>
      <c r="BH119" s="1"/>
    </row>
    <row r="120" spans="1:60" x14ac:dyDescent="0.3">
      <c r="A120" s="39" t="s">
        <v>19</v>
      </c>
      <c r="B120" s="39" t="s">
        <v>2003</v>
      </c>
      <c r="C120" s="39" t="s">
        <v>2004</v>
      </c>
      <c r="D120" s="39" t="s">
        <v>17</v>
      </c>
      <c r="E120" s="39" t="s">
        <v>819</v>
      </c>
      <c r="F120" s="40">
        <v>7025667531</v>
      </c>
      <c r="G120" s="41" t="s">
        <v>264</v>
      </c>
      <c r="H120" s="39" t="s">
        <v>265</v>
      </c>
      <c r="I120" s="58">
        <v>151665020</v>
      </c>
      <c r="J120" s="39" t="s">
        <v>20</v>
      </c>
      <c r="K120" s="39" t="s">
        <v>67</v>
      </c>
      <c r="L120" s="39" t="s">
        <v>22</v>
      </c>
      <c r="M120" s="39">
        <v>2024</v>
      </c>
      <c r="N120" s="39" t="s">
        <v>64</v>
      </c>
      <c r="O120" s="39" t="s">
        <v>1870</v>
      </c>
      <c r="P120" s="58">
        <v>2567991936</v>
      </c>
      <c r="Q120" s="39" t="s">
        <v>1659</v>
      </c>
      <c r="R120" s="124">
        <v>45994</v>
      </c>
      <c r="S120" s="124">
        <v>46327</v>
      </c>
      <c r="T120" s="58">
        <f ca="1">IF(Table2[[#This Row],[تاريخ نهاية التفويض]]="","",IFERROR(_xlfn.DAYS(Table2[[#This Row],[تاريخ نهاية التفويض]],TODAY()),""))</f>
        <v>67</v>
      </c>
      <c r="U120" s="42" t="s">
        <v>26</v>
      </c>
      <c r="V120" s="43">
        <v>46393</v>
      </c>
      <c r="W120" s="44">
        <f ca="1">IF(Table2[[#This Row],[تاريخ انتهاء التأمين]]="","",IFERROR(_xlfn.DAYS(Table2[[#This Row],[تاريخ انتهاء التأمين]],TODAY()),""))</f>
        <v>133</v>
      </c>
      <c r="X120" s="42" t="s">
        <v>27</v>
      </c>
      <c r="Y120" s="42" t="s">
        <v>28</v>
      </c>
      <c r="Z120" s="45">
        <v>1180</v>
      </c>
      <c r="AA120" s="46">
        <v>624879</v>
      </c>
      <c r="AB120" s="46" t="s">
        <v>1371</v>
      </c>
      <c r="AC120" s="46" t="s">
        <v>861</v>
      </c>
      <c r="AD120" s="46" t="s">
        <v>938</v>
      </c>
      <c r="AE120" s="47">
        <v>300</v>
      </c>
      <c r="AF120" s="48" t="s">
        <v>1147</v>
      </c>
      <c r="AG120" s="48" t="s">
        <v>861</v>
      </c>
      <c r="AH120" s="48" t="s">
        <v>1149</v>
      </c>
      <c r="AI120" s="90">
        <v>866069063012387</v>
      </c>
      <c r="AJ120" s="89">
        <v>46107</v>
      </c>
      <c r="AK120" s="102">
        <f ca="1">IF(Table2[[#This Row],[تاريخ انتهاء ال GPS]]="","",IFERROR(_xlfn.DAYS(Table2[[#This Row],[تاريخ انتهاء ال GPS]],TODAY()),""))</f>
        <v>-153</v>
      </c>
      <c r="AL120" s="49" t="s">
        <v>1073</v>
      </c>
      <c r="AM120" s="50">
        <v>46266</v>
      </c>
      <c r="AN120" s="51">
        <f ca="1">IF(Table2[[#This Row],[تاريخ انتهاء بطاقة التشغيل]]="","",IFERROR(_xlfn.DAYS(Table2[[#This Row],[تاريخ انتهاء بطاقة التشغيل]],TODAY()),""))</f>
        <v>6</v>
      </c>
      <c r="AO120" s="80">
        <v>46398</v>
      </c>
      <c r="AP120" s="52">
        <f>Table2[[#This Row],[تاريخ انتهاء رخصة السير هجري]]</f>
        <v>46398</v>
      </c>
      <c r="AQ120" s="53">
        <f ca="1">IF(Table2[[#This Row],[تاريخ انتهاء رخصة السير ميلادي]]="","",IFERROR(_xlfn.DAYS(Table2[[#This Row],[تاريخ انتهاء رخصة السير ميلادي]],TODAY()),""))</f>
        <v>138</v>
      </c>
      <c r="AR120" s="55">
        <v>46395</v>
      </c>
      <c r="AS120" s="56">
        <f>Table2[[#This Row],[تاريخ انتهاء الفحص هجري]]</f>
        <v>46395</v>
      </c>
      <c r="AT120" s="106">
        <f ca="1">IF(Table2[[#This Row],[تاريخ انتهاء الفحص ميلادي]]="","",IFERROR(_xlfn.DAYS(Table2[[#This Row],[تاريخ انتهاء الفحص ميلادي]],TODAY()),""))</f>
        <v>135</v>
      </c>
      <c r="AU120" s="54"/>
      <c r="AV120" s="1"/>
      <c r="BE120" s="3"/>
      <c r="BH120" s="1"/>
    </row>
    <row r="121" spans="1:60" x14ac:dyDescent="0.3">
      <c r="A121" s="39" t="s">
        <v>19</v>
      </c>
      <c r="B121" s="39" t="s">
        <v>1193</v>
      </c>
      <c r="C121" s="39" t="s">
        <v>1193</v>
      </c>
      <c r="D121" s="39" t="s">
        <v>17</v>
      </c>
      <c r="E121" s="39" t="s">
        <v>819</v>
      </c>
      <c r="F121" s="40">
        <v>7025667531</v>
      </c>
      <c r="G121" s="41" t="s">
        <v>266</v>
      </c>
      <c r="H121" s="39" t="s">
        <v>267</v>
      </c>
      <c r="I121" s="58">
        <v>951665020</v>
      </c>
      <c r="J121" s="39" t="s">
        <v>20</v>
      </c>
      <c r="K121" s="39" t="s">
        <v>67</v>
      </c>
      <c r="L121" s="39" t="s">
        <v>22</v>
      </c>
      <c r="M121" s="39">
        <v>2024</v>
      </c>
      <c r="N121" s="39" t="s">
        <v>64</v>
      </c>
      <c r="O121" s="39" t="s">
        <v>1137</v>
      </c>
      <c r="P121" s="39" t="s">
        <v>1137</v>
      </c>
      <c r="Q121" s="39" t="s">
        <v>1137</v>
      </c>
      <c r="R121" s="124" t="s">
        <v>1137</v>
      </c>
      <c r="S121" s="124" t="s">
        <v>1137</v>
      </c>
      <c r="T121" s="124" t="s">
        <v>1137</v>
      </c>
      <c r="U121" s="42" t="s">
        <v>26</v>
      </c>
      <c r="V121" s="43">
        <v>46393</v>
      </c>
      <c r="W121" s="44">
        <f ca="1">IF(Table2[[#This Row],[تاريخ انتهاء التأمين]]="","",IFERROR(_xlfn.DAYS(Table2[[#This Row],[تاريخ انتهاء التأمين]],TODAY()),""))</f>
        <v>133</v>
      </c>
      <c r="X121" s="42" t="s">
        <v>27</v>
      </c>
      <c r="Y121" s="42" t="s">
        <v>28</v>
      </c>
      <c r="Z121" s="45">
        <v>1180</v>
      </c>
      <c r="AA121" s="46">
        <v>624880</v>
      </c>
      <c r="AB121" s="46" t="s">
        <v>1372</v>
      </c>
      <c r="AC121" s="46" t="s">
        <v>861</v>
      </c>
      <c r="AD121" s="46" t="s">
        <v>938</v>
      </c>
      <c r="AE121" s="47">
        <v>300</v>
      </c>
      <c r="AF121" s="48" t="s">
        <v>1147</v>
      </c>
      <c r="AG121" s="48" t="s">
        <v>861</v>
      </c>
      <c r="AH121" s="48" t="s">
        <v>1149</v>
      </c>
      <c r="AI121" s="90">
        <v>866344053848839</v>
      </c>
      <c r="AJ121" s="89">
        <v>46107</v>
      </c>
      <c r="AK121" s="102">
        <f ca="1">IF(Table2[[#This Row],[تاريخ انتهاء ال GPS]]="","",IFERROR(_xlfn.DAYS(Table2[[#This Row],[تاريخ انتهاء ال GPS]],TODAY()),""))</f>
        <v>-153</v>
      </c>
      <c r="AL121" s="49" t="s">
        <v>1074</v>
      </c>
      <c r="AM121" s="50">
        <v>46266</v>
      </c>
      <c r="AN121" s="51">
        <f ca="1">IF(Table2[[#This Row],[تاريخ انتهاء بطاقة التشغيل]]="","",IFERROR(_xlfn.DAYS(Table2[[#This Row],[تاريخ انتهاء بطاقة التشغيل]],TODAY()),""))</f>
        <v>6</v>
      </c>
      <c r="AO121" s="80">
        <v>46398</v>
      </c>
      <c r="AP121" s="52">
        <f>Table2[[#This Row],[تاريخ انتهاء رخصة السير هجري]]</f>
        <v>46398</v>
      </c>
      <c r="AQ121" s="53">
        <f ca="1">IF(Table2[[#This Row],[تاريخ انتهاء رخصة السير ميلادي]]="","",IFERROR(_xlfn.DAYS(Table2[[#This Row],[تاريخ انتهاء رخصة السير ميلادي]],TODAY()),""))</f>
        <v>138</v>
      </c>
      <c r="AR121" s="55">
        <v>46393</v>
      </c>
      <c r="AS121" s="56">
        <f>Table2[[#This Row],[تاريخ انتهاء الفحص هجري]]</f>
        <v>46393</v>
      </c>
      <c r="AT121" s="106">
        <f ca="1">IF(Table2[[#This Row],[تاريخ انتهاء الفحص ميلادي]]="","",IFERROR(_xlfn.DAYS(Table2[[#This Row],[تاريخ انتهاء الفحص ميلادي]],TODAY()),""))</f>
        <v>133</v>
      </c>
      <c r="AU121" s="54"/>
      <c r="AV121" s="1"/>
      <c r="BE121" s="3"/>
      <c r="BH121" s="1"/>
    </row>
    <row r="122" spans="1:60" x14ac:dyDescent="0.3">
      <c r="A122" s="39" t="s">
        <v>19</v>
      </c>
      <c r="B122" s="39" t="s">
        <v>2000</v>
      </c>
      <c r="C122" s="39" t="s">
        <v>1187</v>
      </c>
      <c r="D122" s="39" t="s">
        <v>17</v>
      </c>
      <c r="E122" s="39" t="s">
        <v>819</v>
      </c>
      <c r="F122" s="40">
        <v>7025667531</v>
      </c>
      <c r="G122" s="41" t="s">
        <v>268</v>
      </c>
      <c r="H122" s="39" t="s">
        <v>269</v>
      </c>
      <c r="I122" s="58">
        <v>122665020</v>
      </c>
      <c r="J122" s="39" t="s">
        <v>20</v>
      </c>
      <c r="K122" s="39" t="s">
        <v>67</v>
      </c>
      <c r="L122" s="39" t="s">
        <v>22</v>
      </c>
      <c r="M122" s="39">
        <v>2024</v>
      </c>
      <c r="N122" s="39" t="s">
        <v>64</v>
      </c>
      <c r="O122" s="39" t="s">
        <v>1871</v>
      </c>
      <c r="P122" s="58">
        <v>2586867471</v>
      </c>
      <c r="Q122" s="39" t="s">
        <v>1660</v>
      </c>
      <c r="R122" s="124">
        <v>46242</v>
      </c>
      <c r="S122" s="124">
        <v>46387</v>
      </c>
      <c r="T122" s="58">
        <f ca="1">IF(Table2[[#This Row],[تاريخ نهاية التفويض]]="","",IFERROR(_xlfn.DAYS(Table2[[#This Row],[تاريخ نهاية التفويض]],TODAY()),""))</f>
        <v>127</v>
      </c>
      <c r="U122" s="42" t="s">
        <v>26</v>
      </c>
      <c r="V122" s="43">
        <v>46393</v>
      </c>
      <c r="W122" s="44">
        <f ca="1">IF(Table2[[#This Row],[تاريخ انتهاء التأمين]]="","",IFERROR(_xlfn.DAYS(Table2[[#This Row],[تاريخ انتهاء التأمين]],TODAY()),""))</f>
        <v>133</v>
      </c>
      <c r="X122" s="42" t="s">
        <v>27</v>
      </c>
      <c r="Y122" s="42" t="s">
        <v>28</v>
      </c>
      <c r="Z122" s="45">
        <v>1180</v>
      </c>
      <c r="AA122" s="46">
        <v>624835</v>
      </c>
      <c r="AB122" s="46" t="s">
        <v>1373</v>
      </c>
      <c r="AC122" s="46" t="s">
        <v>861</v>
      </c>
      <c r="AD122" s="46" t="s">
        <v>938</v>
      </c>
      <c r="AE122" s="47">
        <v>300</v>
      </c>
      <c r="AF122" s="48" t="s">
        <v>1147</v>
      </c>
      <c r="AG122" s="48" t="s">
        <v>861</v>
      </c>
      <c r="AH122" s="48" t="s">
        <v>1149</v>
      </c>
      <c r="AI122" s="90">
        <v>866069063613309</v>
      </c>
      <c r="AJ122" s="89">
        <v>46107</v>
      </c>
      <c r="AK122" s="102">
        <f ca="1">IF(Table2[[#This Row],[تاريخ انتهاء ال GPS]]="","",IFERROR(_xlfn.DAYS(Table2[[#This Row],[تاريخ انتهاء ال GPS]],TODAY()),""))</f>
        <v>-153</v>
      </c>
      <c r="AL122" s="49" t="s">
        <v>1075</v>
      </c>
      <c r="AM122" s="50">
        <v>46266</v>
      </c>
      <c r="AN122" s="51">
        <f ca="1">IF(Table2[[#This Row],[تاريخ انتهاء بطاقة التشغيل]]="","",IFERROR(_xlfn.DAYS(Table2[[#This Row],[تاريخ انتهاء بطاقة التشغيل]],TODAY()),""))</f>
        <v>6</v>
      </c>
      <c r="AO122" s="80">
        <v>46398</v>
      </c>
      <c r="AP122" s="52">
        <f>Table2[[#This Row],[تاريخ انتهاء رخصة السير هجري]]</f>
        <v>46398</v>
      </c>
      <c r="AQ122" s="53">
        <f ca="1">IF(Table2[[#This Row],[تاريخ انتهاء رخصة السير ميلادي]]="","",IFERROR(_xlfn.DAYS(Table2[[#This Row],[تاريخ انتهاء رخصة السير ميلادي]],TODAY()),""))</f>
        <v>138</v>
      </c>
      <c r="AR122" s="55">
        <v>46579</v>
      </c>
      <c r="AS122" s="56">
        <f>Table2[[#This Row],[تاريخ انتهاء الفحص هجري]]</f>
        <v>46579</v>
      </c>
      <c r="AT122" s="106">
        <f ca="1">IF(Table2[[#This Row],[تاريخ انتهاء الفحص ميلادي]]="","",IFERROR(_xlfn.DAYS(Table2[[#This Row],[تاريخ انتهاء الفحص ميلادي]],TODAY()),""))</f>
        <v>319</v>
      </c>
      <c r="AU122" s="54"/>
      <c r="AV122" s="1"/>
      <c r="BE122" s="3"/>
      <c r="BH122" s="1"/>
    </row>
    <row r="123" spans="1:60" x14ac:dyDescent="0.3">
      <c r="A123" s="39" t="s">
        <v>19</v>
      </c>
      <c r="B123" s="39" t="s">
        <v>2003</v>
      </c>
      <c r="C123" s="39" t="s">
        <v>1187</v>
      </c>
      <c r="D123" s="39" t="s">
        <v>17</v>
      </c>
      <c r="E123" s="39" t="s">
        <v>819</v>
      </c>
      <c r="F123" s="40">
        <v>7025667531</v>
      </c>
      <c r="G123" s="41" t="s">
        <v>270</v>
      </c>
      <c r="H123" s="39" t="s">
        <v>271</v>
      </c>
      <c r="I123" s="58">
        <v>922665020</v>
      </c>
      <c r="J123" s="39" t="s">
        <v>20</v>
      </c>
      <c r="K123" s="39" t="s">
        <v>67</v>
      </c>
      <c r="L123" s="39" t="s">
        <v>22</v>
      </c>
      <c r="M123" s="39">
        <v>2024</v>
      </c>
      <c r="N123" s="39" t="s">
        <v>64</v>
      </c>
      <c r="O123" s="39" t="s">
        <v>1981</v>
      </c>
      <c r="P123" s="58">
        <v>2568200659</v>
      </c>
      <c r="Q123" s="39" t="s">
        <v>1661</v>
      </c>
      <c r="R123" s="124">
        <v>46249</v>
      </c>
      <c r="S123" s="124">
        <v>46387</v>
      </c>
      <c r="T123" s="58">
        <f ca="1">IF(Table2[[#This Row],[تاريخ نهاية التفويض]]="","",IFERROR(_xlfn.DAYS(Table2[[#This Row],[تاريخ نهاية التفويض]],TODAY()),""))</f>
        <v>127</v>
      </c>
      <c r="U123" s="42" t="s">
        <v>26</v>
      </c>
      <c r="V123" s="43">
        <v>46393</v>
      </c>
      <c r="W123" s="44">
        <f ca="1">IF(Table2[[#This Row],[تاريخ انتهاء التأمين]]="","",IFERROR(_xlfn.DAYS(Table2[[#This Row],[تاريخ انتهاء التأمين]],TODAY()),""))</f>
        <v>133</v>
      </c>
      <c r="X123" s="42" t="s">
        <v>27</v>
      </c>
      <c r="Y123" s="42" t="s">
        <v>28</v>
      </c>
      <c r="Z123" s="45">
        <v>1180</v>
      </c>
      <c r="AA123" s="46">
        <v>624836</v>
      </c>
      <c r="AB123" s="46" t="s">
        <v>1374</v>
      </c>
      <c r="AC123" s="46" t="s">
        <v>861</v>
      </c>
      <c r="AD123" s="46" t="s">
        <v>938</v>
      </c>
      <c r="AE123" s="47">
        <v>300</v>
      </c>
      <c r="AF123" s="48" t="s">
        <v>1147</v>
      </c>
      <c r="AG123" s="48" t="s">
        <v>861</v>
      </c>
      <c r="AH123" s="48" t="s">
        <v>1149</v>
      </c>
      <c r="AI123" s="90">
        <v>867747071418915</v>
      </c>
      <c r="AJ123" s="89">
        <v>46119</v>
      </c>
      <c r="AK123" s="102">
        <f ca="1">IF(Table2[[#This Row],[تاريخ انتهاء ال GPS]]="","",IFERROR(_xlfn.DAYS(Table2[[#This Row],[تاريخ انتهاء ال GPS]],TODAY()),""))</f>
        <v>-141</v>
      </c>
      <c r="AL123" s="49" t="s">
        <v>1076</v>
      </c>
      <c r="AM123" s="50">
        <v>46266</v>
      </c>
      <c r="AN123" s="51">
        <f ca="1">IF(Table2[[#This Row],[تاريخ انتهاء بطاقة التشغيل]]="","",IFERROR(_xlfn.DAYS(Table2[[#This Row],[تاريخ انتهاء بطاقة التشغيل]],TODAY()),""))</f>
        <v>6</v>
      </c>
      <c r="AO123" s="80">
        <v>46398</v>
      </c>
      <c r="AP123" s="52">
        <f>Table2[[#This Row],[تاريخ انتهاء رخصة السير هجري]]</f>
        <v>46398</v>
      </c>
      <c r="AQ123" s="53">
        <f ca="1">IF(Table2[[#This Row],[تاريخ انتهاء رخصة السير ميلادي]]="","",IFERROR(_xlfn.DAYS(Table2[[#This Row],[تاريخ انتهاء رخصة السير ميلادي]],TODAY()),""))</f>
        <v>138</v>
      </c>
      <c r="AR123" s="55">
        <v>46406</v>
      </c>
      <c r="AS123" s="56">
        <f>Table2[[#This Row],[تاريخ انتهاء الفحص هجري]]</f>
        <v>46406</v>
      </c>
      <c r="AT123" s="106">
        <f ca="1">IF(Table2[[#This Row],[تاريخ انتهاء الفحص ميلادي]]="","",IFERROR(_xlfn.DAYS(Table2[[#This Row],[تاريخ انتهاء الفحص ميلادي]],TODAY()),""))</f>
        <v>146</v>
      </c>
      <c r="AU123" s="54"/>
      <c r="AV123" s="1"/>
      <c r="BE123" s="3"/>
      <c r="BH123" s="1"/>
    </row>
    <row r="124" spans="1:60" x14ac:dyDescent="0.3">
      <c r="A124" s="39" t="s">
        <v>19</v>
      </c>
      <c r="B124" s="39" t="s">
        <v>1193</v>
      </c>
      <c r="C124" s="39" t="s">
        <v>1193</v>
      </c>
      <c r="D124" s="39" t="s">
        <v>17</v>
      </c>
      <c r="E124" s="39" t="s">
        <v>819</v>
      </c>
      <c r="F124" s="40">
        <v>7025667531</v>
      </c>
      <c r="G124" s="41" t="s">
        <v>272</v>
      </c>
      <c r="H124" s="39" t="s">
        <v>273</v>
      </c>
      <c r="I124" s="58">
        <v>554275020</v>
      </c>
      <c r="J124" s="39" t="s">
        <v>20</v>
      </c>
      <c r="K124" s="39" t="s">
        <v>67</v>
      </c>
      <c r="L124" s="39" t="s">
        <v>22</v>
      </c>
      <c r="M124" s="39">
        <v>2024</v>
      </c>
      <c r="N124" s="39" t="s">
        <v>64</v>
      </c>
      <c r="O124" s="39" t="s">
        <v>1137</v>
      </c>
      <c r="P124" s="39" t="s">
        <v>1137</v>
      </c>
      <c r="Q124" s="39" t="s">
        <v>1137</v>
      </c>
      <c r="R124" s="124" t="s">
        <v>1137</v>
      </c>
      <c r="S124" s="124" t="s">
        <v>1137</v>
      </c>
      <c r="T124" s="124" t="s">
        <v>1137</v>
      </c>
      <c r="U124" s="42" t="s">
        <v>26</v>
      </c>
      <c r="V124" s="43">
        <v>46393</v>
      </c>
      <c r="W124" s="44">
        <f ca="1">IF(Table2[[#This Row],[تاريخ انتهاء التأمين]]="","",IFERROR(_xlfn.DAYS(Table2[[#This Row],[تاريخ انتهاء التأمين]],TODAY()),""))</f>
        <v>133</v>
      </c>
      <c r="X124" s="42" t="s">
        <v>27</v>
      </c>
      <c r="Y124" s="42" t="s">
        <v>28</v>
      </c>
      <c r="Z124" s="45">
        <v>1180</v>
      </c>
      <c r="AA124" s="46">
        <v>624882</v>
      </c>
      <c r="AB124" s="46" t="s">
        <v>1375</v>
      </c>
      <c r="AC124" s="46" t="s">
        <v>861</v>
      </c>
      <c r="AD124" s="46" t="s">
        <v>938</v>
      </c>
      <c r="AE124" s="47">
        <v>300</v>
      </c>
      <c r="AF124" s="48" t="s">
        <v>1147</v>
      </c>
      <c r="AG124" s="48" t="s">
        <v>861</v>
      </c>
      <c r="AH124" s="48" t="s">
        <v>1149</v>
      </c>
      <c r="AI124" s="90">
        <v>867747077360905</v>
      </c>
      <c r="AJ124" s="89">
        <v>46125</v>
      </c>
      <c r="AK124" s="102">
        <f ca="1">IF(Table2[[#This Row],[تاريخ انتهاء ال GPS]]="","",IFERROR(_xlfn.DAYS(Table2[[#This Row],[تاريخ انتهاء ال GPS]],TODAY()),""))</f>
        <v>-135</v>
      </c>
      <c r="AL124" s="49" t="s">
        <v>1077</v>
      </c>
      <c r="AM124" s="50">
        <v>46266</v>
      </c>
      <c r="AN124" s="51">
        <f ca="1">IF(Table2[[#This Row],[تاريخ انتهاء بطاقة التشغيل]]="","",IFERROR(_xlfn.DAYS(Table2[[#This Row],[تاريخ انتهاء بطاقة التشغيل]],TODAY()),""))</f>
        <v>6</v>
      </c>
      <c r="AO124" s="80">
        <v>46400</v>
      </c>
      <c r="AP124" s="52">
        <f>Table2[[#This Row],[تاريخ انتهاء رخصة السير هجري]]</f>
        <v>46400</v>
      </c>
      <c r="AQ124" s="53">
        <f ca="1">IF(Table2[[#This Row],[تاريخ انتهاء رخصة السير ميلادي]]="","",IFERROR(_xlfn.DAYS(Table2[[#This Row],[تاريخ انتهاء رخصة السير ميلادي]],TODAY()),""))</f>
        <v>140</v>
      </c>
      <c r="AR124" s="55">
        <v>46399</v>
      </c>
      <c r="AS124" s="56">
        <f>Table2[[#This Row],[تاريخ انتهاء الفحص هجري]]</f>
        <v>46399</v>
      </c>
      <c r="AT124" s="106">
        <f ca="1">IF(Table2[[#This Row],[تاريخ انتهاء الفحص ميلادي]]="","",IFERROR(_xlfn.DAYS(Table2[[#This Row],[تاريخ انتهاء الفحص ميلادي]],TODAY()),""))</f>
        <v>139</v>
      </c>
      <c r="AU124" s="54"/>
      <c r="AV124" s="1"/>
      <c r="BE124" s="3"/>
      <c r="BH124" s="1"/>
    </row>
    <row r="125" spans="1:60" x14ac:dyDescent="0.3">
      <c r="A125" s="39" t="s">
        <v>19</v>
      </c>
      <c r="B125" s="39" t="s">
        <v>1183</v>
      </c>
      <c r="C125" s="39" t="s">
        <v>2004</v>
      </c>
      <c r="D125" s="39" t="s">
        <v>17</v>
      </c>
      <c r="E125" s="39" t="s">
        <v>819</v>
      </c>
      <c r="F125" s="40">
        <v>7025667531</v>
      </c>
      <c r="G125" s="41" t="s">
        <v>274</v>
      </c>
      <c r="H125" s="39" t="s">
        <v>275</v>
      </c>
      <c r="I125" s="58">
        <v>272665020</v>
      </c>
      <c r="J125" s="39" t="s">
        <v>20</v>
      </c>
      <c r="K125" s="39" t="s">
        <v>67</v>
      </c>
      <c r="L125" s="39" t="s">
        <v>22</v>
      </c>
      <c r="M125" s="39">
        <v>2024</v>
      </c>
      <c r="N125" s="39" t="s">
        <v>64</v>
      </c>
      <c r="O125" s="39" t="s">
        <v>1872</v>
      </c>
      <c r="P125" s="58">
        <v>2558042285</v>
      </c>
      <c r="Q125" s="39" t="s">
        <v>1662</v>
      </c>
      <c r="R125" s="124">
        <v>45994</v>
      </c>
      <c r="S125" s="124">
        <v>46327</v>
      </c>
      <c r="T125" s="58">
        <f ca="1">IF(Table2[[#This Row],[تاريخ نهاية التفويض]]="","",IFERROR(_xlfn.DAYS(Table2[[#This Row],[تاريخ نهاية التفويض]],TODAY()),""))</f>
        <v>67</v>
      </c>
      <c r="U125" s="42" t="s">
        <v>26</v>
      </c>
      <c r="V125" s="43">
        <v>46393</v>
      </c>
      <c r="W125" s="44">
        <f ca="1">IF(Table2[[#This Row],[تاريخ انتهاء التأمين]]="","",IFERROR(_xlfn.DAYS(Table2[[#This Row],[تاريخ انتهاء التأمين]],TODAY()),""))</f>
        <v>133</v>
      </c>
      <c r="X125" s="42" t="s">
        <v>27</v>
      </c>
      <c r="Y125" s="42" t="s">
        <v>28</v>
      </c>
      <c r="Z125" s="45">
        <v>1180</v>
      </c>
      <c r="AA125" s="46">
        <v>624837</v>
      </c>
      <c r="AB125" s="46" t="s">
        <v>1376</v>
      </c>
      <c r="AC125" s="46" t="s">
        <v>861</v>
      </c>
      <c r="AD125" s="46" t="s">
        <v>938</v>
      </c>
      <c r="AE125" s="47">
        <v>300</v>
      </c>
      <c r="AF125" s="48" t="s">
        <v>1147</v>
      </c>
      <c r="AG125" s="48" t="s">
        <v>861</v>
      </c>
      <c r="AH125" s="48" t="s">
        <v>1149</v>
      </c>
      <c r="AI125" s="90">
        <v>867747079074025</v>
      </c>
      <c r="AJ125" s="89">
        <v>46134</v>
      </c>
      <c r="AK125" s="102">
        <f ca="1">IF(Table2[[#This Row],[تاريخ انتهاء ال GPS]]="","",IFERROR(_xlfn.DAYS(Table2[[#This Row],[تاريخ انتهاء ال GPS]],TODAY()),""))</f>
        <v>-126</v>
      </c>
      <c r="AL125" s="49" t="s">
        <v>1078</v>
      </c>
      <c r="AM125" s="50">
        <v>46266</v>
      </c>
      <c r="AN125" s="51">
        <f ca="1">IF(Table2[[#This Row],[تاريخ انتهاء بطاقة التشغيل]]="","",IFERROR(_xlfn.DAYS(Table2[[#This Row],[تاريخ انتهاء بطاقة التشغيل]],TODAY()),""))</f>
        <v>6</v>
      </c>
      <c r="AO125" s="80">
        <v>46398</v>
      </c>
      <c r="AP125" s="52">
        <f>Table2[[#This Row],[تاريخ انتهاء رخصة السير هجري]]</f>
        <v>46398</v>
      </c>
      <c r="AQ125" s="53">
        <f ca="1">IF(Table2[[#This Row],[تاريخ انتهاء رخصة السير ميلادي]]="","",IFERROR(_xlfn.DAYS(Table2[[#This Row],[تاريخ انتهاء رخصة السير ميلادي]],TODAY()),""))</f>
        <v>138</v>
      </c>
      <c r="AR125" s="55">
        <v>46392</v>
      </c>
      <c r="AS125" s="56">
        <f>Table2[[#This Row],[تاريخ انتهاء الفحص هجري]]</f>
        <v>46392</v>
      </c>
      <c r="AT125" s="106">
        <f ca="1">IF(Table2[[#This Row],[تاريخ انتهاء الفحص ميلادي]]="","",IFERROR(_xlfn.DAYS(Table2[[#This Row],[تاريخ انتهاء الفحص ميلادي]],TODAY()),""))</f>
        <v>132</v>
      </c>
      <c r="AU125" s="54"/>
      <c r="AV125" s="1"/>
      <c r="BE125" s="3"/>
      <c r="BH125" s="1"/>
    </row>
    <row r="126" spans="1:60" x14ac:dyDescent="0.3">
      <c r="A126" s="39" t="s">
        <v>19</v>
      </c>
      <c r="B126" s="39" t="s">
        <v>1193</v>
      </c>
      <c r="C126" s="39" t="s">
        <v>1193</v>
      </c>
      <c r="D126" s="39" t="s">
        <v>17</v>
      </c>
      <c r="E126" s="39" t="s">
        <v>819</v>
      </c>
      <c r="F126" s="40">
        <v>7025667531</v>
      </c>
      <c r="G126" s="41" t="s">
        <v>276</v>
      </c>
      <c r="H126" s="39" t="s">
        <v>277</v>
      </c>
      <c r="I126" s="58">
        <v>972665020</v>
      </c>
      <c r="J126" s="39" t="s">
        <v>20</v>
      </c>
      <c r="K126" s="39" t="s">
        <v>67</v>
      </c>
      <c r="L126" s="39" t="s">
        <v>22</v>
      </c>
      <c r="M126" s="39">
        <v>2024</v>
      </c>
      <c r="N126" s="39" t="s">
        <v>64</v>
      </c>
      <c r="O126" s="39" t="s">
        <v>1137</v>
      </c>
      <c r="P126" s="39" t="s">
        <v>1137</v>
      </c>
      <c r="Q126" s="39" t="s">
        <v>1137</v>
      </c>
      <c r="R126" s="124" t="s">
        <v>1137</v>
      </c>
      <c r="S126" s="124" t="s">
        <v>1137</v>
      </c>
      <c r="T126" s="124" t="s">
        <v>1137</v>
      </c>
      <c r="U126" s="42" t="s">
        <v>26</v>
      </c>
      <c r="V126" s="43">
        <v>46393</v>
      </c>
      <c r="W126" s="44">
        <f ca="1">IF(Table2[[#This Row],[تاريخ انتهاء التأمين]]="","",IFERROR(_xlfn.DAYS(Table2[[#This Row],[تاريخ انتهاء التأمين]],TODAY()),""))</f>
        <v>133</v>
      </c>
      <c r="X126" s="42" t="s">
        <v>27</v>
      </c>
      <c r="Y126" s="42" t="s">
        <v>28</v>
      </c>
      <c r="Z126" s="45">
        <v>1180</v>
      </c>
      <c r="AA126" s="46">
        <v>624838</v>
      </c>
      <c r="AB126" s="46" t="s">
        <v>1377</v>
      </c>
      <c r="AC126" s="46" t="s">
        <v>861</v>
      </c>
      <c r="AD126" s="46" t="s">
        <v>938</v>
      </c>
      <c r="AE126" s="47">
        <v>300</v>
      </c>
      <c r="AF126" s="48" t="s">
        <v>1147</v>
      </c>
      <c r="AG126" s="48" t="s">
        <v>861</v>
      </c>
      <c r="AH126" s="48" t="s">
        <v>1149</v>
      </c>
      <c r="AI126" s="90">
        <v>864454079675298</v>
      </c>
      <c r="AJ126" s="89">
        <v>46119</v>
      </c>
      <c r="AK126" s="102">
        <f ca="1">IF(Table2[[#This Row],[تاريخ انتهاء ال GPS]]="","",IFERROR(_xlfn.DAYS(Table2[[#This Row],[تاريخ انتهاء ال GPS]],TODAY()),""))</f>
        <v>-141</v>
      </c>
      <c r="AL126" s="49" t="s">
        <v>1079</v>
      </c>
      <c r="AM126" s="50">
        <v>46266</v>
      </c>
      <c r="AN126" s="51">
        <f ca="1">IF(Table2[[#This Row],[تاريخ انتهاء بطاقة التشغيل]]="","",IFERROR(_xlfn.DAYS(Table2[[#This Row],[تاريخ انتهاء بطاقة التشغيل]],TODAY()),""))</f>
        <v>6</v>
      </c>
      <c r="AO126" s="80">
        <v>46398</v>
      </c>
      <c r="AP126" s="52">
        <f>Table2[[#This Row],[تاريخ انتهاء رخصة السير هجري]]</f>
        <v>46398</v>
      </c>
      <c r="AQ126" s="53">
        <f ca="1">IF(Table2[[#This Row],[تاريخ انتهاء رخصة السير ميلادي]]="","",IFERROR(_xlfn.DAYS(Table2[[#This Row],[تاريخ انتهاء رخصة السير ميلادي]],TODAY()),""))</f>
        <v>138</v>
      </c>
      <c r="AR126" s="55">
        <v>46576</v>
      </c>
      <c r="AS126" s="56">
        <f>Table2[[#This Row],[تاريخ انتهاء الفحص هجري]]</f>
        <v>46576</v>
      </c>
      <c r="AT126" s="106">
        <f ca="1">IF(Table2[[#This Row],[تاريخ انتهاء الفحص ميلادي]]="","",IFERROR(_xlfn.DAYS(Table2[[#This Row],[تاريخ انتهاء الفحص ميلادي]],TODAY()),""))</f>
        <v>316</v>
      </c>
      <c r="AU126" s="54"/>
      <c r="AV126" s="1"/>
      <c r="BE126" s="3"/>
      <c r="BH126" s="1"/>
    </row>
    <row r="127" spans="1:60" x14ac:dyDescent="0.3">
      <c r="A127" s="39" t="s">
        <v>19</v>
      </c>
      <c r="B127" s="39" t="s">
        <v>1183</v>
      </c>
      <c r="C127" s="39" t="s">
        <v>1187</v>
      </c>
      <c r="D127" s="39" t="s">
        <v>17</v>
      </c>
      <c r="E127" s="39" t="s">
        <v>819</v>
      </c>
      <c r="F127" s="40">
        <v>7025667531</v>
      </c>
      <c r="G127" s="41" t="s">
        <v>278</v>
      </c>
      <c r="H127" s="39" t="s">
        <v>279</v>
      </c>
      <c r="I127" s="58">
        <v>392665020</v>
      </c>
      <c r="J127" s="39" t="s">
        <v>20</v>
      </c>
      <c r="K127" s="39" t="s">
        <v>67</v>
      </c>
      <c r="L127" s="39" t="s">
        <v>22</v>
      </c>
      <c r="M127" s="39">
        <v>2024</v>
      </c>
      <c r="N127" s="39" t="s">
        <v>64</v>
      </c>
      <c r="O127" s="39" t="s">
        <v>1873</v>
      </c>
      <c r="P127" s="58">
        <v>2562667341</v>
      </c>
      <c r="Q127" s="39" t="s">
        <v>1663</v>
      </c>
      <c r="R127" s="124">
        <v>46246</v>
      </c>
      <c r="S127" s="124">
        <v>46387</v>
      </c>
      <c r="T127" s="58">
        <f ca="1">IF(Table2[[#This Row],[تاريخ نهاية التفويض]]="","",IFERROR(_xlfn.DAYS(Table2[[#This Row],[تاريخ نهاية التفويض]],TODAY()),""))</f>
        <v>127</v>
      </c>
      <c r="U127" s="42" t="s">
        <v>26</v>
      </c>
      <c r="V127" s="43">
        <v>46393</v>
      </c>
      <c r="W127" s="44">
        <f ca="1">IF(Table2[[#This Row],[تاريخ انتهاء التأمين]]="","",IFERROR(_xlfn.DAYS(Table2[[#This Row],[تاريخ انتهاء التأمين]],TODAY()),""))</f>
        <v>133</v>
      </c>
      <c r="X127" s="42" t="s">
        <v>27</v>
      </c>
      <c r="Y127" s="42" t="s">
        <v>28</v>
      </c>
      <c r="Z127" s="45">
        <v>1180</v>
      </c>
      <c r="AA127" s="46">
        <v>624839</v>
      </c>
      <c r="AB127" s="46" t="s">
        <v>1378</v>
      </c>
      <c r="AC127" s="46" t="s">
        <v>861</v>
      </c>
      <c r="AD127" s="46" t="s">
        <v>938</v>
      </c>
      <c r="AE127" s="47">
        <v>300</v>
      </c>
      <c r="AF127" s="48" t="s">
        <v>1147</v>
      </c>
      <c r="AG127" s="48" t="s">
        <v>861</v>
      </c>
      <c r="AH127" s="48" t="s">
        <v>1149</v>
      </c>
      <c r="AI127" s="90">
        <v>867747074929025</v>
      </c>
      <c r="AJ127" s="89">
        <v>46125</v>
      </c>
      <c r="AK127" s="102">
        <f ca="1">IF(Table2[[#This Row],[تاريخ انتهاء ال GPS]]="","",IFERROR(_xlfn.DAYS(Table2[[#This Row],[تاريخ انتهاء ال GPS]],TODAY()),""))</f>
        <v>-135</v>
      </c>
      <c r="AL127" s="49" t="s">
        <v>1080</v>
      </c>
      <c r="AM127" s="50">
        <v>46266</v>
      </c>
      <c r="AN127" s="51">
        <f ca="1">IF(Table2[[#This Row],[تاريخ انتهاء بطاقة التشغيل]]="","",IFERROR(_xlfn.DAYS(Table2[[#This Row],[تاريخ انتهاء بطاقة التشغيل]],TODAY()),""))</f>
        <v>6</v>
      </c>
      <c r="AO127" s="80">
        <v>46398</v>
      </c>
      <c r="AP127" s="52">
        <f>Table2[[#This Row],[تاريخ انتهاء رخصة السير هجري]]</f>
        <v>46398</v>
      </c>
      <c r="AQ127" s="53">
        <f ca="1">IF(Table2[[#This Row],[تاريخ انتهاء رخصة السير ميلادي]]="","",IFERROR(_xlfn.DAYS(Table2[[#This Row],[تاريخ انتهاء رخصة السير ميلادي]],TODAY()),""))</f>
        <v>138</v>
      </c>
      <c r="AR127" s="55">
        <f>Table2[[#This Row],[تاريخ انتهاء الفحص ميلادي]]</f>
        <v>46022</v>
      </c>
      <c r="AS127" s="56">
        <v>46022</v>
      </c>
      <c r="AT127" s="106">
        <f ca="1">IF(Table2[[#This Row],[تاريخ انتهاء الفحص ميلادي]]="","",IFERROR(_xlfn.DAYS(Table2[[#This Row],[تاريخ انتهاء الفحص ميلادي]],TODAY()),""))</f>
        <v>-238</v>
      </c>
      <c r="AU127" s="54"/>
      <c r="AV127" s="1"/>
      <c r="BE127" s="3"/>
      <c r="BH127" s="1"/>
    </row>
    <row r="128" spans="1:60" x14ac:dyDescent="0.3">
      <c r="A128" s="39" t="s">
        <v>19</v>
      </c>
      <c r="B128" s="39" t="s">
        <v>2000</v>
      </c>
      <c r="C128" s="39" t="s">
        <v>1187</v>
      </c>
      <c r="D128" s="39" t="s">
        <v>17</v>
      </c>
      <c r="E128" s="39" t="s">
        <v>819</v>
      </c>
      <c r="F128" s="40">
        <v>7025667531</v>
      </c>
      <c r="G128" s="41" t="s">
        <v>280</v>
      </c>
      <c r="H128" s="39" t="s">
        <v>281</v>
      </c>
      <c r="I128" s="58">
        <v>865955020</v>
      </c>
      <c r="J128" s="39" t="s">
        <v>20</v>
      </c>
      <c r="K128" s="39" t="s">
        <v>67</v>
      </c>
      <c r="L128" s="39" t="s">
        <v>22</v>
      </c>
      <c r="M128" s="39">
        <v>2024</v>
      </c>
      <c r="N128" s="39" t="s">
        <v>64</v>
      </c>
      <c r="O128" s="39" t="s">
        <v>1874</v>
      </c>
      <c r="P128" s="58">
        <v>2556809818</v>
      </c>
      <c r="Q128" s="39" t="s">
        <v>1664</v>
      </c>
      <c r="R128" s="124">
        <v>46005</v>
      </c>
      <c r="S128" s="124">
        <v>46327</v>
      </c>
      <c r="T128" s="58">
        <f ca="1">IF(Table2[[#This Row],[تاريخ نهاية التفويض]]="","",IFERROR(_xlfn.DAYS(Table2[[#This Row],[تاريخ نهاية التفويض]],TODAY()),""))</f>
        <v>67</v>
      </c>
      <c r="U128" s="42" t="s">
        <v>26</v>
      </c>
      <c r="V128" s="43">
        <v>46393</v>
      </c>
      <c r="W128" s="44">
        <f ca="1">IF(Table2[[#This Row],[تاريخ انتهاء التأمين]]="","",IFERROR(_xlfn.DAYS(Table2[[#This Row],[تاريخ انتهاء التأمين]],TODAY()),""))</f>
        <v>133</v>
      </c>
      <c r="X128" s="42" t="s">
        <v>27</v>
      </c>
      <c r="Y128" s="42" t="s">
        <v>28</v>
      </c>
      <c r="Z128" s="45">
        <v>1180</v>
      </c>
      <c r="AA128" s="46">
        <v>624870</v>
      </c>
      <c r="AB128" s="46" t="s">
        <v>1379</v>
      </c>
      <c r="AC128" s="46" t="s">
        <v>861</v>
      </c>
      <c r="AD128" s="46" t="s">
        <v>938</v>
      </c>
      <c r="AE128" s="47">
        <v>300</v>
      </c>
      <c r="AF128" s="48" t="s">
        <v>1147</v>
      </c>
      <c r="AG128" s="48" t="s">
        <v>861</v>
      </c>
      <c r="AH128" s="48" t="s">
        <v>1149</v>
      </c>
      <c r="AI128" s="90">
        <v>867747075509206</v>
      </c>
      <c r="AJ128" s="89">
        <v>46125</v>
      </c>
      <c r="AK128" s="102">
        <f ca="1">IF(Table2[[#This Row],[تاريخ انتهاء ال GPS]]="","",IFERROR(_xlfn.DAYS(Table2[[#This Row],[تاريخ انتهاء ال GPS]],TODAY()),""))</f>
        <v>-135</v>
      </c>
      <c r="AL128" s="49" t="s">
        <v>1081</v>
      </c>
      <c r="AM128" s="50">
        <v>46266</v>
      </c>
      <c r="AN128" s="51">
        <f ca="1">IF(Table2[[#This Row],[تاريخ انتهاء بطاقة التشغيل]]="","",IFERROR(_xlfn.DAYS(Table2[[#This Row],[تاريخ انتهاء بطاقة التشغيل]],TODAY()),""))</f>
        <v>6</v>
      </c>
      <c r="AO128" s="80">
        <v>46396</v>
      </c>
      <c r="AP128" s="52">
        <f>Table2[[#This Row],[تاريخ انتهاء رخصة السير هجري]]</f>
        <v>46396</v>
      </c>
      <c r="AQ128" s="53">
        <f ca="1">IF(Table2[[#This Row],[تاريخ انتهاء رخصة السير ميلادي]]="","",IFERROR(_xlfn.DAYS(Table2[[#This Row],[تاريخ انتهاء رخصة السير ميلادي]],TODAY()),""))</f>
        <v>136</v>
      </c>
      <c r="AR128" s="55">
        <v>46408</v>
      </c>
      <c r="AS128" s="56">
        <f>Table2[[#This Row],[تاريخ انتهاء الفحص هجري]]</f>
        <v>46408</v>
      </c>
      <c r="AT128" s="106">
        <f ca="1">IF(Table2[[#This Row],[تاريخ انتهاء الفحص ميلادي]]="","",IFERROR(_xlfn.DAYS(Table2[[#This Row],[تاريخ انتهاء الفحص ميلادي]],TODAY()),""))</f>
        <v>148</v>
      </c>
      <c r="AU128" s="54"/>
      <c r="AV128" s="1"/>
      <c r="BE128" s="3"/>
      <c r="BH128" s="1"/>
    </row>
    <row r="129" spans="1:60" x14ac:dyDescent="0.3">
      <c r="A129" s="39" t="s">
        <v>19</v>
      </c>
      <c r="B129" s="39" t="s">
        <v>1183</v>
      </c>
      <c r="C129" s="39" t="s">
        <v>1187</v>
      </c>
      <c r="D129" s="39" t="s">
        <v>17</v>
      </c>
      <c r="E129" s="39" t="s">
        <v>819</v>
      </c>
      <c r="F129" s="40">
        <v>7025667531</v>
      </c>
      <c r="G129" s="41" t="s">
        <v>282</v>
      </c>
      <c r="H129" s="39" t="s">
        <v>283</v>
      </c>
      <c r="I129" s="58">
        <v>465955020</v>
      </c>
      <c r="J129" s="39" t="s">
        <v>20</v>
      </c>
      <c r="K129" s="39" t="s">
        <v>67</v>
      </c>
      <c r="L129" s="39" t="s">
        <v>22</v>
      </c>
      <c r="M129" s="39">
        <v>2024</v>
      </c>
      <c r="N129" s="39" t="s">
        <v>64</v>
      </c>
      <c r="O129" s="39" t="s">
        <v>1875</v>
      </c>
      <c r="P129" s="58">
        <v>2567988858</v>
      </c>
      <c r="Q129" s="39" t="s">
        <v>1665</v>
      </c>
      <c r="R129" s="124">
        <v>46245</v>
      </c>
      <c r="S129" s="124">
        <v>46387</v>
      </c>
      <c r="T129" s="58">
        <f ca="1">IF(Table2[[#This Row],[تاريخ نهاية التفويض]]="","",IFERROR(_xlfn.DAYS(Table2[[#This Row],[تاريخ نهاية التفويض]],TODAY()),""))</f>
        <v>127</v>
      </c>
      <c r="U129" s="42" t="s">
        <v>26</v>
      </c>
      <c r="V129" s="43">
        <v>46393</v>
      </c>
      <c r="W129" s="44">
        <f ca="1">IF(Table2[[#This Row],[تاريخ انتهاء التأمين]]="","",IFERROR(_xlfn.DAYS(Table2[[#This Row],[تاريخ انتهاء التأمين]],TODAY()),""))</f>
        <v>133</v>
      </c>
      <c r="X129" s="42" t="s">
        <v>27</v>
      </c>
      <c r="Y129" s="42" t="s">
        <v>28</v>
      </c>
      <c r="Z129" s="45">
        <v>1180</v>
      </c>
      <c r="AA129" s="46">
        <v>624850</v>
      </c>
      <c r="AB129" s="46" t="s">
        <v>1380</v>
      </c>
      <c r="AC129" s="46" t="s">
        <v>861</v>
      </c>
      <c r="AD129" s="46" t="s">
        <v>938</v>
      </c>
      <c r="AE129" s="47">
        <v>300</v>
      </c>
      <c r="AF129" s="48" t="s">
        <v>1147</v>
      </c>
      <c r="AG129" s="48" t="s">
        <v>861</v>
      </c>
      <c r="AH129" s="48" t="s">
        <v>1149</v>
      </c>
      <c r="AI129" s="90">
        <v>867747075510329</v>
      </c>
      <c r="AJ129" s="89">
        <v>46110</v>
      </c>
      <c r="AK129" s="102">
        <f ca="1">IF(Table2[[#This Row],[تاريخ انتهاء ال GPS]]="","",IFERROR(_xlfn.DAYS(Table2[[#This Row],[تاريخ انتهاء ال GPS]],TODAY()),""))</f>
        <v>-150</v>
      </c>
      <c r="AL129" s="49" t="s">
        <v>1082</v>
      </c>
      <c r="AM129" s="50">
        <v>46266</v>
      </c>
      <c r="AN129" s="51">
        <f ca="1">IF(Table2[[#This Row],[تاريخ انتهاء بطاقة التشغيل]]="","",IFERROR(_xlfn.DAYS(Table2[[#This Row],[تاريخ انتهاء بطاقة التشغيل]],TODAY()),""))</f>
        <v>6</v>
      </c>
      <c r="AO129" s="80">
        <v>46396</v>
      </c>
      <c r="AP129" s="52">
        <f>Table2[[#This Row],[تاريخ انتهاء رخصة السير هجري]]</f>
        <v>46396</v>
      </c>
      <c r="AQ129" s="53">
        <f ca="1">IF(Table2[[#This Row],[تاريخ انتهاء رخصة السير ميلادي]]="","",IFERROR(_xlfn.DAYS(Table2[[#This Row],[تاريخ انتهاء رخصة السير ميلادي]],TODAY()),""))</f>
        <v>136</v>
      </c>
      <c r="AR129" s="55">
        <v>46565</v>
      </c>
      <c r="AS129" s="56">
        <f>Table2[[#This Row],[تاريخ انتهاء الفحص هجري]]</f>
        <v>46565</v>
      </c>
      <c r="AT129" s="106">
        <f ca="1">IF(Table2[[#This Row],[تاريخ انتهاء الفحص ميلادي]]="","",IFERROR(_xlfn.DAYS(Table2[[#This Row],[تاريخ انتهاء الفحص ميلادي]],TODAY()),""))</f>
        <v>305</v>
      </c>
      <c r="AU129" s="54"/>
      <c r="AV129" s="1"/>
      <c r="BE129" s="3"/>
      <c r="BH129" s="1"/>
    </row>
    <row r="130" spans="1:60" x14ac:dyDescent="0.3">
      <c r="A130" s="39" t="s">
        <v>19</v>
      </c>
      <c r="B130" s="39" t="s">
        <v>1183</v>
      </c>
      <c r="C130" s="39" t="s">
        <v>2004</v>
      </c>
      <c r="D130" s="39" t="s">
        <v>17</v>
      </c>
      <c r="E130" s="39" t="s">
        <v>819</v>
      </c>
      <c r="F130" s="40">
        <v>7025667531</v>
      </c>
      <c r="G130" s="41" t="s">
        <v>284</v>
      </c>
      <c r="H130" s="39" t="s">
        <v>285</v>
      </c>
      <c r="I130" s="58">
        <v>345955020</v>
      </c>
      <c r="J130" s="39" t="s">
        <v>20</v>
      </c>
      <c r="K130" s="39" t="s">
        <v>67</v>
      </c>
      <c r="L130" s="39" t="s">
        <v>22</v>
      </c>
      <c r="M130" s="39">
        <v>2024</v>
      </c>
      <c r="N130" s="39" t="s">
        <v>64</v>
      </c>
      <c r="O130" s="39" t="s">
        <v>1876</v>
      </c>
      <c r="P130" s="58">
        <v>2560885309</v>
      </c>
      <c r="Q130" s="39" t="s">
        <v>1666</v>
      </c>
      <c r="R130" s="124">
        <v>45993</v>
      </c>
      <c r="S130" s="124">
        <v>46327</v>
      </c>
      <c r="T130" s="58">
        <f ca="1">IF(Table2[[#This Row],[تاريخ نهاية التفويض]]="","",IFERROR(_xlfn.DAYS(Table2[[#This Row],[تاريخ نهاية التفويض]],TODAY()),""))</f>
        <v>67</v>
      </c>
      <c r="U130" s="42" t="s">
        <v>26</v>
      </c>
      <c r="V130" s="43">
        <v>46393</v>
      </c>
      <c r="W130" s="44">
        <f ca="1">IF(Table2[[#This Row],[تاريخ انتهاء التأمين]]="","",IFERROR(_xlfn.DAYS(Table2[[#This Row],[تاريخ انتهاء التأمين]],TODAY()),""))</f>
        <v>133</v>
      </c>
      <c r="X130" s="42" t="s">
        <v>27</v>
      </c>
      <c r="Y130" s="42" t="s">
        <v>28</v>
      </c>
      <c r="Z130" s="45">
        <v>1180</v>
      </c>
      <c r="AA130" s="46">
        <v>624852</v>
      </c>
      <c r="AB130" s="46" t="s">
        <v>1381</v>
      </c>
      <c r="AC130" s="46" t="s">
        <v>861</v>
      </c>
      <c r="AD130" s="46" t="s">
        <v>938</v>
      </c>
      <c r="AE130" s="47">
        <v>300</v>
      </c>
      <c r="AF130" s="48" t="s">
        <v>1147</v>
      </c>
      <c r="AG130" s="48" t="s">
        <v>861</v>
      </c>
      <c r="AH130" s="48" t="s">
        <v>1149</v>
      </c>
      <c r="AI130" s="90">
        <v>866069064819723</v>
      </c>
      <c r="AJ130" s="89">
        <v>46107</v>
      </c>
      <c r="AK130" s="102">
        <f ca="1">IF(Table2[[#This Row],[تاريخ انتهاء ال GPS]]="","",IFERROR(_xlfn.DAYS(Table2[[#This Row],[تاريخ انتهاء ال GPS]],TODAY()),""))</f>
        <v>-153</v>
      </c>
      <c r="AL130" s="49" t="s">
        <v>1083</v>
      </c>
      <c r="AM130" s="50">
        <v>46266</v>
      </c>
      <c r="AN130" s="51">
        <f ca="1">IF(Table2[[#This Row],[تاريخ انتهاء بطاقة التشغيل]]="","",IFERROR(_xlfn.DAYS(Table2[[#This Row],[تاريخ انتهاء بطاقة التشغيل]],TODAY()),""))</f>
        <v>6</v>
      </c>
      <c r="AO130" s="80">
        <v>46396</v>
      </c>
      <c r="AP130" s="52">
        <f>Table2[[#This Row],[تاريخ انتهاء رخصة السير هجري]]</f>
        <v>46396</v>
      </c>
      <c r="AQ130" s="53">
        <f ca="1">IF(Table2[[#This Row],[تاريخ انتهاء رخصة السير ميلادي]]="","",IFERROR(_xlfn.DAYS(Table2[[#This Row],[تاريخ انتهاء رخصة السير ميلادي]],TODAY()),""))</f>
        <v>136</v>
      </c>
      <c r="AR130" s="55">
        <v>46393</v>
      </c>
      <c r="AS130" s="56">
        <f>Table2[[#This Row],[تاريخ انتهاء الفحص هجري]]</f>
        <v>46393</v>
      </c>
      <c r="AT130" s="106">
        <f ca="1">IF(Table2[[#This Row],[تاريخ انتهاء الفحص ميلادي]]="","",IFERROR(_xlfn.DAYS(Table2[[#This Row],[تاريخ انتهاء الفحص ميلادي]],TODAY()),""))</f>
        <v>133</v>
      </c>
      <c r="AU130" s="54"/>
      <c r="AV130" s="1"/>
      <c r="BE130" s="3"/>
      <c r="BH130" s="1"/>
    </row>
    <row r="131" spans="1:60" x14ac:dyDescent="0.3">
      <c r="A131" s="39" t="s">
        <v>19</v>
      </c>
      <c r="B131" s="39" t="s">
        <v>1193</v>
      </c>
      <c r="C131" s="39" t="s">
        <v>1193</v>
      </c>
      <c r="D131" s="39" t="s">
        <v>17</v>
      </c>
      <c r="E131" s="39" t="s">
        <v>819</v>
      </c>
      <c r="F131" s="40">
        <v>7025667531</v>
      </c>
      <c r="G131" s="41" t="s">
        <v>286</v>
      </c>
      <c r="H131" s="39" t="s">
        <v>287</v>
      </c>
      <c r="I131" s="58">
        <v>535955020</v>
      </c>
      <c r="J131" s="39" t="s">
        <v>20</v>
      </c>
      <c r="K131" s="39" t="s">
        <v>67</v>
      </c>
      <c r="L131" s="39" t="s">
        <v>22</v>
      </c>
      <c r="M131" s="39">
        <v>2024</v>
      </c>
      <c r="N131" s="39" t="s">
        <v>64</v>
      </c>
      <c r="O131" s="39" t="s">
        <v>1137</v>
      </c>
      <c r="P131" s="39" t="s">
        <v>1137</v>
      </c>
      <c r="Q131" s="39" t="s">
        <v>1137</v>
      </c>
      <c r="R131" s="124" t="s">
        <v>1137</v>
      </c>
      <c r="S131" s="124" t="s">
        <v>1137</v>
      </c>
      <c r="T131" s="124" t="s">
        <v>1137</v>
      </c>
      <c r="U131" s="42" t="s">
        <v>26</v>
      </c>
      <c r="V131" s="43">
        <v>46393</v>
      </c>
      <c r="W131" s="44">
        <f ca="1">IF(Table2[[#This Row],[تاريخ انتهاء التأمين]]="","",IFERROR(_xlfn.DAYS(Table2[[#This Row],[تاريخ انتهاء التأمين]],TODAY()),""))</f>
        <v>133</v>
      </c>
      <c r="X131" s="42" t="s">
        <v>27</v>
      </c>
      <c r="Y131" s="42" t="s">
        <v>28</v>
      </c>
      <c r="Z131" s="45">
        <v>1180</v>
      </c>
      <c r="AA131" s="46">
        <v>624853</v>
      </c>
      <c r="AB131" s="46" t="s">
        <v>1382</v>
      </c>
      <c r="AC131" s="46" t="s">
        <v>861</v>
      </c>
      <c r="AD131" s="46" t="s">
        <v>938</v>
      </c>
      <c r="AE131" s="47">
        <v>300</v>
      </c>
      <c r="AF131" s="48" t="s">
        <v>1147</v>
      </c>
      <c r="AG131" s="48" t="s">
        <v>1173</v>
      </c>
      <c r="AH131" s="48" t="s">
        <v>1149</v>
      </c>
      <c r="AI131" s="90">
        <v>867747075510493</v>
      </c>
      <c r="AJ131" s="89">
        <v>46107</v>
      </c>
      <c r="AK131" s="102">
        <f ca="1">IF(Table2[[#This Row],[تاريخ انتهاء ال GPS]]="","",IFERROR(_xlfn.DAYS(Table2[[#This Row],[تاريخ انتهاء ال GPS]],TODAY()),""))</f>
        <v>-153</v>
      </c>
      <c r="AL131" s="49" t="s">
        <v>1084</v>
      </c>
      <c r="AM131" s="50">
        <v>46266</v>
      </c>
      <c r="AN131" s="51">
        <f ca="1">IF(Table2[[#This Row],[تاريخ انتهاء بطاقة التشغيل]]="","",IFERROR(_xlfn.DAYS(Table2[[#This Row],[تاريخ انتهاء بطاقة التشغيل]],TODAY()),""))</f>
        <v>6</v>
      </c>
      <c r="AO131" s="80">
        <v>46396</v>
      </c>
      <c r="AP131" s="52">
        <f>Table2[[#This Row],[تاريخ انتهاء رخصة السير هجري]]</f>
        <v>46396</v>
      </c>
      <c r="AQ131" s="53">
        <f ca="1">IF(Table2[[#This Row],[تاريخ انتهاء رخصة السير ميلادي]]="","",IFERROR(_xlfn.DAYS(Table2[[#This Row],[تاريخ انتهاء رخصة السير ميلادي]],TODAY()),""))</f>
        <v>136</v>
      </c>
      <c r="AR131" s="55">
        <v>46562</v>
      </c>
      <c r="AS131" s="56">
        <f>Table2[[#This Row],[تاريخ انتهاء الفحص هجري]]</f>
        <v>46562</v>
      </c>
      <c r="AT131" s="106">
        <f ca="1">IF(Table2[[#This Row],[تاريخ انتهاء الفحص ميلادي]]="","",IFERROR(_xlfn.DAYS(Table2[[#This Row],[تاريخ انتهاء الفحص ميلادي]],TODAY()),""))</f>
        <v>302</v>
      </c>
      <c r="AU131" s="54"/>
      <c r="AV131" s="1"/>
      <c r="BE131" s="3"/>
      <c r="BH131" s="1"/>
    </row>
    <row r="132" spans="1:60" x14ac:dyDescent="0.3">
      <c r="A132" s="39" t="s">
        <v>19</v>
      </c>
      <c r="B132" s="39" t="s">
        <v>1183</v>
      </c>
      <c r="C132" s="39" t="s">
        <v>1187</v>
      </c>
      <c r="D132" s="39" t="s">
        <v>17</v>
      </c>
      <c r="E132" s="39" t="s">
        <v>819</v>
      </c>
      <c r="F132" s="40">
        <v>7025667531</v>
      </c>
      <c r="G132" s="41" t="s">
        <v>288</v>
      </c>
      <c r="H132" s="39" t="s">
        <v>289</v>
      </c>
      <c r="I132" s="58">
        <v>35955020</v>
      </c>
      <c r="J132" s="39" t="s">
        <v>20</v>
      </c>
      <c r="K132" s="39" t="s">
        <v>67</v>
      </c>
      <c r="L132" s="39" t="s">
        <v>22</v>
      </c>
      <c r="M132" s="39">
        <v>2024</v>
      </c>
      <c r="N132" s="39" t="s">
        <v>64</v>
      </c>
      <c r="O132" s="39" t="s">
        <v>1877</v>
      </c>
      <c r="P132" s="58">
        <v>2562204699</v>
      </c>
      <c r="Q132" s="39" t="s">
        <v>1667</v>
      </c>
      <c r="R132" s="124">
        <v>46244</v>
      </c>
      <c r="S132" s="124">
        <v>46387</v>
      </c>
      <c r="T132" s="58">
        <f ca="1">IF(Table2[[#This Row],[تاريخ نهاية التفويض]]="","",IFERROR(_xlfn.DAYS(Table2[[#This Row],[تاريخ نهاية التفويض]],TODAY()),""))</f>
        <v>127</v>
      </c>
      <c r="U132" s="42" t="s">
        <v>26</v>
      </c>
      <c r="V132" s="43">
        <v>46393</v>
      </c>
      <c r="W132" s="44">
        <f ca="1">IF(Table2[[#This Row],[تاريخ انتهاء التأمين]]="","",IFERROR(_xlfn.DAYS(Table2[[#This Row],[تاريخ انتهاء التأمين]],TODAY()),""))</f>
        <v>133</v>
      </c>
      <c r="X132" s="42" t="s">
        <v>27</v>
      </c>
      <c r="Y132" s="42" t="s">
        <v>28</v>
      </c>
      <c r="Z132" s="45">
        <v>1180</v>
      </c>
      <c r="AA132" s="46">
        <v>624854</v>
      </c>
      <c r="AB132" s="46" t="s">
        <v>1383</v>
      </c>
      <c r="AC132" s="46" t="s">
        <v>861</v>
      </c>
      <c r="AD132" s="46" t="s">
        <v>938</v>
      </c>
      <c r="AE132" s="47">
        <v>300</v>
      </c>
      <c r="AF132" s="48" t="s">
        <v>1147</v>
      </c>
      <c r="AG132" s="48" t="s">
        <v>861</v>
      </c>
      <c r="AH132" s="48" t="s">
        <v>1149</v>
      </c>
      <c r="AI132" s="90">
        <v>867747071418931</v>
      </c>
      <c r="AJ132" s="89">
        <v>46110</v>
      </c>
      <c r="AK132" s="102">
        <f ca="1">IF(Table2[[#This Row],[تاريخ انتهاء ال GPS]]="","",IFERROR(_xlfn.DAYS(Table2[[#This Row],[تاريخ انتهاء ال GPS]],TODAY()),""))</f>
        <v>-150</v>
      </c>
      <c r="AL132" s="49" t="s">
        <v>1085</v>
      </c>
      <c r="AM132" s="50">
        <v>46266</v>
      </c>
      <c r="AN132" s="51">
        <f ca="1">IF(Table2[[#This Row],[تاريخ انتهاء بطاقة التشغيل]]="","",IFERROR(_xlfn.DAYS(Table2[[#This Row],[تاريخ انتهاء بطاقة التشغيل]],TODAY()),""))</f>
        <v>6</v>
      </c>
      <c r="AO132" s="80">
        <v>46396</v>
      </c>
      <c r="AP132" s="52">
        <f>Table2[[#This Row],[تاريخ انتهاء رخصة السير هجري]]</f>
        <v>46396</v>
      </c>
      <c r="AQ132" s="53">
        <f ca="1">IF(Table2[[#This Row],[تاريخ انتهاء رخصة السير ميلادي]]="","",IFERROR(_xlfn.DAYS(Table2[[#This Row],[تاريخ انتهاء رخصة السير ميلادي]],TODAY()),""))</f>
        <v>136</v>
      </c>
      <c r="AR132" s="55">
        <v>46051</v>
      </c>
      <c r="AS132" s="56">
        <f>Table2[[#This Row],[تاريخ انتهاء الفحص هجري]]</f>
        <v>46051</v>
      </c>
      <c r="AT132" s="106">
        <f ca="1">IF(Table2[[#This Row],[تاريخ انتهاء الفحص ميلادي]]="","",IFERROR(_xlfn.DAYS(Table2[[#This Row],[تاريخ انتهاء الفحص ميلادي]],TODAY()),""))</f>
        <v>-209</v>
      </c>
      <c r="AU132" s="54"/>
      <c r="AV132" s="1"/>
      <c r="BE132" s="3"/>
      <c r="BH132" s="1"/>
    </row>
    <row r="133" spans="1:60" x14ac:dyDescent="0.3">
      <c r="A133" s="39" t="s">
        <v>19</v>
      </c>
      <c r="B133" s="39" t="s">
        <v>1193</v>
      </c>
      <c r="C133" s="39" t="s">
        <v>1193</v>
      </c>
      <c r="D133" s="39" t="s">
        <v>17</v>
      </c>
      <c r="E133" s="39" t="s">
        <v>819</v>
      </c>
      <c r="F133" s="40">
        <v>7025667531</v>
      </c>
      <c r="G133" s="41" t="s">
        <v>290</v>
      </c>
      <c r="H133" s="39" t="s">
        <v>291</v>
      </c>
      <c r="I133" s="58">
        <v>425955020</v>
      </c>
      <c r="J133" s="39" t="s">
        <v>20</v>
      </c>
      <c r="K133" s="39" t="s">
        <v>67</v>
      </c>
      <c r="L133" s="39" t="s">
        <v>22</v>
      </c>
      <c r="M133" s="39">
        <v>2024</v>
      </c>
      <c r="N133" s="39" t="s">
        <v>64</v>
      </c>
      <c r="O133" s="39" t="s">
        <v>1137</v>
      </c>
      <c r="P133" s="39" t="s">
        <v>1137</v>
      </c>
      <c r="Q133" s="39" t="s">
        <v>1137</v>
      </c>
      <c r="R133" s="124" t="s">
        <v>1137</v>
      </c>
      <c r="S133" s="124" t="s">
        <v>1137</v>
      </c>
      <c r="T133" s="124" t="s">
        <v>1137</v>
      </c>
      <c r="U133" s="42" t="s">
        <v>26</v>
      </c>
      <c r="V133" s="43">
        <v>46393</v>
      </c>
      <c r="W133" s="44">
        <f ca="1">IF(Table2[[#This Row],[تاريخ انتهاء التأمين]]="","",IFERROR(_xlfn.DAYS(Table2[[#This Row],[تاريخ انتهاء التأمين]],TODAY()),""))</f>
        <v>133</v>
      </c>
      <c r="X133" s="42" t="s">
        <v>27</v>
      </c>
      <c r="Y133" s="42" t="s">
        <v>28</v>
      </c>
      <c r="Z133" s="45">
        <v>1180</v>
      </c>
      <c r="AA133" s="46">
        <v>624855</v>
      </c>
      <c r="AB133" s="46" t="s">
        <v>1384</v>
      </c>
      <c r="AC133" s="46" t="s">
        <v>861</v>
      </c>
      <c r="AD133" s="46" t="s">
        <v>938</v>
      </c>
      <c r="AE133" s="47">
        <v>300</v>
      </c>
      <c r="AF133" s="48" t="s">
        <v>1147</v>
      </c>
      <c r="AG133" s="48" t="s">
        <v>1173</v>
      </c>
      <c r="AH133" s="48" t="s">
        <v>1149</v>
      </c>
      <c r="AI133" s="90">
        <v>867747078359708</v>
      </c>
      <c r="AJ133" s="89">
        <v>46134</v>
      </c>
      <c r="AK133" s="102">
        <f ca="1">IF(Table2[[#This Row],[تاريخ انتهاء ال GPS]]="","",IFERROR(_xlfn.DAYS(Table2[[#This Row],[تاريخ انتهاء ال GPS]],TODAY()),""))</f>
        <v>-126</v>
      </c>
      <c r="AL133" s="49" t="s">
        <v>1086</v>
      </c>
      <c r="AM133" s="50">
        <v>46266</v>
      </c>
      <c r="AN133" s="51">
        <f ca="1">IF(Table2[[#This Row],[تاريخ انتهاء بطاقة التشغيل]]="","",IFERROR(_xlfn.DAYS(Table2[[#This Row],[تاريخ انتهاء بطاقة التشغيل]],TODAY()),""))</f>
        <v>6</v>
      </c>
      <c r="AO133" s="80">
        <v>46396</v>
      </c>
      <c r="AP133" s="52">
        <f>Table2[[#This Row],[تاريخ انتهاء رخصة السير هجري]]</f>
        <v>46396</v>
      </c>
      <c r="AQ133" s="53">
        <f ca="1">IF(Table2[[#This Row],[تاريخ انتهاء رخصة السير ميلادي]]="","",IFERROR(_xlfn.DAYS(Table2[[#This Row],[تاريخ انتهاء رخصة السير ميلادي]],TODAY()),""))</f>
        <v>136</v>
      </c>
      <c r="AR133" s="55">
        <v>46393</v>
      </c>
      <c r="AS133" s="56">
        <f>Table2[[#This Row],[تاريخ انتهاء الفحص هجري]]</f>
        <v>46393</v>
      </c>
      <c r="AT133" s="106">
        <f ca="1">IF(Table2[[#This Row],[تاريخ انتهاء الفحص ميلادي]]="","",IFERROR(_xlfn.DAYS(Table2[[#This Row],[تاريخ انتهاء الفحص ميلادي]],TODAY()),""))</f>
        <v>133</v>
      </c>
      <c r="AU133" s="54"/>
      <c r="AV133" s="1"/>
      <c r="BE133" s="3"/>
      <c r="BH133" s="1"/>
    </row>
    <row r="134" spans="1:60" x14ac:dyDescent="0.3">
      <c r="A134" s="39" t="s">
        <v>19</v>
      </c>
      <c r="B134" s="39" t="s">
        <v>1193</v>
      </c>
      <c r="C134" s="39" t="s">
        <v>1193</v>
      </c>
      <c r="D134" s="39" t="s">
        <v>17</v>
      </c>
      <c r="E134" s="39" t="s">
        <v>819</v>
      </c>
      <c r="F134" s="40">
        <v>7025667531</v>
      </c>
      <c r="G134" s="41" t="s">
        <v>292</v>
      </c>
      <c r="H134" s="39" t="s">
        <v>293</v>
      </c>
      <c r="I134" s="58">
        <v>315955020</v>
      </c>
      <c r="J134" s="39" t="s">
        <v>20</v>
      </c>
      <c r="K134" s="39" t="s">
        <v>67</v>
      </c>
      <c r="L134" s="39" t="s">
        <v>22</v>
      </c>
      <c r="M134" s="39">
        <v>2024</v>
      </c>
      <c r="N134" s="39" t="s">
        <v>64</v>
      </c>
      <c r="O134" s="39" t="s">
        <v>1137</v>
      </c>
      <c r="P134" s="39" t="s">
        <v>1137</v>
      </c>
      <c r="Q134" s="39" t="s">
        <v>1137</v>
      </c>
      <c r="R134" s="124" t="s">
        <v>1137</v>
      </c>
      <c r="S134" s="124" t="s">
        <v>1137</v>
      </c>
      <c r="T134" s="124" t="s">
        <v>1137</v>
      </c>
      <c r="U134" s="42" t="s">
        <v>26</v>
      </c>
      <c r="V134" s="43">
        <v>46393</v>
      </c>
      <c r="W134" s="44">
        <f ca="1">IF(Table2[[#This Row],[تاريخ انتهاء التأمين]]="","",IFERROR(_xlfn.DAYS(Table2[[#This Row],[تاريخ انتهاء التأمين]],TODAY()),""))</f>
        <v>133</v>
      </c>
      <c r="X134" s="42" t="s">
        <v>27</v>
      </c>
      <c r="Y134" s="42" t="s">
        <v>28</v>
      </c>
      <c r="Z134" s="45">
        <v>1180</v>
      </c>
      <c r="AA134" s="46">
        <v>624856</v>
      </c>
      <c r="AB134" s="46" t="s">
        <v>1385</v>
      </c>
      <c r="AC134" s="46" t="s">
        <v>861</v>
      </c>
      <c r="AD134" s="46" t="s">
        <v>938</v>
      </c>
      <c r="AE134" s="47">
        <v>300</v>
      </c>
      <c r="AF134" s="48" t="s">
        <v>1147</v>
      </c>
      <c r="AG134" s="48" t="s">
        <v>861</v>
      </c>
      <c r="AH134" s="48" t="s">
        <v>1149</v>
      </c>
      <c r="AI134" s="90">
        <v>867747075438687</v>
      </c>
      <c r="AJ134" s="89">
        <v>46119</v>
      </c>
      <c r="AK134" s="102">
        <f ca="1">IF(Table2[[#This Row],[تاريخ انتهاء ال GPS]]="","",IFERROR(_xlfn.DAYS(Table2[[#This Row],[تاريخ انتهاء ال GPS]],TODAY()),""))</f>
        <v>-141</v>
      </c>
      <c r="AL134" s="49" t="s">
        <v>1087</v>
      </c>
      <c r="AM134" s="50">
        <v>46266</v>
      </c>
      <c r="AN134" s="51">
        <f ca="1">IF(Table2[[#This Row],[تاريخ انتهاء بطاقة التشغيل]]="","",IFERROR(_xlfn.DAYS(Table2[[#This Row],[تاريخ انتهاء بطاقة التشغيل]],TODAY()),""))</f>
        <v>6</v>
      </c>
      <c r="AO134" s="80">
        <v>46396</v>
      </c>
      <c r="AP134" s="52">
        <f>Table2[[#This Row],[تاريخ انتهاء رخصة السير هجري]]</f>
        <v>46396</v>
      </c>
      <c r="AQ134" s="53">
        <f ca="1">IF(Table2[[#This Row],[تاريخ انتهاء رخصة السير ميلادي]]="","",IFERROR(_xlfn.DAYS(Table2[[#This Row],[تاريخ انتهاء رخصة السير ميلادي]],TODAY()),""))</f>
        <v>136</v>
      </c>
      <c r="AR134" s="55">
        <v>46402</v>
      </c>
      <c r="AS134" s="56">
        <f>Table2[[#This Row],[تاريخ انتهاء الفحص هجري]]</f>
        <v>46402</v>
      </c>
      <c r="AT134" s="106">
        <f ca="1">IF(Table2[[#This Row],[تاريخ انتهاء الفحص ميلادي]]="","",IFERROR(_xlfn.DAYS(Table2[[#This Row],[تاريخ انتهاء الفحص ميلادي]],TODAY()),""))</f>
        <v>142</v>
      </c>
      <c r="AU134" s="54"/>
      <c r="AV134" s="1"/>
      <c r="BE134" s="3"/>
      <c r="BH134" s="1"/>
    </row>
    <row r="135" spans="1:60" x14ac:dyDescent="0.3">
      <c r="A135" s="39" t="s">
        <v>19</v>
      </c>
      <c r="B135" s="39" t="s">
        <v>1183</v>
      </c>
      <c r="C135" s="39" t="s">
        <v>2004</v>
      </c>
      <c r="D135" s="39" t="s">
        <v>17</v>
      </c>
      <c r="E135" s="39" t="s">
        <v>819</v>
      </c>
      <c r="F135" s="40">
        <v>7025667531</v>
      </c>
      <c r="G135" s="41" t="s">
        <v>294</v>
      </c>
      <c r="H135" s="39" t="s">
        <v>295</v>
      </c>
      <c r="I135" s="58">
        <v>505955020</v>
      </c>
      <c r="J135" s="39" t="s">
        <v>20</v>
      </c>
      <c r="K135" s="39" t="s">
        <v>67</v>
      </c>
      <c r="L135" s="39" t="s">
        <v>22</v>
      </c>
      <c r="M135" s="39">
        <v>2024</v>
      </c>
      <c r="N135" s="39" t="s">
        <v>64</v>
      </c>
      <c r="O135" s="39" t="s">
        <v>1878</v>
      </c>
      <c r="P135" s="58">
        <v>2562204152</v>
      </c>
      <c r="Q135" s="39" t="s">
        <v>1668</v>
      </c>
      <c r="R135" s="124">
        <v>45994</v>
      </c>
      <c r="S135" s="124">
        <v>46327</v>
      </c>
      <c r="T135" s="58">
        <f ca="1">IF(Table2[[#This Row],[تاريخ نهاية التفويض]]="","",IFERROR(_xlfn.DAYS(Table2[[#This Row],[تاريخ نهاية التفويض]],TODAY()),""))</f>
        <v>67</v>
      </c>
      <c r="U135" s="42" t="s">
        <v>26</v>
      </c>
      <c r="V135" s="43">
        <v>46393</v>
      </c>
      <c r="W135" s="44">
        <f ca="1">IF(Table2[[#This Row],[تاريخ انتهاء التأمين]]="","",IFERROR(_xlfn.DAYS(Table2[[#This Row],[تاريخ انتهاء التأمين]],TODAY()),""))</f>
        <v>133</v>
      </c>
      <c r="X135" s="42" t="s">
        <v>27</v>
      </c>
      <c r="Y135" s="42" t="s">
        <v>28</v>
      </c>
      <c r="Z135" s="45">
        <v>1180</v>
      </c>
      <c r="AA135" s="46">
        <v>624857</v>
      </c>
      <c r="AB135" s="46" t="s">
        <v>1386</v>
      </c>
      <c r="AC135" s="46" t="s">
        <v>861</v>
      </c>
      <c r="AD135" s="46" t="s">
        <v>938</v>
      </c>
      <c r="AE135" s="47">
        <v>300</v>
      </c>
      <c r="AF135" s="48" t="s">
        <v>1147</v>
      </c>
      <c r="AG135" s="48" t="s">
        <v>861</v>
      </c>
      <c r="AH135" s="48" t="s">
        <v>1149</v>
      </c>
      <c r="AI135" s="90">
        <v>864454079674283</v>
      </c>
      <c r="AJ135" s="89">
        <v>46127</v>
      </c>
      <c r="AK135" s="102">
        <f ca="1">IF(Table2[[#This Row],[تاريخ انتهاء ال GPS]]="","",IFERROR(_xlfn.DAYS(Table2[[#This Row],[تاريخ انتهاء ال GPS]],TODAY()),""))</f>
        <v>-133</v>
      </c>
      <c r="AL135" s="49" t="s">
        <v>1088</v>
      </c>
      <c r="AM135" s="50">
        <v>46266</v>
      </c>
      <c r="AN135" s="51">
        <f ca="1">IF(Table2[[#This Row],[تاريخ انتهاء بطاقة التشغيل]]="","",IFERROR(_xlfn.DAYS(Table2[[#This Row],[تاريخ انتهاء بطاقة التشغيل]],TODAY()),""))</f>
        <v>6</v>
      </c>
      <c r="AO135" s="80">
        <v>46396</v>
      </c>
      <c r="AP135" s="52">
        <f>Table2[[#This Row],[تاريخ انتهاء رخصة السير هجري]]</f>
        <v>46396</v>
      </c>
      <c r="AQ135" s="53">
        <f ca="1">IF(Table2[[#This Row],[تاريخ انتهاء رخصة السير ميلادي]]="","",IFERROR(_xlfn.DAYS(Table2[[#This Row],[تاريخ انتهاء رخصة السير ميلادي]],TODAY()),""))</f>
        <v>136</v>
      </c>
      <c r="AR135" s="55">
        <v>46397</v>
      </c>
      <c r="AS135" s="56">
        <f>Table2[[#This Row],[تاريخ انتهاء الفحص هجري]]</f>
        <v>46397</v>
      </c>
      <c r="AT135" s="106">
        <f ca="1">IF(Table2[[#This Row],[تاريخ انتهاء الفحص ميلادي]]="","",IFERROR(_xlfn.DAYS(Table2[[#This Row],[تاريخ انتهاء الفحص ميلادي]],TODAY()),""))</f>
        <v>137</v>
      </c>
      <c r="AU135" s="54"/>
      <c r="AV135" s="1"/>
      <c r="BE135" s="3"/>
      <c r="BH135" s="1"/>
    </row>
    <row r="136" spans="1:60" x14ac:dyDescent="0.3">
      <c r="A136" s="39" t="s">
        <v>19</v>
      </c>
      <c r="B136" s="39" t="s">
        <v>2003</v>
      </c>
      <c r="C136" s="39" t="s">
        <v>2004</v>
      </c>
      <c r="D136" s="39" t="s">
        <v>17</v>
      </c>
      <c r="E136" s="39" t="s">
        <v>819</v>
      </c>
      <c r="F136" s="40">
        <v>7025667531</v>
      </c>
      <c r="G136" s="41" t="s">
        <v>296</v>
      </c>
      <c r="H136" s="39" t="s">
        <v>297</v>
      </c>
      <c r="I136" s="58">
        <v>205955020</v>
      </c>
      <c r="J136" s="39" t="s">
        <v>20</v>
      </c>
      <c r="K136" s="39" t="s">
        <v>67</v>
      </c>
      <c r="L136" s="39" t="s">
        <v>22</v>
      </c>
      <c r="M136" s="39">
        <v>2024</v>
      </c>
      <c r="N136" s="39" t="s">
        <v>64</v>
      </c>
      <c r="O136" s="39" t="s">
        <v>1879</v>
      </c>
      <c r="P136" s="58">
        <v>2626922260</v>
      </c>
      <c r="Q136" s="39" t="s">
        <v>1669</v>
      </c>
      <c r="R136" s="124">
        <v>46210</v>
      </c>
      <c r="S136" s="124">
        <v>46387</v>
      </c>
      <c r="T136" s="58">
        <f ca="1">IF(Table2[[#This Row],[تاريخ نهاية التفويض]]="","",IFERROR(_xlfn.DAYS(Table2[[#This Row],[تاريخ نهاية التفويض]],TODAY()),""))</f>
        <v>127</v>
      </c>
      <c r="U136" s="42" t="s">
        <v>26</v>
      </c>
      <c r="V136" s="43">
        <v>46393</v>
      </c>
      <c r="W136" s="44">
        <f ca="1">IF(Table2[[#This Row],[تاريخ انتهاء التأمين]]="","",IFERROR(_xlfn.DAYS(Table2[[#This Row],[تاريخ انتهاء التأمين]],TODAY()),""))</f>
        <v>133</v>
      </c>
      <c r="X136" s="42" t="s">
        <v>27</v>
      </c>
      <c r="Y136" s="42" t="s">
        <v>28</v>
      </c>
      <c r="Z136" s="45">
        <v>1180</v>
      </c>
      <c r="AA136" s="46">
        <v>624858</v>
      </c>
      <c r="AB136" s="46" t="s">
        <v>1387</v>
      </c>
      <c r="AC136" s="46" t="s">
        <v>861</v>
      </c>
      <c r="AD136" s="46" t="s">
        <v>938</v>
      </c>
      <c r="AE136" s="47">
        <v>300</v>
      </c>
      <c r="AF136" s="48" t="s">
        <v>1147</v>
      </c>
      <c r="AG136" s="48" t="s">
        <v>861</v>
      </c>
      <c r="AH136" s="48" t="s">
        <v>1149</v>
      </c>
      <c r="AI136" s="90">
        <v>867747075438547</v>
      </c>
      <c r="AJ136" s="89">
        <v>46110</v>
      </c>
      <c r="AK136" s="102">
        <f ca="1">IF(Table2[[#This Row],[تاريخ انتهاء ال GPS]]="","",IFERROR(_xlfn.DAYS(Table2[[#This Row],[تاريخ انتهاء ال GPS]],TODAY()),""))</f>
        <v>-150</v>
      </c>
      <c r="AL136" s="49" t="s">
        <v>1089</v>
      </c>
      <c r="AM136" s="50">
        <v>46266</v>
      </c>
      <c r="AN136" s="51">
        <f ca="1">IF(Table2[[#This Row],[تاريخ انتهاء بطاقة التشغيل]]="","",IFERROR(_xlfn.DAYS(Table2[[#This Row],[تاريخ انتهاء بطاقة التشغيل]],TODAY()),""))</f>
        <v>6</v>
      </c>
      <c r="AO136" s="80">
        <v>46396</v>
      </c>
      <c r="AP136" s="52">
        <f>Table2[[#This Row],[تاريخ انتهاء رخصة السير هجري]]</f>
        <v>46396</v>
      </c>
      <c r="AQ136" s="53">
        <f ca="1">IF(Table2[[#This Row],[تاريخ انتهاء رخصة السير ميلادي]]="","",IFERROR(_xlfn.DAYS(Table2[[#This Row],[تاريخ انتهاء رخصة السير ميلادي]],TODAY()),""))</f>
        <v>136</v>
      </c>
      <c r="AR136" s="55">
        <v>46397</v>
      </c>
      <c r="AS136" s="56">
        <f>Table2[[#This Row],[تاريخ انتهاء الفحص هجري]]</f>
        <v>46397</v>
      </c>
      <c r="AT136" s="106">
        <f ca="1">IF(Table2[[#This Row],[تاريخ انتهاء الفحص ميلادي]]="","",IFERROR(_xlfn.DAYS(Table2[[#This Row],[تاريخ انتهاء الفحص ميلادي]],TODAY()),""))</f>
        <v>137</v>
      </c>
      <c r="AU136" s="54"/>
      <c r="AV136" s="1"/>
      <c r="BE136" s="3"/>
      <c r="BH136" s="1"/>
    </row>
    <row r="137" spans="1:60" x14ac:dyDescent="0.3">
      <c r="A137" s="39" t="s">
        <v>19</v>
      </c>
      <c r="B137" s="39" t="s">
        <v>1193</v>
      </c>
      <c r="C137" s="39" t="s">
        <v>1193</v>
      </c>
      <c r="D137" s="39" t="s">
        <v>17</v>
      </c>
      <c r="E137" s="39" t="s">
        <v>819</v>
      </c>
      <c r="F137" s="40">
        <v>7025667531</v>
      </c>
      <c r="G137" s="41" t="s">
        <v>298</v>
      </c>
      <c r="H137" s="39" t="s">
        <v>299</v>
      </c>
      <c r="I137" s="58">
        <v>174955020</v>
      </c>
      <c r="J137" s="39" t="s">
        <v>20</v>
      </c>
      <c r="K137" s="39" t="s">
        <v>67</v>
      </c>
      <c r="L137" s="39" t="s">
        <v>22</v>
      </c>
      <c r="M137" s="39">
        <v>2024</v>
      </c>
      <c r="N137" s="39" t="s">
        <v>64</v>
      </c>
      <c r="O137" s="39" t="s">
        <v>1137</v>
      </c>
      <c r="P137" s="39" t="s">
        <v>1137</v>
      </c>
      <c r="Q137" s="39" t="s">
        <v>1137</v>
      </c>
      <c r="R137" s="124" t="s">
        <v>1137</v>
      </c>
      <c r="S137" s="124" t="s">
        <v>1137</v>
      </c>
      <c r="T137" s="124" t="s">
        <v>1137</v>
      </c>
      <c r="U137" s="42" t="s">
        <v>26</v>
      </c>
      <c r="V137" s="43">
        <v>46393</v>
      </c>
      <c r="W137" s="44">
        <f ca="1">IF(Table2[[#This Row],[تاريخ انتهاء التأمين]]="","",IFERROR(_xlfn.DAYS(Table2[[#This Row],[تاريخ انتهاء التأمين]],TODAY()),""))</f>
        <v>133</v>
      </c>
      <c r="X137" s="42" t="s">
        <v>27</v>
      </c>
      <c r="Y137" s="42" t="s">
        <v>28</v>
      </c>
      <c r="Z137" s="45">
        <v>1180</v>
      </c>
      <c r="AA137" s="46">
        <v>624859</v>
      </c>
      <c r="AB137" s="46" t="s">
        <v>1388</v>
      </c>
      <c r="AC137" s="46" t="s">
        <v>861</v>
      </c>
      <c r="AD137" s="46" t="s">
        <v>938</v>
      </c>
      <c r="AE137" s="47">
        <v>300</v>
      </c>
      <c r="AF137" s="48" t="s">
        <v>1147</v>
      </c>
      <c r="AG137" s="48" t="s">
        <v>861</v>
      </c>
      <c r="AH137" s="48" t="s">
        <v>1149</v>
      </c>
      <c r="AI137" s="90">
        <v>867747071401119</v>
      </c>
      <c r="AJ137" s="89">
        <v>46109</v>
      </c>
      <c r="AK137" s="102">
        <f ca="1">IF(Table2[[#This Row],[تاريخ انتهاء ال GPS]]="","",IFERROR(_xlfn.DAYS(Table2[[#This Row],[تاريخ انتهاء ال GPS]],TODAY()),""))</f>
        <v>-151</v>
      </c>
      <c r="AL137" s="49" t="s">
        <v>1090</v>
      </c>
      <c r="AM137" s="50">
        <v>46266</v>
      </c>
      <c r="AN137" s="51">
        <f ca="1">IF(Table2[[#This Row],[تاريخ انتهاء بطاقة التشغيل]]="","",IFERROR(_xlfn.DAYS(Table2[[#This Row],[تاريخ انتهاء بطاقة التشغيل]],TODAY()),""))</f>
        <v>6</v>
      </c>
      <c r="AO137" s="80">
        <v>46396</v>
      </c>
      <c r="AP137" s="52">
        <f>Table2[[#This Row],[تاريخ انتهاء رخصة السير هجري]]</f>
        <v>46396</v>
      </c>
      <c r="AQ137" s="53">
        <f ca="1">IF(Table2[[#This Row],[تاريخ انتهاء رخصة السير ميلادي]]="","",IFERROR(_xlfn.DAYS(Table2[[#This Row],[تاريخ انتهاء رخصة السير ميلادي]],TODAY()),""))</f>
        <v>136</v>
      </c>
      <c r="AR137" s="55">
        <v>46394</v>
      </c>
      <c r="AS137" s="56">
        <f>Table2[[#This Row],[تاريخ انتهاء الفحص هجري]]</f>
        <v>46394</v>
      </c>
      <c r="AT137" s="106">
        <f ca="1">IF(Table2[[#This Row],[تاريخ انتهاء الفحص ميلادي]]="","",IFERROR(_xlfn.DAYS(Table2[[#This Row],[تاريخ انتهاء الفحص ميلادي]],TODAY()),""))</f>
        <v>134</v>
      </c>
      <c r="AU137" s="54"/>
      <c r="AV137" s="1"/>
      <c r="BE137" s="3"/>
      <c r="BH137" s="1"/>
    </row>
    <row r="138" spans="1:60" x14ac:dyDescent="0.3">
      <c r="A138" s="39" t="s">
        <v>19</v>
      </c>
      <c r="B138" s="39" t="s">
        <v>1185</v>
      </c>
      <c r="C138" s="39" t="s">
        <v>1187</v>
      </c>
      <c r="D138" s="39" t="s">
        <v>17</v>
      </c>
      <c r="E138" s="39" t="s">
        <v>819</v>
      </c>
      <c r="F138" s="40">
        <v>7025667531</v>
      </c>
      <c r="G138" s="41" t="s">
        <v>300</v>
      </c>
      <c r="H138" s="39" t="s">
        <v>301</v>
      </c>
      <c r="I138" s="58">
        <v>364955020</v>
      </c>
      <c r="J138" s="39" t="s">
        <v>20</v>
      </c>
      <c r="K138" s="39" t="s">
        <v>67</v>
      </c>
      <c r="L138" s="39" t="s">
        <v>22</v>
      </c>
      <c r="M138" s="39">
        <v>2024</v>
      </c>
      <c r="N138" s="39" t="s">
        <v>64</v>
      </c>
      <c r="O138" s="39" t="s">
        <v>1880</v>
      </c>
      <c r="P138" s="58">
        <v>2540796881</v>
      </c>
      <c r="Q138" s="39" t="s">
        <v>1670</v>
      </c>
      <c r="R138" s="124">
        <v>46247</v>
      </c>
      <c r="S138" s="124">
        <v>46387</v>
      </c>
      <c r="T138" s="58">
        <f ca="1">IF(Table2[[#This Row],[تاريخ نهاية التفويض]]="","",IFERROR(_xlfn.DAYS(Table2[[#This Row],[تاريخ نهاية التفويض]],TODAY()),""))</f>
        <v>127</v>
      </c>
      <c r="U138" s="42" t="s">
        <v>26</v>
      </c>
      <c r="V138" s="43">
        <v>46393</v>
      </c>
      <c r="W138" s="44">
        <f ca="1">IF(Table2[[#This Row],[تاريخ انتهاء التأمين]]="","",IFERROR(_xlfn.DAYS(Table2[[#This Row],[تاريخ انتهاء التأمين]],TODAY()),""))</f>
        <v>133</v>
      </c>
      <c r="X138" s="42" t="s">
        <v>27</v>
      </c>
      <c r="Y138" s="42" t="s">
        <v>28</v>
      </c>
      <c r="Z138" s="45">
        <v>1180</v>
      </c>
      <c r="AA138" s="46">
        <v>624831</v>
      </c>
      <c r="AB138" s="46" t="s">
        <v>1138</v>
      </c>
      <c r="AC138" s="46" t="s">
        <v>861</v>
      </c>
      <c r="AD138" s="46" t="s">
        <v>938</v>
      </c>
      <c r="AE138" s="47">
        <v>300</v>
      </c>
      <c r="AF138" s="48" t="s">
        <v>1147</v>
      </c>
      <c r="AG138" s="48" t="s">
        <v>861</v>
      </c>
      <c r="AH138" s="48" t="s">
        <v>1149</v>
      </c>
      <c r="AI138" s="90">
        <v>866344057053816</v>
      </c>
      <c r="AJ138" s="89">
        <v>46107</v>
      </c>
      <c r="AK138" s="102">
        <f ca="1">IF(Table2[[#This Row],[تاريخ انتهاء ال GPS]]="","",IFERROR(_xlfn.DAYS(Table2[[#This Row],[تاريخ انتهاء ال GPS]],TODAY()),""))</f>
        <v>-153</v>
      </c>
      <c r="AL138" s="49" t="s">
        <v>1091</v>
      </c>
      <c r="AM138" s="50">
        <v>46266</v>
      </c>
      <c r="AN138" s="51">
        <f ca="1">IF(Table2[[#This Row],[تاريخ انتهاء بطاقة التشغيل]]="","",IFERROR(_xlfn.DAYS(Table2[[#This Row],[تاريخ انتهاء بطاقة التشغيل]],TODAY()),""))</f>
        <v>6</v>
      </c>
      <c r="AO138" s="80">
        <v>46396</v>
      </c>
      <c r="AP138" s="52">
        <f>Table2[[#This Row],[تاريخ انتهاء رخصة السير هجري]]</f>
        <v>46396</v>
      </c>
      <c r="AQ138" s="53">
        <f ca="1">IF(Table2[[#This Row],[تاريخ انتهاء رخصة السير ميلادي]]="","",IFERROR(_xlfn.DAYS(Table2[[#This Row],[تاريخ انتهاء رخصة السير ميلادي]],TODAY()),""))</f>
        <v>136</v>
      </c>
      <c r="AR138" s="55">
        <v>46406</v>
      </c>
      <c r="AS138" s="56">
        <f>Table2[[#This Row],[تاريخ انتهاء الفحص هجري]]</f>
        <v>46406</v>
      </c>
      <c r="AT138" s="106">
        <f ca="1">IF(Table2[[#This Row],[تاريخ انتهاء الفحص ميلادي]]="","",IFERROR(_xlfn.DAYS(Table2[[#This Row],[تاريخ انتهاء الفحص ميلادي]],TODAY()),""))</f>
        <v>146</v>
      </c>
      <c r="AU138" s="54"/>
      <c r="AV138" s="1"/>
      <c r="BE138" s="3"/>
      <c r="BH138" s="1"/>
    </row>
    <row r="139" spans="1:60" x14ac:dyDescent="0.3">
      <c r="A139" s="39" t="s">
        <v>19</v>
      </c>
      <c r="B139" s="39" t="s">
        <v>1185</v>
      </c>
      <c r="C139" s="39" t="s">
        <v>1187</v>
      </c>
      <c r="D139" s="39" t="s">
        <v>17</v>
      </c>
      <c r="E139" s="39" t="s">
        <v>819</v>
      </c>
      <c r="F139" s="40">
        <v>7025667531</v>
      </c>
      <c r="G139" s="41" t="s">
        <v>302</v>
      </c>
      <c r="H139" s="39" t="s">
        <v>303</v>
      </c>
      <c r="I139" s="58">
        <v>924955020</v>
      </c>
      <c r="J139" s="39" t="s">
        <v>20</v>
      </c>
      <c r="K139" s="39" t="s">
        <v>67</v>
      </c>
      <c r="L139" s="39" t="s">
        <v>22</v>
      </c>
      <c r="M139" s="39">
        <v>2024</v>
      </c>
      <c r="N139" s="39" t="s">
        <v>64</v>
      </c>
      <c r="O139" s="39" t="s">
        <v>1881</v>
      </c>
      <c r="P139" s="58">
        <v>2575936675</v>
      </c>
      <c r="Q139" s="39" t="s">
        <v>1671</v>
      </c>
      <c r="R139" s="124">
        <v>46241</v>
      </c>
      <c r="S139" s="124">
        <v>46387</v>
      </c>
      <c r="T139" s="58">
        <f ca="1">IF(Table2[[#This Row],[تاريخ نهاية التفويض]]="","",IFERROR(_xlfn.DAYS(Table2[[#This Row],[تاريخ نهاية التفويض]],TODAY()),""))</f>
        <v>127</v>
      </c>
      <c r="U139" s="42" t="s">
        <v>26</v>
      </c>
      <c r="V139" s="43">
        <v>46393</v>
      </c>
      <c r="W139" s="44">
        <f ca="1">IF(Table2[[#This Row],[تاريخ انتهاء التأمين]]="","",IFERROR(_xlfn.DAYS(Table2[[#This Row],[تاريخ انتهاء التأمين]],TODAY()),""))</f>
        <v>133</v>
      </c>
      <c r="X139" s="42" t="s">
        <v>27</v>
      </c>
      <c r="Y139" s="42" t="s">
        <v>28</v>
      </c>
      <c r="Z139" s="45">
        <v>1180</v>
      </c>
      <c r="AA139" s="46">
        <v>624834</v>
      </c>
      <c r="AB139" s="46" t="s">
        <v>1138</v>
      </c>
      <c r="AC139" s="46" t="s">
        <v>861</v>
      </c>
      <c r="AD139" s="46" t="s">
        <v>938</v>
      </c>
      <c r="AE139" s="47">
        <v>300</v>
      </c>
      <c r="AF139" s="48" t="s">
        <v>1147</v>
      </c>
      <c r="AG139" s="48" t="s">
        <v>861</v>
      </c>
      <c r="AH139" s="48" t="s">
        <v>1149</v>
      </c>
      <c r="AI139" s="90">
        <v>866069063701922</v>
      </c>
      <c r="AJ139" s="89">
        <v>46107</v>
      </c>
      <c r="AK139" s="102">
        <f ca="1">IF(Table2[[#This Row],[تاريخ انتهاء ال GPS]]="","",IFERROR(_xlfn.DAYS(Table2[[#This Row],[تاريخ انتهاء ال GPS]],TODAY()),""))</f>
        <v>-153</v>
      </c>
      <c r="AL139" s="49" t="s">
        <v>1092</v>
      </c>
      <c r="AM139" s="50">
        <v>46266</v>
      </c>
      <c r="AN139" s="51">
        <f ca="1">IF(Table2[[#This Row],[تاريخ انتهاء بطاقة التشغيل]]="","",IFERROR(_xlfn.DAYS(Table2[[#This Row],[تاريخ انتهاء بطاقة التشغيل]],TODAY()),""))</f>
        <v>6</v>
      </c>
      <c r="AO139" s="80">
        <v>46396</v>
      </c>
      <c r="AP139" s="52">
        <f>Table2[[#This Row],[تاريخ انتهاء رخصة السير هجري]]</f>
        <v>46396</v>
      </c>
      <c r="AQ139" s="53">
        <f ca="1">IF(Table2[[#This Row],[تاريخ انتهاء رخصة السير ميلادي]]="","",IFERROR(_xlfn.DAYS(Table2[[#This Row],[تاريخ انتهاء رخصة السير ميلادي]],TODAY()),""))</f>
        <v>136</v>
      </c>
      <c r="AR139" s="55">
        <v>46411</v>
      </c>
      <c r="AS139" s="56">
        <f>Table2[[#This Row],[تاريخ انتهاء الفحص هجري]]</f>
        <v>46411</v>
      </c>
      <c r="AT139" s="106">
        <f ca="1">IF(Table2[[#This Row],[تاريخ انتهاء الفحص ميلادي]]="","",IFERROR(_xlfn.DAYS(Table2[[#This Row],[تاريخ انتهاء الفحص ميلادي]],TODAY()),""))</f>
        <v>151</v>
      </c>
      <c r="AU139" s="54"/>
      <c r="AV139" s="1"/>
      <c r="BE139" s="3"/>
      <c r="BH139" s="1"/>
    </row>
    <row r="140" spans="1:60" x14ac:dyDescent="0.3">
      <c r="A140" s="39" t="s">
        <v>19</v>
      </c>
      <c r="B140" s="39" t="s">
        <v>2003</v>
      </c>
      <c r="C140" s="39" t="s">
        <v>2004</v>
      </c>
      <c r="D140" s="39" t="s">
        <v>17</v>
      </c>
      <c r="E140" s="39" t="s">
        <v>819</v>
      </c>
      <c r="F140" s="40">
        <v>7025667531</v>
      </c>
      <c r="G140" s="41" t="s">
        <v>304</v>
      </c>
      <c r="H140" s="39" t="s">
        <v>305</v>
      </c>
      <c r="I140" s="58">
        <v>712655020</v>
      </c>
      <c r="J140" s="39" t="s">
        <v>20</v>
      </c>
      <c r="K140" s="39" t="s">
        <v>67</v>
      </c>
      <c r="L140" s="39" t="s">
        <v>22</v>
      </c>
      <c r="M140" s="39">
        <v>2024</v>
      </c>
      <c r="N140" s="39" t="s">
        <v>64</v>
      </c>
      <c r="O140" s="39" t="s">
        <v>1882</v>
      </c>
      <c r="P140" s="58">
        <v>2587774726</v>
      </c>
      <c r="Q140" s="39" t="s">
        <v>1672</v>
      </c>
      <c r="R140" s="124">
        <v>46166</v>
      </c>
      <c r="S140" s="124">
        <v>46387</v>
      </c>
      <c r="T140" s="58">
        <f ca="1">IF(Table2[[#This Row],[تاريخ نهاية التفويض]]="","",IFERROR(_xlfn.DAYS(Table2[[#This Row],[تاريخ نهاية التفويض]],TODAY()),""))</f>
        <v>127</v>
      </c>
      <c r="U140" s="42" t="s">
        <v>26</v>
      </c>
      <c r="V140" s="43">
        <v>46393</v>
      </c>
      <c r="W140" s="44">
        <f ca="1">IF(Table2[[#This Row],[تاريخ انتهاء التأمين]]="","",IFERROR(_xlfn.DAYS(Table2[[#This Row],[تاريخ انتهاء التأمين]],TODAY()),""))</f>
        <v>133</v>
      </c>
      <c r="X140" s="42" t="s">
        <v>27</v>
      </c>
      <c r="Y140" s="42" t="s">
        <v>28</v>
      </c>
      <c r="Z140" s="45">
        <v>1180</v>
      </c>
      <c r="AA140" s="46">
        <v>624868</v>
      </c>
      <c r="AB140" s="46" t="s">
        <v>1389</v>
      </c>
      <c r="AC140" s="46" t="s">
        <v>861</v>
      </c>
      <c r="AD140" s="46" t="s">
        <v>938</v>
      </c>
      <c r="AE140" s="47">
        <v>300</v>
      </c>
      <c r="AF140" s="48" t="s">
        <v>1147</v>
      </c>
      <c r="AG140" s="48" t="s">
        <v>861</v>
      </c>
      <c r="AH140" s="48" t="s">
        <v>1149</v>
      </c>
      <c r="AI140" s="90">
        <v>867747071428989</v>
      </c>
      <c r="AJ140" s="89">
        <v>46109</v>
      </c>
      <c r="AK140" s="102">
        <f ca="1">IF(Table2[[#This Row],[تاريخ انتهاء ال GPS]]="","",IFERROR(_xlfn.DAYS(Table2[[#This Row],[تاريخ انتهاء ال GPS]],TODAY()),""))</f>
        <v>-151</v>
      </c>
      <c r="AL140" s="49" t="s">
        <v>1093</v>
      </c>
      <c r="AM140" s="50">
        <v>46266</v>
      </c>
      <c r="AN140" s="51">
        <f ca="1">IF(Table2[[#This Row],[تاريخ انتهاء بطاقة التشغيل]]="","",IFERROR(_xlfn.DAYS(Table2[[#This Row],[تاريخ انتهاء بطاقة التشغيل]],TODAY()),""))</f>
        <v>6</v>
      </c>
      <c r="AO140" s="80">
        <v>46392</v>
      </c>
      <c r="AP140" s="52">
        <f>Table2[[#This Row],[تاريخ انتهاء رخصة السير هجري]]</f>
        <v>46392</v>
      </c>
      <c r="AQ140" s="53">
        <f ca="1">IF(Table2[[#This Row],[تاريخ انتهاء رخصة السير ميلادي]]="","",IFERROR(_xlfn.DAYS(Table2[[#This Row],[تاريخ انتهاء رخصة السير ميلادي]],TODAY()),""))</f>
        <v>132</v>
      </c>
      <c r="AR140" s="55">
        <v>46397</v>
      </c>
      <c r="AS140" s="56">
        <f>Table2[[#This Row],[تاريخ انتهاء الفحص هجري]]</f>
        <v>46397</v>
      </c>
      <c r="AT140" s="106">
        <f ca="1">IF(Table2[[#This Row],[تاريخ انتهاء الفحص ميلادي]]="","",IFERROR(_xlfn.DAYS(Table2[[#This Row],[تاريخ انتهاء الفحص ميلادي]],TODAY()),""))</f>
        <v>137</v>
      </c>
      <c r="AU140" s="54"/>
      <c r="AV140" s="1"/>
      <c r="BE140" s="3"/>
      <c r="BH140" s="1"/>
    </row>
    <row r="141" spans="1:60" x14ac:dyDescent="0.3">
      <c r="A141" s="39" t="s">
        <v>19</v>
      </c>
      <c r="B141" s="39" t="s">
        <v>1183</v>
      </c>
      <c r="C141" s="39" t="s">
        <v>2004</v>
      </c>
      <c r="D141" s="39" t="s">
        <v>17</v>
      </c>
      <c r="E141" s="39" t="s">
        <v>819</v>
      </c>
      <c r="F141" s="40">
        <v>7025667531</v>
      </c>
      <c r="G141" s="41" t="s">
        <v>306</v>
      </c>
      <c r="H141" s="39" t="s">
        <v>307</v>
      </c>
      <c r="I141" s="58">
        <v>402655020</v>
      </c>
      <c r="J141" s="39" t="s">
        <v>20</v>
      </c>
      <c r="K141" s="39" t="s">
        <v>67</v>
      </c>
      <c r="L141" s="39" t="s">
        <v>22</v>
      </c>
      <c r="M141" s="39">
        <v>2024</v>
      </c>
      <c r="N141" s="39" t="s">
        <v>64</v>
      </c>
      <c r="O141" s="39" t="s">
        <v>1883</v>
      </c>
      <c r="P141" s="58">
        <v>2562204244</v>
      </c>
      <c r="Q141" s="39" t="s">
        <v>1673</v>
      </c>
      <c r="R141" s="124">
        <v>45994</v>
      </c>
      <c r="S141" s="124">
        <v>46327</v>
      </c>
      <c r="T141" s="58">
        <f ca="1">IF(Table2[[#This Row],[تاريخ نهاية التفويض]]="","",IFERROR(_xlfn.DAYS(Table2[[#This Row],[تاريخ نهاية التفويض]],TODAY()),""))</f>
        <v>67</v>
      </c>
      <c r="U141" s="42" t="s">
        <v>26</v>
      </c>
      <c r="V141" s="43">
        <v>46393</v>
      </c>
      <c r="W141" s="44">
        <f ca="1">IF(Table2[[#This Row],[تاريخ انتهاء التأمين]]="","",IFERROR(_xlfn.DAYS(Table2[[#This Row],[تاريخ انتهاء التأمين]],TODAY()),""))</f>
        <v>133</v>
      </c>
      <c r="X141" s="42" t="s">
        <v>27</v>
      </c>
      <c r="Y141" s="42" t="s">
        <v>28</v>
      </c>
      <c r="Z141" s="45">
        <v>1180</v>
      </c>
      <c r="AA141" s="46">
        <v>624824</v>
      </c>
      <c r="AB141" s="46" t="s">
        <v>1390</v>
      </c>
      <c r="AC141" s="46" t="s">
        <v>861</v>
      </c>
      <c r="AD141" s="46" t="s">
        <v>938</v>
      </c>
      <c r="AE141" s="47">
        <v>300</v>
      </c>
      <c r="AF141" s="48" t="s">
        <v>1147</v>
      </c>
      <c r="AG141" s="48" t="s">
        <v>1173</v>
      </c>
      <c r="AH141" s="48" t="s">
        <v>1149</v>
      </c>
      <c r="AI141" s="90">
        <v>867747075359032</v>
      </c>
      <c r="AJ141" s="89">
        <v>46125</v>
      </c>
      <c r="AK141" s="102">
        <f ca="1">IF(Table2[[#This Row],[تاريخ انتهاء ال GPS]]="","",IFERROR(_xlfn.DAYS(Table2[[#This Row],[تاريخ انتهاء ال GPS]],TODAY()),""))</f>
        <v>-135</v>
      </c>
      <c r="AL141" s="49" t="s">
        <v>1094</v>
      </c>
      <c r="AM141" s="50">
        <v>46266</v>
      </c>
      <c r="AN141" s="51">
        <f ca="1">IF(Table2[[#This Row],[تاريخ انتهاء بطاقة التشغيل]]="","",IFERROR(_xlfn.DAYS(Table2[[#This Row],[تاريخ انتهاء بطاقة التشغيل]],TODAY()),""))</f>
        <v>6</v>
      </c>
      <c r="AO141" s="80">
        <v>46392</v>
      </c>
      <c r="AP141" s="52">
        <f>Table2[[#This Row],[تاريخ انتهاء رخصة السير هجري]]</f>
        <v>46392</v>
      </c>
      <c r="AQ141" s="53">
        <f ca="1">IF(Table2[[#This Row],[تاريخ انتهاء رخصة السير ميلادي]]="","",IFERROR(_xlfn.DAYS(Table2[[#This Row],[تاريخ انتهاء رخصة السير ميلادي]],TODAY()),""))</f>
        <v>132</v>
      </c>
      <c r="AR141" s="55">
        <v>46397</v>
      </c>
      <c r="AS141" s="56">
        <f>Table2[[#This Row],[تاريخ انتهاء الفحص هجري]]</f>
        <v>46397</v>
      </c>
      <c r="AT141" s="106">
        <f ca="1">IF(Table2[[#This Row],[تاريخ انتهاء الفحص ميلادي]]="","",IFERROR(_xlfn.DAYS(Table2[[#This Row],[تاريخ انتهاء الفحص ميلادي]],TODAY()),""))</f>
        <v>137</v>
      </c>
      <c r="AU141" s="54"/>
      <c r="AV141" s="1"/>
      <c r="BE141" s="3"/>
      <c r="BH141" s="1"/>
    </row>
    <row r="142" spans="1:60" x14ac:dyDescent="0.3">
      <c r="A142" s="39" t="s">
        <v>19</v>
      </c>
      <c r="B142" s="39" t="s">
        <v>1183</v>
      </c>
      <c r="C142" s="39" t="s">
        <v>2004</v>
      </c>
      <c r="D142" s="39" t="s">
        <v>17</v>
      </c>
      <c r="E142" s="39" t="s">
        <v>819</v>
      </c>
      <c r="F142" s="40">
        <v>7025667531</v>
      </c>
      <c r="G142" s="41" t="s">
        <v>308</v>
      </c>
      <c r="H142" s="39" t="s">
        <v>309</v>
      </c>
      <c r="I142" s="58">
        <v>202655020</v>
      </c>
      <c r="J142" s="39" t="s">
        <v>20</v>
      </c>
      <c r="K142" s="39" t="s">
        <v>67</v>
      </c>
      <c r="L142" s="39" t="s">
        <v>22</v>
      </c>
      <c r="M142" s="39">
        <v>2024</v>
      </c>
      <c r="N142" s="39" t="s">
        <v>64</v>
      </c>
      <c r="O142" s="39" t="s">
        <v>1884</v>
      </c>
      <c r="P142" s="58">
        <v>2555618319</v>
      </c>
      <c r="Q142" s="39" t="s">
        <v>1674</v>
      </c>
      <c r="R142" s="124">
        <v>45994</v>
      </c>
      <c r="S142" s="124">
        <v>46327</v>
      </c>
      <c r="T142" s="58">
        <f ca="1">IF(Table2[[#This Row],[تاريخ نهاية التفويض]]="","",IFERROR(_xlfn.DAYS(Table2[[#This Row],[تاريخ نهاية التفويض]],TODAY()),""))</f>
        <v>67</v>
      </c>
      <c r="U142" s="42" t="s">
        <v>26</v>
      </c>
      <c r="V142" s="43">
        <v>46393</v>
      </c>
      <c r="W142" s="44">
        <f ca="1">IF(Table2[[#This Row],[تاريخ انتهاء التأمين]]="","",IFERROR(_xlfn.DAYS(Table2[[#This Row],[تاريخ انتهاء التأمين]],TODAY()),""))</f>
        <v>133</v>
      </c>
      <c r="X142" s="42" t="s">
        <v>27</v>
      </c>
      <c r="Y142" s="42" t="s">
        <v>28</v>
      </c>
      <c r="Z142" s="45">
        <v>1180</v>
      </c>
      <c r="AA142" s="46">
        <v>624828</v>
      </c>
      <c r="AB142" s="46" t="s">
        <v>1391</v>
      </c>
      <c r="AC142" s="46" t="s">
        <v>861</v>
      </c>
      <c r="AD142" s="46" t="s">
        <v>938</v>
      </c>
      <c r="AE142" s="47">
        <v>300</v>
      </c>
      <c r="AF142" s="48" t="s">
        <v>1147</v>
      </c>
      <c r="AG142" s="48" t="s">
        <v>861</v>
      </c>
      <c r="AH142" s="48" t="s">
        <v>1149</v>
      </c>
      <c r="AI142" s="90">
        <v>867747075438745</v>
      </c>
      <c r="AJ142" s="89">
        <v>46119</v>
      </c>
      <c r="AK142" s="102">
        <f ca="1">IF(Table2[[#This Row],[تاريخ انتهاء ال GPS]]="","",IFERROR(_xlfn.DAYS(Table2[[#This Row],[تاريخ انتهاء ال GPS]],TODAY()),""))</f>
        <v>-141</v>
      </c>
      <c r="AL142" s="49" t="s">
        <v>1095</v>
      </c>
      <c r="AM142" s="50">
        <v>46266</v>
      </c>
      <c r="AN142" s="51">
        <f ca="1">IF(Table2[[#This Row],[تاريخ انتهاء بطاقة التشغيل]]="","",IFERROR(_xlfn.DAYS(Table2[[#This Row],[تاريخ انتهاء بطاقة التشغيل]],TODAY()),""))</f>
        <v>6</v>
      </c>
      <c r="AO142" s="80">
        <v>46392</v>
      </c>
      <c r="AP142" s="52">
        <f>Table2[[#This Row],[تاريخ انتهاء رخصة السير هجري]]</f>
        <v>46392</v>
      </c>
      <c r="AQ142" s="53">
        <f ca="1">IF(Table2[[#This Row],[تاريخ انتهاء رخصة السير ميلادي]]="","",IFERROR(_xlfn.DAYS(Table2[[#This Row],[تاريخ انتهاء رخصة السير ميلادي]],TODAY()),""))</f>
        <v>132</v>
      </c>
      <c r="AR142" s="55">
        <v>46393</v>
      </c>
      <c r="AS142" s="56">
        <f>Table2[[#This Row],[تاريخ انتهاء الفحص هجري]]</f>
        <v>46393</v>
      </c>
      <c r="AT142" s="106">
        <f ca="1">IF(Table2[[#This Row],[تاريخ انتهاء الفحص ميلادي]]="","",IFERROR(_xlfn.DAYS(Table2[[#This Row],[تاريخ انتهاء الفحص ميلادي]],TODAY()),""))</f>
        <v>133</v>
      </c>
      <c r="AU142" s="54"/>
      <c r="AV142" s="1"/>
      <c r="BE142" s="3"/>
      <c r="BH142" s="1"/>
    </row>
    <row r="143" spans="1:60" x14ac:dyDescent="0.3">
      <c r="A143" s="39" t="s">
        <v>19</v>
      </c>
      <c r="B143" s="39" t="s">
        <v>2003</v>
      </c>
      <c r="C143" s="39" t="s">
        <v>2004</v>
      </c>
      <c r="D143" s="39" t="s">
        <v>17</v>
      </c>
      <c r="E143" s="39" t="s">
        <v>819</v>
      </c>
      <c r="F143" s="40">
        <v>7025667531</v>
      </c>
      <c r="G143" s="41" t="s">
        <v>310</v>
      </c>
      <c r="H143" s="39" t="s">
        <v>311</v>
      </c>
      <c r="I143" s="58">
        <v>991655020</v>
      </c>
      <c r="J143" s="39" t="s">
        <v>20</v>
      </c>
      <c r="K143" s="39" t="s">
        <v>67</v>
      </c>
      <c r="L143" s="39" t="s">
        <v>22</v>
      </c>
      <c r="M143" s="39">
        <v>2024</v>
      </c>
      <c r="N143" s="39" t="s">
        <v>64</v>
      </c>
      <c r="O143" s="39" t="s">
        <v>1885</v>
      </c>
      <c r="P143" s="58">
        <v>2581308950</v>
      </c>
      <c r="Q143" s="39" t="s">
        <v>1675</v>
      </c>
      <c r="R143" s="124">
        <v>45993</v>
      </c>
      <c r="S143" s="124">
        <v>46327</v>
      </c>
      <c r="T143" s="58">
        <f ca="1">IF(Table2[[#This Row],[تاريخ نهاية التفويض]]="","",IFERROR(_xlfn.DAYS(Table2[[#This Row],[تاريخ نهاية التفويض]],TODAY()),""))</f>
        <v>67</v>
      </c>
      <c r="U143" s="42" t="s">
        <v>26</v>
      </c>
      <c r="V143" s="43">
        <v>46393</v>
      </c>
      <c r="W143" s="44">
        <f ca="1">IF(Table2[[#This Row],[تاريخ انتهاء التأمين]]="","",IFERROR(_xlfn.DAYS(Table2[[#This Row],[تاريخ انتهاء التأمين]],TODAY()),""))</f>
        <v>133</v>
      </c>
      <c r="X143" s="42" t="s">
        <v>27</v>
      </c>
      <c r="Y143" s="42" t="s">
        <v>28</v>
      </c>
      <c r="Z143" s="45">
        <v>1180</v>
      </c>
      <c r="AA143" s="46">
        <v>624830</v>
      </c>
      <c r="AB143" s="46" t="s">
        <v>1392</v>
      </c>
      <c r="AC143" s="46" t="s">
        <v>861</v>
      </c>
      <c r="AD143" s="46" t="s">
        <v>938</v>
      </c>
      <c r="AE143" s="47">
        <v>300</v>
      </c>
      <c r="AF143" s="48" t="s">
        <v>1147</v>
      </c>
      <c r="AG143" s="48" t="s">
        <v>861</v>
      </c>
      <c r="AH143" s="48" t="s">
        <v>1149</v>
      </c>
      <c r="AI143" s="90">
        <v>867747070607815</v>
      </c>
      <c r="AJ143" s="89">
        <v>46121</v>
      </c>
      <c r="AK143" s="102">
        <f ca="1">IF(Table2[[#This Row],[تاريخ انتهاء ال GPS]]="","",IFERROR(_xlfn.DAYS(Table2[[#This Row],[تاريخ انتهاء ال GPS]],TODAY()),""))</f>
        <v>-139</v>
      </c>
      <c r="AL143" s="49" t="s">
        <v>1096</v>
      </c>
      <c r="AM143" s="50">
        <v>46266</v>
      </c>
      <c r="AN143" s="51">
        <f ca="1">IF(Table2[[#This Row],[تاريخ انتهاء بطاقة التشغيل]]="","",IFERROR(_xlfn.DAYS(Table2[[#This Row],[تاريخ انتهاء بطاقة التشغيل]],TODAY()),""))</f>
        <v>6</v>
      </c>
      <c r="AO143" s="80">
        <v>46392</v>
      </c>
      <c r="AP143" s="52">
        <f>Table2[[#This Row],[تاريخ انتهاء رخصة السير هجري]]</f>
        <v>46392</v>
      </c>
      <c r="AQ143" s="53">
        <f ca="1">IF(Table2[[#This Row],[تاريخ انتهاء رخصة السير ميلادي]]="","",IFERROR(_xlfn.DAYS(Table2[[#This Row],[تاريخ انتهاء رخصة السير ميلادي]],TODAY()),""))</f>
        <v>132</v>
      </c>
      <c r="AR143" s="55">
        <v>46401</v>
      </c>
      <c r="AS143" s="56">
        <f>Table2[[#This Row],[تاريخ انتهاء الفحص هجري]]</f>
        <v>46401</v>
      </c>
      <c r="AT143" s="106">
        <f ca="1">IF(Table2[[#This Row],[تاريخ انتهاء الفحص ميلادي]]="","",IFERROR(_xlfn.DAYS(Table2[[#This Row],[تاريخ انتهاء الفحص ميلادي]],TODAY()),""))</f>
        <v>141</v>
      </c>
      <c r="AU143" s="54"/>
      <c r="AV143" s="1"/>
      <c r="BE143" s="3"/>
      <c r="BH143" s="1"/>
    </row>
    <row r="144" spans="1:60" x14ac:dyDescent="0.3">
      <c r="A144" s="39" t="s">
        <v>19</v>
      </c>
      <c r="B144" s="39" t="s">
        <v>2000</v>
      </c>
      <c r="C144" s="39" t="s">
        <v>1187</v>
      </c>
      <c r="D144" s="39" t="s">
        <v>17</v>
      </c>
      <c r="E144" s="39" t="s">
        <v>819</v>
      </c>
      <c r="F144" s="40">
        <v>7025667531</v>
      </c>
      <c r="G144" s="41" t="s">
        <v>312</v>
      </c>
      <c r="H144" s="39" t="s">
        <v>313</v>
      </c>
      <c r="I144" s="58">
        <v>891655020</v>
      </c>
      <c r="J144" s="39" t="s">
        <v>20</v>
      </c>
      <c r="K144" s="39" t="s">
        <v>67</v>
      </c>
      <c r="L144" s="39" t="s">
        <v>22</v>
      </c>
      <c r="M144" s="39">
        <v>2024</v>
      </c>
      <c r="N144" s="39" t="s">
        <v>64</v>
      </c>
      <c r="O144" s="39" t="s">
        <v>1886</v>
      </c>
      <c r="P144" s="58">
        <v>2581749112</v>
      </c>
      <c r="Q144" s="39" t="s">
        <v>1676</v>
      </c>
      <c r="R144" s="124">
        <v>46243</v>
      </c>
      <c r="S144" s="124">
        <v>46387</v>
      </c>
      <c r="T144" s="58">
        <f ca="1">IF(Table2[[#This Row],[تاريخ نهاية التفويض]]="","",IFERROR(_xlfn.DAYS(Table2[[#This Row],[تاريخ نهاية التفويض]],TODAY()),""))</f>
        <v>127</v>
      </c>
      <c r="U144" s="42" t="s">
        <v>26</v>
      </c>
      <c r="V144" s="43">
        <v>46393</v>
      </c>
      <c r="W144" s="44">
        <f ca="1">IF(Table2[[#This Row],[تاريخ انتهاء التأمين]]="","",IFERROR(_xlfn.DAYS(Table2[[#This Row],[تاريخ انتهاء التأمين]],TODAY()),""))</f>
        <v>133</v>
      </c>
      <c r="X144" s="42" t="s">
        <v>27</v>
      </c>
      <c r="Y144" s="42" t="s">
        <v>28</v>
      </c>
      <c r="Z144" s="45">
        <v>1180</v>
      </c>
      <c r="AA144" s="46">
        <v>624823</v>
      </c>
      <c r="AB144" s="46" t="s">
        <v>1393</v>
      </c>
      <c r="AC144" s="46" t="s">
        <v>861</v>
      </c>
      <c r="AD144" s="46" t="s">
        <v>938</v>
      </c>
      <c r="AE144" s="47">
        <v>300</v>
      </c>
      <c r="AF144" s="48" t="s">
        <v>1147</v>
      </c>
      <c r="AG144" s="48" t="s">
        <v>861</v>
      </c>
      <c r="AH144" s="48" t="s">
        <v>1149</v>
      </c>
      <c r="AI144" s="90">
        <v>867747078730809</v>
      </c>
      <c r="AJ144" s="89">
        <v>46139</v>
      </c>
      <c r="AK144" s="102">
        <f ca="1">IF(Table2[[#This Row],[تاريخ انتهاء ال GPS]]="","",IFERROR(_xlfn.DAYS(Table2[[#This Row],[تاريخ انتهاء ال GPS]],TODAY()),""))</f>
        <v>-121</v>
      </c>
      <c r="AL144" s="49" t="s">
        <v>1097</v>
      </c>
      <c r="AM144" s="50">
        <v>46266</v>
      </c>
      <c r="AN144" s="51">
        <f ca="1">IF(Table2[[#This Row],[تاريخ انتهاء بطاقة التشغيل]]="","",IFERROR(_xlfn.DAYS(Table2[[#This Row],[تاريخ انتهاء بطاقة التشغيل]],TODAY()),""))</f>
        <v>6</v>
      </c>
      <c r="AO144" s="80">
        <v>46392</v>
      </c>
      <c r="AP144" s="52">
        <f>Table2[[#This Row],[تاريخ انتهاء رخصة السير هجري]]</f>
        <v>46392</v>
      </c>
      <c r="AQ144" s="53">
        <f ca="1">IF(Table2[[#This Row],[تاريخ انتهاء رخصة السير ميلادي]]="","",IFERROR(_xlfn.DAYS(Table2[[#This Row],[تاريخ انتهاء رخصة السير ميلادي]],TODAY()),""))</f>
        <v>132</v>
      </c>
      <c r="AR144" s="55">
        <v>46400</v>
      </c>
      <c r="AS144" s="56">
        <f>Table2[[#This Row],[تاريخ انتهاء الفحص هجري]]</f>
        <v>46400</v>
      </c>
      <c r="AT144" s="106">
        <f ca="1">IF(Table2[[#This Row],[تاريخ انتهاء الفحص ميلادي]]="","",IFERROR(_xlfn.DAYS(Table2[[#This Row],[تاريخ انتهاء الفحص ميلادي]],TODAY()),""))</f>
        <v>140</v>
      </c>
      <c r="AU144" s="54"/>
      <c r="AV144" s="1"/>
      <c r="BE144" s="3"/>
      <c r="BH144" s="1"/>
    </row>
    <row r="145" spans="1:60" x14ac:dyDescent="0.3">
      <c r="A145" s="39" t="s">
        <v>19</v>
      </c>
      <c r="B145" s="39" t="s">
        <v>2000</v>
      </c>
      <c r="C145" s="39" t="s">
        <v>1187</v>
      </c>
      <c r="D145" s="39" t="s">
        <v>17</v>
      </c>
      <c r="E145" s="39" t="s">
        <v>819</v>
      </c>
      <c r="F145" s="40">
        <v>7025667531</v>
      </c>
      <c r="G145" s="41" t="s">
        <v>314</v>
      </c>
      <c r="H145" s="39" t="s">
        <v>315</v>
      </c>
      <c r="I145" s="58">
        <v>591655020</v>
      </c>
      <c r="J145" s="39" t="s">
        <v>20</v>
      </c>
      <c r="K145" s="39" t="s">
        <v>67</v>
      </c>
      <c r="L145" s="39" t="s">
        <v>22</v>
      </c>
      <c r="M145" s="39">
        <v>2024</v>
      </c>
      <c r="N145" s="39" t="s">
        <v>64</v>
      </c>
      <c r="O145" s="39" t="s">
        <v>1887</v>
      </c>
      <c r="P145" s="58">
        <v>2560708006</v>
      </c>
      <c r="Q145" s="39" t="s">
        <v>1677</v>
      </c>
      <c r="R145" s="124">
        <v>46217</v>
      </c>
      <c r="S145" s="124">
        <v>46387</v>
      </c>
      <c r="T145" s="58">
        <f ca="1">IF(Table2[[#This Row],[تاريخ نهاية التفويض]]="","",IFERROR(_xlfn.DAYS(Table2[[#This Row],[تاريخ نهاية التفويض]],TODAY()),""))</f>
        <v>127</v>
      </c>
      <c r="U145" s="42" t="s">
        <v>26</v>
      </c>
      <c r="V145" s="43">
        <v>46393</v>
      </c>
      <c r="W145" s="44">
        <f ca="1">IF(Table2[[#This Row],[تاريخ انتهاء التأمين]]="","",IFERROR(_xlfn.DAYS(Table2[[#This Row],[تاريخ انتهاء التأمين]],TODAY()),""))</f>
        <v>133</v>
      </c>
      <c r="X145" s="42" t="s">
        <v>27</v>
      </c>
      <c r="Y145" s="42" t="s">
        <v>28</v>
      </c>
      <c r="Z145" s="45">
        <v>1180</v>
      </c>
      <c r="AA145" s="46">
        <v>624881</v>
      </c>
      <c r="AB145" s="46" t="s">
        <v>1394</v>
      </c>
      <c r="AC145" s="46" t="s">
        <v>861</v>
      </c>
      <c r="AD145" s="46" t="s">
        <v>938</v>
      </c>
      <c r="AE145" s="47">
        <v>300</v>
      </c>
      <c r="AF145" s="48" t="s">
        <v>1148</v>
      </c>
      <c r="AG145" s="48" t="s">
        <v>861</v>
      </c>
      <c r="AH145" s="48" t="s">
        <v>1149</v>
      </c>
      <c r="AI145" s="90">
        <v>350317172586376</v>
      </c>
      <c r="AJ145" s="89">
        <v>46107</v>
      </c>
      <c r="AK145" s="102">
        <f ca="1">IF(Table2[[#This Row],[تاريخ انتهاء ال GPS]]="","",IFERROR(_xlfn.DAYS(Table2[[#This Row],[تاريخ انتهاء ال GPS]],TODAY()),""))</f>
        <v>-153</v>
      </c>
      <c r="AL145" s="49" t="s">
        <v>1098</v>
      </c>
      <c r="AM145" s="50">
        <v>46266</v>
      </c>
      <c r="AN145" s="51">
        <f ca="1">IF(Table2[[#This Row],[تاريخ انتهاء بطاقة التشغيل]]="","",IFERROR(_xlfn.DAYS(Table2[[#This Row],[تاريخ انتهاء بطاقة التشغيل]],TODAY()),""))</f>
        <v>6</v>
      </c>
      <c r="AO145" s="80">
        <v>46404</v>
      </c>
      <c r="AP145" s="52">
        <f>Table2[[#This Row],[تاريخ انتهاء رخصة السير هجري]]</f>
        <v>46404</v>
      </c>
      <c r="AQ145" s="53">
        <f ca="1">IF(Table2[[#This Row],[تاريخ انتهاء رخصة السير ميلادي]]="","",IFERROR(_xlfn.DAYS(Table2[[#This Row],[تاريخ انتهاء رخصة السير ميلادي]],TODAY()),""))</f>
        <v>144</v>
      </c>
      <c r="AR145" s="55">
        <v>46051</v>
      </c>
      <c r="AS145" s="56">
        <f>Table2[[#This Row],[تاريخ انتهاء الفحص هجري]]</f>
        <v>46051</v>
      </c>
      <c r="AT145" s="106">
        <f ca="1">IF(Table2[[#This Row],[تاريخ انتهاء الفحص ميلادي]]="","",IFERROR(_xlfn.DAYS(Table2[[#This Row],[تاريخ انتهاء الفحص ميلادي]],TODAY()),""))</f>
        <v>-209</v>
      </c>
      <c r="AU145" s="54"/>
      <c r="AV145" s="1"/>
      <c r="BE145" s="3"/>
      <c r="BH145" s="1"/>
    </row>
    <row r="146" spans="1:60" x14ac:dyDescent="0.3">
      <c r="A146" s="39" t="s">
        <v>19</v>
      </c>
      <c r="B146" s="39" t="s">
        <v>2003</v>
      </c>
      <c r="C146" s="39" t="s">
        <v>2004</v>
      </c>
      <c r="D146" s="39" t="s">
        <v>17</v>
      </c>
      <c r="E146" s="39" t="s">
        <v>819</v>
      </c>
      <c r="F146" s="40">
        <v>7025667531</v>
      </c>
      <c r="G146" s="41" t="s">
        <v>316</v>
      </c>
      <c r="H146" s="39" t="s">
        <v>317</v>
      </c>
      <c r="I146" s="58">
        <v>981655020</v>
      </c>
      <c r="J146" s="39" t="s">
        <v>20</v>
      </c>
      <c r="K146" s="39" t="s">
        <v>67</v>
      </c>
      <c r="L146" s="39" t="s">
        <v>22</v>
      </c>
      <c r="M146" s="39">
        <v>2024</v>
      </c>
      <c r="N146" s="39" t="s">
        <v>64</v>
      </c>
      <c r="O146" s="39" t="s">
        <v>1888</v>
      </c>
      <c r="P146" s="58">
        <v>2562667267</v>
      </c>
      <c r="Q146" s="39" t="s">
        <v>1678</v>
      </c>
      <c r="R146" s="124">
        <v>45993</v>
      </c>
      <c r="S146" s="124">
        <v>46327</v>
      </c>
      <c r="T146" s="58">
        <f ca="1">IF(Table2[[#This Row],[تاريخ نهاية التفويض]]="","",IFERROR(_xlfn.DAYS(Table2[[#This Row],[تاريخ نهاية التفويض]],TODAY()),""))</f>
        <v>67</v>
      </c>
      <c r="U146" s="42" t="s">
        <v>26</v>
      </c>
      <c r="V146" s="43">
        <v>46393</v>
      </c>
      <c r="W146" s="44">
        <f ca="1">IF(Table2[[#This Row],[تاريخ انتهاء التأمين]]="","",IFERROR(_xlfn.DAYS(Table2[[#This Row],[تاريخ انتهاء التأمين]],TODAY()),""))</f>
        <v>133</v>
      </c>
      <c r="X146" s="42" t="s">
        <v>27</v>
      </c>
      <c r="Y146" s="42" t="s">
        <v>28</v>
      </c>
      <c r="Z146" s="45">
        <v>1180</v>
      </c>
      <c r="AA146" s="46">
        <v>624825</v>
      </c>
      <c r="AB146" s="46" t="s">
        <v>1395</v>
      </c>
      <c r="AC146" s="46" t="s">
        <v>861</v>
      </c>
      <c r="AD146" s="46" t="s">
        <v>938</v>
      </c>
      <c r="AE146" s="47">
        <v>300</v>
      </c>
      <c r="AF146" s="48" t="s">
        <v>1147</v>
      </c>
      <c r="AG146" s="48" t="s">
        <v>1173</v>
      </c>
      <c r="AH146" s="48" t="s">
        <v>1149</v>
      </c>
      <c r="AI146" s="90">
        <v>866069064985417</v>
      </c>
      <c r="AJ146" s="89">
        <v>46107</v>
      </c>
      <c r="AK146" s="102">
        <f ca="1">IF(Table2[[#This Row],[تاريخ انتهاء ال GPS]]="","",IFERROR(_xlfn.DAYS(Table2[[#This Row],[تاريخ انتهاء ال GPS]],TODAY()),""))</f>
        <v>-153</v>
      </c>
      <c r="AL146" s="49" t="s">
        <v>1099</v>
      </c>
      <c r="AM146" s="50">
        <v>46266</v>
      </c>
      <c r="AN146" s="51">
        <f ca="1">IF(Table2[[#This Row],[تاريخ انتهاء بطاقة التشغيل]]="","",IFERROR(_xlfn.DAYS(Table2[[#This Row],[تاريخ انتهاء بطاقة التشغيل]],TODAY()),""))</f>
        <v>6</v>
      </c>
      <c r="AO146" s="80">
        <v>46392</v>
      </c>
      <c r="AP146" s="52">
        <f>Table2[[#This Row],[تاريخ انتهاء رخصة السير هجري]]</f>
        <v>46392</v>
      </c>
      <c r="AQ146" s="53">
        <f ca="1">IF(Table2[[#This Row],[تاريخ انتهاء رخصة السير ميلادي]]="","",IFERROR(_xlfn.DAYS(Table2[[#This Row],[تاريخ انتهاء رخصة السير ميلادي]],TODAY()),""))</f>
        <v>132</v>
      </c>
      <c r="AR146" s="55">
        <v>46397</v>
      </c>
      <c r="AS146" s="56">
        <f>Table2[[#This Row],[تاريخ انتهاء الفحص هجري]]</f>
        <v>46397</v>
      </c>
      <c r="AT146" s="106">
        <f ca="1">IF(Table2[[#This Row],[تاريخ انتهاء الفحص ميلادي]]="","",IFERROR(_xlfn.DAYS(Table2[[#This Row],[تاريخ انتهاء الفحص ميلادي]],TODAY()),""))</f>
        <v>137</v>
      </c>
      <c r="AU146" s="54"/>
      <c r="AV146" s="1"/>
      <c r="BE146" s="3"/>
      <c r="BH146" s="1"/>
    </row>
    <row r="147" spans="1:60" x14ac:dyDescent="0.3">
      <c r="A147" s="39" t="s">
        <v>19</v>
      </c>
      <c r="B147" s="39" t="s">
        <v>1193</v>
      </c>
      <c r="C147" s="39" t="s">
        <v>1193</v>
      </c>
      <c r="D147" s="39" t="s">
        <v>17</v>
      </c>
      <c r="E147" s="39" t="s">
        <v>819</v>
      </c>
      <c r="F147" s="40">
        <v>7025667531</v>
      </c>
      <c r="G147" s="41" t="s">
        <v>318</v>
      </c>
      <c r="H147" s="39" t="s">
        <v>319</v>
      </c>
      <c r="I147" s="58">
        <v>681655020</v>
      </c>
      <c r="J147" s="39" t="s">
        <v>20</v>
      </c>
      <c r="K147" s="39" t="s">
        <v>67</v>
      </c>
      <c r="L147" s="39" t="s">
        <v>22</v>
      </c>
      <c r="M147" s="39">
        <v>2024</v>
      </c>
      <c r="N147" s="39" t="s">
        <v>64</v>
      </c>
      <c r="O147" s="39" t="s">
        <v>1137</v>
      </c>
      <c r="P147" s="39" t="s">
        <v>1137</v>
      </c>
      <c r="Q147" s="39" t="s">
        <v>1137</v>
      </c>
      <c r="R147" s="124" t="s">
        <v>1137</v>
      </c>
      <c r="S147" s="124" t="s">
        <v>1137</v>
      </c>
      <c r="T147" s="124" t="s">
        <v>1137</v>
      </c>
      <c r="U147" s="42" t="s">
        <v>26</v>
      </c>
      <c r="V147" s="43">
        <v>46393</v>
      </c>
      <c r="W147" s="44">
        <f ca="1">IF(Table2[[#This Row],[تاريخ انتهاء التأمين]]="","",IFERROR(_xlfn.DAYS(Table2[[#This Row],[تاريخ انتهاء التأمين]],TODAY()),""))</f>
        <v>133</v>
      </c>
      <c r="X147" s="42" t="s">
        <v>27</v>
      </c>
      <c r="Y147" s="42" t="s">
        <v>28</v>
      </c>
      <c r="Z147" s="45">
        <v>1180</v>
      </c>
      <c r="AA147" s="46">
        <v>624827</v>
      </c>
      <c r="AB147" s="46" t="s">
        <v>1396</v>
      </c>
      <c r="AC147" s="46" t="s">
        <v>861</v>
      </c>
      <c r="AD147" s="46" t="s">
        <v>938</v>
      </c>
      <c r="AE147" s="47">
        <v>300</v>
      </c>
      <c r="AF147" s="48" t="s">
        <v>1147</v>
      </c>
      <c r="AG147" s="48" t="s">
        <v>861</v>
      </c>
      <c r="AH147" s="48" t="s">
        <v>1149</v>
      </c>
      <c r="AI147" s="90">
        <v>867747079073860</v>
      </c>
      <c r="AJ147" s="89">
        <v>46134</v>
      </c>
      <c r="AK147" s="102">
        <f ca="1">IF(Table2[[#This Row],[تاريخ انتهاء ال GPS]]="","",IFERROR(_xlfn.DAYS(Table2[[#This Row],[تاريخ انتهاء ال GPS]],TODAY()),""))</f>
        <v>-126</v>
      </c>
      <c r="AL147" s="49" t="s">
        <v>1100</v>
      </c>
      <c r="AM147" s="50">
        <v>46266</v>
      </c>
      <c r="AN147" s="51">
        <f ca="1">IF(Table2[[#This Row],[تاريخ انتهاء بطاقة التشغيل]]="","",IFERROR(_xlfn.DAYS(Table2[[#This Row],[تاريخ انتهاء بطاقة التشغيل]],TODAY()),""))</f>
        <v>6</v>
      </c>
      <c r="AO147" s="80">
        <v>46392</v>
      </c>
      <c r="AP147" s="52">
        <f>Table2[[#This Row],[تاريخ انتهاء رخصة السير هجري]]</f>
        <v>46392</v>
      </c>
      <c r="AQ147" s="53">
        <f ca="1">IF(Table2[[#This Row],[تاريخ انتهاء رخصة السير ميلادي]]="","",IFERROR(_xlfn.DAYS(Table2[[#This Row],[تاريخ انتهاء رخصة السير ميلادي]],TODAY()),""))</f>
        <v>132</v>
      </c>
      <c r="AR147" s="55">
        <v>46395</v>
      </c>
      <c r="AS147" s="56">
        <f>Table2[[#This Row],[تاريخ انتهاء الفحص هجري]]</f>
        <v>46395</v>
      </c>
      <c r="AT147" s="106">
        <f ca="1">IF(Table2[[#This Row],[تاريخ انتهاء الفحص ميلادي]]="","",IFERROR(_xlfn.DAYS(Table2[[#This Row],[تاريخ انتهاء الفحص ميلادي]],TODAY()),""))</f>
        <v>135</v>
      </c>
      <c r="AU147" s="54"/>
      <c r="AV147" s="1"/>
      <c r="BE147" s="3"/>
      <c r="BH147" s="1"/>
    </row>
    <row r="148" spans="1:60" x14ac:dyDescent="0.3">
      <c r="A148" s="39" t="s">
        <v>19</v>
      </c>
      <c r="B148" s="39" t="s">
        <v>2000</v>
      </c>
      <c r="C148" s="39" t="s">
        <v>1187</v>
      </c>
      <c r="D148" s="39" t="s">
        <v>17</v>
      </c>
      <c r="E148" s="39" t="s">
        <v>819</v>
      </c>
      <c r="F148" s="40">
        <v>7025667531</v>
      </c>
      <c r="G148" s="41" t="s">
        <v>320</v>
      </c>
      <c r="H148" s="39" t="s">
        <v>321</v>
      </c>
      <c r="I148" s="58">
        <v>108565020</v>
      </c>
      <c r="J148" s="39" t="s">
        <v>20</v>
      </c>
      <c r="K148" s="39" t="s">
        <v>67</v>
      </c>
      <c r="L148" s="39" t="s">
        <v>22</v>
      </c>
      <c r="M148" s="39">
        <v>2024</v>
      </c>
      <c r="N148" s="39" t="s">
        <v>64</v>
      </c>
      <c r="O148" s="39" t="s">
        <v>1889</v>
      </c>
      <c r="P148" s="58">
        <v>2589023700</v>
      </c>
      <c r="Q148" s="39" t="s">
        <v>1679</v>
      </c>
      <c r="R148" s="124">
        <v>46242</v>
      </c>
      <c r="S148" s="124">
        <v>46387</v>
      </c>
      <c r="T148" s="58">
        <f ca="1">IF(Table2[[#This Row],[تاريخ نهاية التفويض]]="","",IFERROR(_xlfn.DAYS(Table2[[#This Row],[تاريخ نهاية التفويض]],TODAY()),""))</f>
        <v>127</v>
      </c>
      <c r="U148" s="42" t="s">
        <v>26</v>
      </c>
      <c r="V148" s="43">
        <v>46393</v>
      </c>
      <c r="W148" s="44">
        <f ca="1">IF(Table2[[#This Row],[تاريخ انتهاء التأمين]]="","",IFERROR(_xlfn.DAYS(Table2[[#This Row],[تاريخ انتهاء التأمين]],TODAY()),""))</f>
        <v>133</v>
      </c>
      <c r="X148" s="42" t="s">
        <v>27</v>
      </c>
      <c r="Y148" s="42" t="s">
        <v>28</v>
      </c>
      <c r="Z148" s="45">
        <v>1180</v>
      </c>
      <c r="AA148" s="46">
        <v>624840</v>
      </c>
      <c r="AB148" s="46" t="s">
        <v>1397</v>
      </c>
      <c r="AC148" s="46" t="s">
        <v>861</v>
      </c>
      <c r="AD148" s="46" t="s">
        <v>938</v>
      </c>
      <c r="AE148" s="47">
        <v>300</v>
      </c>
      <c r="AF148" s="48" t="s">
        <v>1147</v>
      </c>
      <c r="AG148" s="48" t="s">
        <v>861</v>
      </c>
      <c r="AH148" s="48" t="s">
        <v>1149</v>
      </c>
      <c r="AI148" s="90">
        <v>867747071483760</v>
      </c>
      <c r="AJ148" s="89">
        <v>46109</v>
      </c>
      <c r="AK148" s="102">
        <f ca="1">IF(Table2[[#This Row],[تاريخ انتهاء ال GPS]]="","",IFERROR(_xlfn.DAYS(Table2[[#This Row],[تاريخ انتهاء ال GPS]],TODAY()),""))</f>
        <v>-151</v>
      </c>
      <c r="AL148" s="49" t="s">
        <v>1526</v>
      </c>
      <c r="AM148" s="50">
        <v>46621</v>
      </c>
      <c r="AN148" s="51">
        <f ca="1">IF(Table2[[#This Row],[تاريخ انتهاء بطاقة التشغيل]]="","",IFERROR(_xlfn.DAYS(Table2[[#This Row],[تاريخ انتهاء بطاقة التشغيل]],TODAY()),""))</f>
        <v>361</v>
      </c>
      <c r="AO148" s="80">
        <v>46398</v>
      </c>
      <c r="AP148" s="52">
        <f>Table2[[#This Row],[تاريخ انتهاء رخصة السير هجري]]</f>
        <v>46398</v>
      </c>
      <c r="AQ148" s="53">
        <f ca="1">IF(Table2[[#This Row],[تاريخ انتهاء رخصة السير ميلادي]]="","",IFERROR(_xlfn.DAYS(Table2[[#This Row],[تاريخ انتهاء رخصة السير ميلادي]],TODAY()),""))</f>
        <v>138</v>
      </c>
      <c r="AR148" s="55">
        <v>46400</v>
      </c>
      <c r="AS148" s="56">
        <f>Table2[[#This Row],[تاريخ انتهاء الفحص هجري]]</f>
        <v>46400</v>
      </c>
      <c r="AT148" s="106">
        <f ca="1">IF(Table2[[#This Row],[تاريخ انتهاء الفحص ميلادي]]="","",IFERROR(_xlfn.DAYS(Table2[[#This Row],[تاريخ انتهاء الفحص ميلادي]],TODAY()),""))</f>
        <v>140</v>
      </c>
      <c r="AU148" s="54"/>
      <c r="AV148" s="1"/>
      <c r="BE148" s="3"/>
      <c r="BH148" s="1"/>
    </row>
    <row r="149" spans="1:60" x14ac:dyDescent="0.3">
      <c r="A149" s="39" t="s">
        <v>19</v>
      </c>
      <c r="B149" s="39" t="s">
        <v>1193</v>
      </c>
      <c r="C149" s="39" t="s">
        <v>1193</v>
      </c>
      <c r="D149" s="39" t="s">
        <v>17</v>
      </c>
      <c r="E149" s="39" t="s">
        <v>819</v>
      </c>
      <c r="F149" s="40">
        <v>7025667531</v>
      </c>
      <c r="G149" s="41" t="s">
        <v>322</v>
      </c>
      <c r="H149" s="39" t="s">
        <v>323</v>
      </c>
      <c r="I149" s="58">
        <v>416955020</v>
      </c>
      <c r="J149" s="39" t="s">
        <v>20</v>
      </c>
      <c r="K149" s="39" t="s">
        <v>67</v>
      </c>
      <c r="L149" s="39" t="s">
        <v>22</v>
      </c>
      <c r="M149" s="39">
        <v>2024</v>
      </c>
      <c r="N149" s="39" t="s">
        <v>64</v>
      </c>
      <c r="O149" s="39" t="s">
        <v>1137</v>
      </c>
      <c r="P149" s="39" t="s">
        <v>1137</v>
      </c>
      <c r="Q149" s="39" t="s">
        <v>1137</v>
      </c>
      <c r="R149" s="124" t="s">
        <v>1137</v>
      </c>
      <c r="S149" s="124" t="s">
        <v>1137</v>
      </c>
      <c r="T149" s="124" t="s">
        <v>1137</v>
      </c>
      <c r="U149" s="42" t="s">
        <v>26</v>
      </c>
      <c r="V149" s="43">
        <v>46393</v>
      </c>
      <c r="W149" s="44">
        <f ca="1">IF(Table2[[#This Row],[تاريخ انتهاء التأمين]]="","",IFERROR(_xlfn.DAYS(Table2[[#This Row],[تاريخ انتهاء التأمين]],TODAY()),""))</f>
        <v>133</v>
      </c>
      <c r="X149" s="42" t="s">
        <v>27</v>
      </c>
      <c r="Y149" s="42" t="s">
        <v>28</v>
      </c>
      <c r="Z149" s="45">
        <v>1180</v>
      </c>
      <c r="AA149" s="46">
        <v>624860</v>
      </c>
      <c r="AB149" s="46" t="s">
        <v>1398</v>
      </c>
      <c r="AC149" s="46" t="s">
        <v>861</v>
      </c>
      <c r="AD149" s="46" t="s">
        <v>938</v>
      </c>
      <c r="AE149" s="47">
        <v>300</v>
      </c>
      <c r="AF149" s="48" t="s">
        <v>1147</v>
      </c>
      <c r="AG149" s="48" t="s">
        <v>861</v>
      </c>
      <c r="AH149" s="48" t="s">
        <v>1149</v>
      </c>
      <c r="AI149" s="90">
        <v>867747077360947</v>
      </c>
      <c r="AJ149" s="89">
        <v>46127</v>
      </c>
      <c r="AK149" s="102">
        <f ca="1">IF(Table2[[#This Row],[تاريخ انتهاء ال GPS]]="","",IFERROR(_xlfn.DAYS(Table2[[#This Row],[تاريخ انتهاء ال GPS]],TODAY()),""))</f>
        <v>-133</v>
      </c>
      <c r="AL149" s="49" t="s">
        <v>1112</v>
      </c>
      <c r="AM149" s="50">
        <v>46266</v>
      </c>
      <c r="AN149" s="51">
        <f ca="1">IF(Table2[[#This Row],[تاريخ انتهاء بطاقة التشغيل]]="","",IFERROR(_xlfn.DAYS(Table2[[#This Row],[تاريخ انتهاء بطاقة التشغيل]],TODAY()),""))</f>
        <v>6</v>
      </c>
      <c r="AO149" s="80">
        <v>46396</v>
      </c>
      <c r="AP149" s="52">
        <f>Table2[[#This Row],[تاريخ انتهاء رخصة السير هجري]]</f>
        <v>46396</v>
      </c>
      <c r="AQ149" s="53">
        <f ca="1">IF(Table2[[#This Row],[تاريخ انتهاء رخصة السير ميلادي]]="","",IFERROR(_xlfn.DAYS(Table2[[#This Row],[تاريخ انتهاء رخصة السير ميلادي]],TODAY()),""))</f>
        <v>136</v>
      </c>
      <c r="AR149" s="55">
        <v>46419</v>
      </c>
      <c r="AS149" s="56">
        <f>Table2[[#This Row],[تاريخ انتهاء الفحص هجري]]</f>
        <v>46419</v>
      </c>
      <c r="AT149" s="106">
        <f ca="1">IF(Table2[[#This Row],[تاريخ انتهاء الفحص ميلادي]]="","",IFERROR(_xlfn.DAYS(Table2[[#This Row],[تاريخ انتهاء الفحص ميلادي]],TODAY()),""))</f>
        <v>159</v>
      </c>
      <c r="AU149" s="54"/>
      <c r="AV149" s="1"/>
      <c r="BE149" s="3"/>
      <c r="BH149" s="1"/>
    </row>
    <row r="150" spans="1:60" x14ac:dyDescent="0.3">
      <c r="A150" s="39" t="s">
        <v>19</v>
      </c>
      <c r="B150" s="39" t="s">
        <v>1193</v>
      </c>
      <c r="C150" s="39" t="s">
        <v>1193</v>
      </c>
      <c r="D150" s="39" t="s">
        <v>17</v>
      </c>
      <c r="E150" s="39" t="s">
        <v>819</v>
      </c>
      <c r="F150" s="40">
        <v>7025667531</v>
      </c>
      <c r="G150" s="41" t="s">
        <v>324</v>
      </c>
      <c r="H150" s="39" t="s">
        <v>325</v>
      </c>
      <c r="I150" s="58">
        <v>875955020</v>
      </c>
      <c r="J150" s="39" t="s">
        <v>20</v>
      </c>
      <c r="K150" s="39" t="s">
        <v>67</v>
      </c>
      <c r="L150" s="39" t="s">
        <v>22</v>
      </c>
      <c r="M150" s="39">
        <v>2024</v>
      </c>
      <c r="N150" s="39" t="s">
        <v>64</v>
      </c>
      <c r="O150" s="39" t="s">
        <v>1137</v>
      </c>
      <c r="P150" s="39" t="s">
        <v>1137</v>
      </c>
      <c r="Q150" s="39" t="s">
        <v>1137</v>
      </c>
      <c r="R150" s="124" t="s">
        <v>1137</v>
      </c>
      <c r="S150" s="124" t="s">
        <v>1137</v>
      </c>
      <c r="T150" s="124" t="s">
        <v>1137</v>
      </c>
      <c r="U150" s="42" t="s">
        <v>26</v>
      </c>
      <c r="V150" s="43">
        <v>46393</v>
      </c>
      <c r="W150" s="44">
        <f ca="1">IF(Table2[[#This Row],[تاريخ انتهاء التأمين]]="","",IFERROR(_xlfn.DAYS(Table2[[#This Row],[تاريخ انتهاء التأمين]],TODAY()),""))</f>
        <v>133</v>
      </c>
      <c r="X150" s="42" t="s">
        <v>27</v>
      </c>
      <c r="Y150" s="42" t="s">
        <v>28</v>
      </c>
      <c r="Z150" s="45">
        <v>1180</v>
      </c>
      <c r="AA150" s="46">
        <v>624861</v>
      </c>
      <c r="AB150" s="46" t="s">
        <v>1399</v>
      </c>
      <c r="AC150" s="46" t="s">
        <v>861</v>
      </c>
      <c r="AD150" s="46" t="s">
        <v>938</v>
      </c>
      <c r="AE150" s="47">
        <v>300</v>
      </c>
      <c r="AF150" s="48" t="s">
        <v>1147</v>
      </c>
      <c r="AG150" s="48" t="s">
        <v>1173</v>
      </c>
      <c r="AH150" s="48" t="s">
        <v>1149</v>
      </c>
      <c r="AI150" s="90">
        <v>867747079073886</v>
      </c>
      <c r="AJ150" s="89">
        <v>46140</v>
      </c>
      <c r="AK150" s="102">
        <f ca="1">IF(Table2[[#This Row],[تاريخ انتهاء ال GPS]]="","",IFERROR(_xlfn.DAYS(Table2[[#This Row],[تاريخ انتهاء ال GPS]],TODAY()),""))</f>
        <v>-120</v>
      </c>
      <c r="AL150" s="49" t="s">
        <v>1113</v>
      </c>
      <c r="AM150" s="50">
        <v>46266</v>
      </c>
      <c r="AN150" s="51">
        <f ca="1">IF(Table2[[#This Row],[تاريخ انتهاء بطاقة التشغيل]]="","",IFERROR(_xlfn.DAYS(Table2[[#This Row],[تاريخ انتهاء بطاقة التشغيل]],TODAY()),""))</f>
        <v>6</v>
      </c>
      <c r="AO150" s="80">
        <v>46396</v>
      </c>
      <c r="AP150" s="52">
        <f>Table2[[#This Row],[تاريخ انتهاء رخصة السير هجري]]</f>
        <v>46396</v>
      </c>
      <c r="AQ150" s="53">
        <f ca="1">IF(Table2[[#This Row],[تاريخ انتهاء رخصة السير ميلادي]]="","",IFERROR(_xlfn.DAYS(Table2[[#This Row],[تاريخ انتهاء رخصة السير ميلادي]],TODAY()),""))</f>
        <v>136</v>
      </c>
      <c r="AR150" s="55">
        <v>46402</v>
      </c>
      <c r="AS150" s="56">
        <f>Table2[[#This Row],[تاريخ انتهاء الفحص هجري]]</f>
        <v>46402</v>
      </c>
      <c r="AT150" s="106">
        <f ca="1">IF(Table2[[#This Row],[تاريخ انتهاء الفحص ميلادي]]="","",IFERROR(_xlfn.DAYS(Table2[[#This Row],[تاريخ انتهاء الفحص ميلادي]],TODAY()),""))</f>
        <v>142</v>
      </c>
      <c r="AU150" s="54"/>
      <c r="AV150" s="1"/>
      <c r="BE150" s="3"/>
      <c r="BH150" s="1"/>
    </row>
    <row r="151" spans="1:60" x14ac:dyDescent="0.3">
      <c r="A151" s="39" t="s">
        <v>19</v>
      </c>
      <c r="B151" s="39" t="s">
        <v>1193</v>
      </c>
      <c r="C151" s="39" t="s">
        <v>1193</v>
      </c>
      <c r="D151" s="39" t="s">
        <v>17</v>
      </c>
      <c r="E151" s="39" t="s">
        <v>819</v>
      </c>
      <c r="F151" s="40">
        <v>7025667531</v>
      </c>
      <c r="G151" s="41" t="s">
        <v>326</v>
      </c>
      <c r="H151" s="39" t="s">
        <v>327</v>
      </c>
      <c r="I151" s="58">
        <v>775955020</v>
      </c>
      <c r="J151" s="39" t="s">
        <v>20</v>
      </c>
      <c r="K151" s="39" t="s">
        <v>67</v>
      </c>
      <c r="L151" s="39" t="s">
        <v>22</v>
      </c>
      <c r="M151" s="39">
        <v>2024</v>
      </c>
      <c r="N151" s="39" t="s">
        <v>64</v>
      </c>
      <c r="O151" s="39" t="s">
        <v>1137</v>
      </c>
      <c r="P151" s="39" t="s">
        <v>1137</v>
      </c>
      <c r="Q151" s="39" t="s">
        <v>1137</v>
      </c>
      <c r="R151" s="124" t="s">
        <v>1137</v>
      </c>
      <c r="S151" s="124" t="s">
        <v>1137</v>
      </c>
      <c r="T151" s="124" t="s">
        <v>1137</v>
      </c>
      <c r="U151" s="42" t="s">
        <v>26</v>
      </c>
      <c r="V151" s="43">
        <v>46393</v>
      </c>
      <c r="W151" s="44">
        <f ca="1">IF(Table2[[#This Row],[تاريخ انتهاء التأمين]]="","",IFERROR(_xlfn.DAYS(Table2[[#This Row],[تاريخ انتهاء التأمين]],TODAY()),""))</f>
        <v>133</v>
      </c>
      <c r="X151" s="42" t="s">
        <v>27</v>
      </c>
      <c r="Y151" s="42" t="s">
        <v>28</v>
      </c>
      <c r="Z151" s="45">
        <v>1180</v>
      </c>
      <c r="AA151" s="46">
        <v>624862</v>
      </c>
      <c r="AB151" s="46" t="s">
        <v>1400</v>
      </c>
      <c r="AC151" s="46" t="s">
        <v>861</v>
      </c>
      <c r="AD151" s="46" t="s">
        <v>938</v>
      </c>
      <c r="AE151" s="47">
        <v>300</v>
      </c>
      <c r="AF151" s="48" t="s">
        <v>1147</v>
      </c>
      <c r="AG151" s="48" t="s">
        <v>861</v>
      </c>
      <c r="AH151" s="48" t="s">
        <v>1149</v>
      </c>
      <c r="AI151" s="90">
        <v>867747071522187</v>
      </c>
      <c r="AJ151" s="89">
        <v>46109</v>
      </c>
      <c r="AK151" s="102">
        <f ca="1">IF(Table2[[#This Row],[تاريخ انتهاء ال GPS]]="","",IFERROR(_xlfn.DAYS(Table2[[#This Row],[تاريخ انتهاء ال GPS]],TODAY()),""))</f>
        <v>-151</v>
      </c>
      <c r="AL151" s="49" t="s">
        <v>1114</v>
      </c>
      <c r="AM151" s="50">
        <v>46266</v>
      </c>
      <c r="AN151" s="51">
        <f ca="1">IF(Table2[[#This Row],[تاريخ انتهاء بطاقة التشغيل]]="","",IFERROR(_xlfn.DAYS(Table2[[#This Row],[تاريخ انتهاء بطاقة التشغيل]],TODAY()),""))</f>
        <v>6</v>
      </c>
      <c r="AO151" s="80">
        <v>46396</v>
      </c>
      <c r="AP151" s="52">
        <f>Table2[[#This Row],[تاريخ انتهاء رخصة السير هجري]]</f>
        <v>46396</v>
      </c>
      <c r="AQ151" s="53">
        <f ca="1">IF(Table2[[#This Row],[تاريخ انتهاء رخصة السير ميلادي]]="","",IFERROR(_xlfn.DAYS(Table2[[#This Row],[تاريخ انتهاء رخصة السير ميلادي]],TODAY()),""))</f>
        <v>136</v>
      </c>
      <c r="AR151" s="55">
        <v>46401</v>
      </c>
      <c r="AS151" s="56">
        <f>Table2[[#This Row],[تاريخ انتهاء الفحص هجري]]</f>
        <v>46401</v>
      </c>
      <c r="AT151" s="106">
        <f ca="1">IF(Table2[[#This Row],[تاريخ انتهاء الفحص ميلادي]]="","",IFERROR(_xlfn.DAYS(Table2[[#This Row],[تاريخ انتهاء الفحص ميلادي]],TODAY()),""))</f>
        <v>141</v>
      </c>
      <c r="AU151" s="54"/>
      <c r="AV151" s="1"/>
      <c r="BE151" s="3"/>
      <c r="BH151" s="1"/>
    </row>
    <row r="152" spans="1:60" x14ac:dyDescent="0.3">
      <c r="A152" s="39" t="s">
        <v>19</v>
      </c>
      <c r="B152" s="39" t="s">
        <v>1193</v>
      </c>
      <c r="C152" s="39" t="s">
        <v>1193</v>
      </c>
      <c r="D152" s="39" t="s">
        <v>17</v>
      </c>
      <c r="E152" s="39" t="s">
        <v>819</v>
      </c>
      <c r="F152" s="40">
        <v>7025667531</v>
      </c>
      <c r="G152" s="41" t="s">
        <v>328</v>
      </c>
      <c r="H152" s="39" t="s">
        <v>329</v>
      </c>
      <c r="I152" s="58">
        <v>575955020</v>
      </c>
      <c r="J152" s="39" t="s">
        <v>20</v>
      </c>
      <c r="K152" s="39" t="s">
        <v>67</v>
      </c>
      <c r="L152" s="39" t="s">
        <v>22</v>
      </c>
      <c r="M152" s="39">
        <v>2024</v>
      </c>
      <c r="N152" s="39" t="s">
        <v>64</v>
      </c>
      <c r="O152" s="39" t="s">
        <v>1137</v>
      </c>
      <c r="P152" s="39" t="s">
        <v>1137</v>
      </c>
      <c r="Q152" s="39" t="s">
        <v>1137</v>
      </c>
      <c r="R152" s="124" t="s">
        <v>1137</v>
      </c>
      <c r="S152" s="124" t="s">
        <v>1137</v>
      </c>
      <c r="T152" s="124" t="s">
        <v>1137</v>
      </c>
      <c r="U152" s="42" t="s">
        <v>26</v>
      </c>
      <c r="V152" s="43">
        <v>46393</v>
      </c>
      <c r="W152" s="44">
        <f ca="1">IF(Table2[[#This Row],[تاريخ انتهاء التأمين]]="","",IFERROR(_xlfn.DAYS(Table2[[#This Row],[تاريخ انتهاء التأمين]],TODAY()),""))</f>
        <v>133</v>
      </c>
      <c r="X152" s="42" t="s">
        <v>27</v>
      </c>
      <c r="Y152" s="42" t="s">
        <v>28</v>
      </c>
      <c r="Z152" s="45">
        <v>1180</v>
      </c>
      <c r="AA152" s="46">
        <v>624863</v>
      </c>
      <c r="AB152" s="46" t="s">
        <v>1401</v>
      </c>
      <c r="AC152" s="46" t="s">
        <v>861</v>
      </c>
      <c r="AD152" s="46" t="s">
        <v>938</v>
      </c>
      <c r="AE152" s="47">
        <v>300</v>
      </c>
      <c r="AF152" s="48" t="s">
        <v>1147</v>
      </c>
      <c r="AG152" s="48" t="s">
        <v>861</v>
      </c>
      <c r="AH152" s="48" t="s">
        <v>1149</v>
      </c>
      <c r="AI152" s="90">
        <v>867747077360913</v>
      </c>
      <c r="AJ152" s="89">
        <v>46125</v>
      </c>
      <c r="AK152" s="102">
        <f ca="1">IF(Table2[[#This Row],[تاريخ انتهاء ال GPS]]="","",IFERROR(_xlfn.DAYS(Table2[[#This Row],[تاريخ انتهاء ال GPS]],TODAY()),""))</f>
        <v>-135</v>
      </c>
      <c r="AL152" s="49" t="s">
        <v>1115</v>
      </c>
      <c r="AM152" s="50">
        <v>46266</v>
      </c>
      <c r="AN152" s="51">
        <f ca="1">IF(Table2[[#This Row],[تاريخ انتهاء بطاقة التشغيل]]="","",IFERROR(_xlfn.DAYS(Table2[[#This Row],[تاريخ انتهاء بطاقة التشغيل]],TODAY()),""))</f>
        <v>6</v>
      </c>
      <c r="AO152" s="80">
        <v>46396</v>
      </c>
      <c r="AP152" s="52">
        <f>Table2[[#This Row],[تاريخ انتهاء رخصة السير هجري]]</f>
        <v>46396</v>
      </c>
      <c r="AQ152" s="53">
        <f ca="1">IF(Table2[[#This Row],[تاريخ انتهاء رخصة السير ميلادي]]="","",IFERROR(_xlfn.DAYS(Table2[[#This Row],[تاريخ انتهاء رخصة السير ميلادي]],TODAY()),""))</f>
        <v>136</v>
      </c>
      <c r="AR152" s="55">
        <v>46399</v>
      </c>
      <c r="AS152" s="56">
        <f>Table2[[#This Row],[تاريخ انتهاء الفحص هجري]]</f>
        <v>46399</v>
      </c>
      <c r="AT152" s="106">
        <f ca="1">IF(Table2[[#This Row],[تاريخ انتهاء الفحص ميلادي]]="","",IFERROR(_xlfn.DAYS(Table2[[#This Row],[تاريخ انتهاء الفحص ميلادي]],TODAY()),""))</f>
        <v>139</v>
      </c>
      <c r="AU152" s="54"/>
      <c r="AV152" s="1"/>
      <c r="BE152" s="3"/>
      <c r="BH152" s="1"/>
    </row>
    <row r="153" spans="1:60" x14ac:dyDescent="0.3">
      <c r="A153" s="39" t="s">
        <v>19</v>
      </c>
      <c r="B153" s="39" t="s">
        <v>2000</v>
      </c>
      <c r="C153" s="39" t="s">
        <v>1187</v>
      </c>
      <c r="D153" s="39" t="s">
        <v>17</v>
      </c>
      <c r="E153" s="39" t="s">
        <v>819</v>
      </c>
      <c r="F153" s="40">
        <v>7025667531</v>
      </c>
      <c r="G153" s="41" t="s">
        <v>330</v>
      </c>
      <c r="H153" s="39" t="s">
        <v>331</v>
      </c>
      <c r="I153" s="58">
        <v>965955020</v>
      </c>
      <c r="J153" s="39" t="s">
        <v>20</v>
      </c>
      <c r="K153" s="39" t="s">
        <v>67</v>
      </c>
      <c r="L153" s="39" t="s">
        <v>22</v>
      </c>
      <c r="M153" s="39">
        <v>2024</v>
      </c>
      <c r="N153" s="39" t="s">
        <v>64</v>
      </c>
      <c r="O153" s="39" t="s">
        <v>1890</v>
      </c>
      <c r="P153" s="58">
        <v>2597004569</v>
      </c>
      <c r="Q153" s="39" t="s">
        <v>1680</v>
      </c>
      <c r="R153" s="124">
        <v>46242</v>
      </c>
      <c r="S153" s="124">
        <v>46387</v>
      </c>
      <c r="T153" s="58">
        <f ca="1">IF(Table2[[#This Row],[تاريخ نهاية التفويض]]="","",IFERROR(_xlfn.DAYS(Table2[[#This Row],[تاريخ نهاية التفويض]],TODAY()),""))</f>
        <v>127</v>
      </c>
      <c r="U153" s="42" t="s">
        <v>26</v>
      </c>
      <c r="V153" s="43">
        <v>46393</v>
      </c>
      <c r="W153" s="44">
        <f ca="1">IF(Table2[[#This Row],[تاريخ انتهاء التأمين]]="","",IFERROR(_xlfn.DAYS(Table2[[#This Row],[تاريخ انتهاء التأمين]],TODAY()),""))</f>
        <v>133</v>
      </c>
      <c r="X153" s="42" t="s">
        <v>27</v>
      </c>
      <c r="Y153" s="42" t="s">
        <v>28</v>
      </c>
      <c r="Z153" s="45">
        <v>1180</v>
      </c>
      <c r="AA153" s="46">
        <v>624864</v>
      </c>
      <c r="AB153" s="46" t="s">
        <v>1402</v>
      </c>
      <c r="AC153" s="46" t="s">
        <v>861</v>
      </c>
      <c r="AD153" s="46" t="s">
        <v>938</v>
      </c>
      <c r="AE153" s="47">
        <v>300</v>
      </c>
      <c r="AF153" s="48" t="s">
        <v>1147</v>
      </c>
      <c r="AG153" s="48" t="s">
        <v>861</v>
      </c>
      <c r="AH153" s="48" t="s">
        <v>1149</v>
      </c>
      <c r="AI153" s="90">
        <v>866069063733248</v>
      </c>
      <c r="AJ153" s="89">
        <v>46127</v>
      </c>
      <c r="AK153" s="102">
        <f ca="1">IF(Table2[[#This Row],[تاريخ انتهاء ال GPS]]="","",IFERROR(_xlfn.DAYS(Table2[[#This Row],[تاريخ انتهاء ال GPS]],TODAY()),""))</f>
        <v>-133</v>
      </c>
      <c r="AL153" s="49" t="s">
        <v>1116</v>
      </c>
      <c r="AM153" s="50">
        <v>46266</v>
      </c>
      <c r="AN153" s="51">
        <f ca="1">IF(Table2[[#This Row],[تاريخ انتهاء بطاقة التشغيل]]="","",IFERROR(_xlfn.DAYS(Table2[[#This Row],[تاريخ انتهاء بطاقة التشغيل]],TODAY()),""))</f>
        <v>6</v>
      </c>
      <c r="AO153" s="80">
        <v>46396</v>
      </c>
      <c r="AP153" s="52">
        <f>Table2[[#This Row],[تاريخ انتهاء رخصة السير هجري]]</f>
        <v>46396</v>
      </c>
      <c r="AQ153" s="53">
        <f ca="1">IF(Table2[[#This Row],[تاريخ انتهاء رخصة السير ميلادي]]="","",IFERROR(_xlfn.DAYS(Table2[[#This Row],[تاريخ انتهاء رخصة السير ميلادي]],TODAY()),""))</f>
        <v>136</v>
      </c>
      <c r="AR153" s="55">
        <v>46399</v>
      </c>
      <c r="AS153" s="56">
        <f>Table2[[#This Row],[تاريخ انتهاء الفحص هجري]]</f>
        <v>46399</v>
      </c>
      <c r="AT153" s="106">
        <f ca="1">IF(Table2[[#This Row],[تاريخ انتهاء الفحص ميلادي]]="","",IFERROR(_xlfn.DAYS(Table2[[#This Row],[تاريخ انتهاء الفحص ميلادي]],TODAY()),""))</f>
        <v>139</v>
      </c>
      <c r="AU153" s="54"/>
      <c r="AV153" s="1"/>
      <c r="BE153" s="3"/>
      <c r="BH153" s="1"/>
    </row>
    <row r="154" spans="1:60" x14ac:dyDescent="0.3">
      <c r="A154" s="39" t="s">
        <v>19</v>
      </c>
      <c r="B154" s="39" t="s">
        <v>1183</v>
      </c>
      <c r="C154" s="39" t="s">
        <v>2004</v>
      </c>
      <c r="D154" s="39" t="s">
        <v>17</v>
      </c>
      <c r="E154" s="39" t="s">
        <v>819</v>
      </c>
      <c r="F154" s="40">
        <v>7025667531</v>
      </c>
      <c r="G154" s="41" t="s">
        <v>332</v>
      </c>
      <c r="H154" s="39" t="s">
        <v>333</v>
      </c>
      <c r="I154" s="58">
        <v>565955020</v>
      </c>
      <c r="J154" s="39" t="s">
        <v>20</v>
      </c>
      <c r="K154" s="39" t="s">
        <v>67</v>
      </c>
      <c r="L154" s="39" t="s">
        <v>22</v>
      </c>
      <c r="M154" s="39">
        <v>2024</v>
      </c>
      <c r="N154" s="39" t="s">
        <v>64</v>
      </c>
      <c r="O154" s="39" t="s">
        <v>1891</v>
      </c>
      <c r="P154" s="58">
        <v>2562203923</v>
      </c>
      <c r="Q154" s="39" t="s">
        <v>1681</v>
      </c>
      <c r="R154" s="124">
        <v>45994</v>
      </c>
      <c r="S154" s="124">
        <v>46327</v>
      </c>
      <c r="T154" s="58">
        <f ca="1">IF(Table2[[#This Row],[تاريخ نهاية التفويض]]="","",IFERROR(_xlfn.DAYS(Table2[[#This Row],[تاريخ نهاية التفويض]],TODAY()),""))</f>
        <v>67</v>
      </c>
      <c r="U154" s="42" t="s">
        <v>26</v>
      </c>
      <c r="V154" s="43">
        <v>46393</v>
      </c>
      <c r="W154" s="44">
        <f ca="1">IF(Table2[[#This Row],[تاريخ انتهاء التأمين]]="","",IFERROR(_xlfn.DAYS(Table2[[#This Row],[تاريخ انتهاء التأمين]],TODAY()),""))</f>
        <v>133</v>
      </c>
      <c r="X154" s="42" t="s">
        <v>27</v>
      </c>
      <c r="Y154" s="42" t="s">
        <v>28</v>
      </c>
      <c r="Z154" s="45">
        <v>1180</v>
      </c>
      <c r="AA154" s="46">
        <v>624865</v>
      </c>
      <c r="AB154" s="46" t="s">
        <v>1403</v>
      </c>
      <c r="AC154" s="46" t="s">
        <v>861</v>
      </c>
      <c r="AD154" s="46" t="s">
        <v>938</v>
      </c>
      <c r="AE154" s="47">
        <v>300</v>
      </c>
      <c r="AF154" s="48" t="s">
        <v>1147</v>
      </c>
      <c r="AG154" s="48" t="s">
        <v>861</v>
      </c>
      <c r="AH154" s="48" t="s">
        <v>1149</v>
      </c>
      <c r="AI154" s="90">
        <v>866069063529174</v>
      </c>
      <c r="AJ154" s="89">
        <v>46127</v>
      </c>
      <c r="AK154" s="102">
        <f ca="1">IF(Table2[[#This Row],[تاريخ انتهاء ال GPS]]="","",IFERROR(_xlfn.DAYS(Table2[[#This Row],[تاريخ انتهاء ال GPS]],TODAY()),""))</f>
        <v>-133</v>
      </c>
      <c r="AL154" s="49" t="s">
        <v>1121</v>
      </c>
      <c r="AM154" s="50">
        <v>46266</v>
      </c>
      <c r="AN154" s="51">
        <f ca="1">IF(Table2[[#This Row],[تاريخ انتهاء بطاقة التشغيل]]="","",IFERROR(_xlfn.DAYS(Table2[[#This Row],[تاريخ انتهاء بطاقة التشغيل]],TODAY()),""))</f>
        <v>6</v>
      </c>
      <c r="AO154" s="80">
        <v>46396</v>
      </c>
      <c r="AP154" s="52">
        <f>Table2[[#This Row],[تاريخ انتهاء رخصة السير هجري]]</f>
        <v>46396</v>
      </c>
      <c r="AQ154" s="53">
        <f ca="1">IF(Table2[[#This Row],[تاريخ انتهاء رخصة السير ميلادي]]="","",IFERROR(_xlfn.DAYS(Table2[[#This Row],[تاريخ انتهاء رخصة السير ميلادي]],TODAY()),""))</f>
        <v>136</v>
      </c>
      <c r="AR154" s="55">
        <v>46397</v>
      </c>
      <c r="AS154" s="56">
        <f>Table2[[#This Row],[تاريخ انتهاء الفحص هجري]]</f>
        <v>46397</v>
      </c>
      <c r="AT154" s="106">
        <f ca="1">IF(Table2[[#This Row],[تاريخ انتهاء الفحص ميلادي]]="","",IFERROR(_xlfn.DAYS(Table2[[#This Row],[تاريخ انتهاء الفحص ميلادي]],TODAY()),""))</f>
        <v>137</v>
      </c>
      <c r="AU154" s="54"/>
      <c r="AV154" s="1"/>
      <c r="BE154" s="3"/>
      <c r="BH154" s="1"/>
    </row>
    <row r="155" spans="1:60" x14ac:dyDescent="0.3">
      <c r="A155" s="39" t="s">
        <v>19</v>
      </c>
      <c r="B155" s="39" t="s">
        <v>2003</v>
      </c>
      <c r="C155" s="39" t="s">
        <v>2004</v>
      </c>
      <c r="D155" s="39" t="s">
        <v>17</v>
      </c>
      <c r="E155" s="39" t="s">
        <v>819</v>
      </c>
      <c r="F155" s="40">
        <v>7025667531</v>
      </c>
      <c r="G155" s="41" t="s">
        <v>334</v>
      </c>
      <c r="H155" s="39" t="s">
        <v>335</v>
      </c>
      <c r="I155" s="58">
        <v>785955020</v>
      </c>
      <c r="J155" s="39" t="s">
        <v>20</v>
      </c>
      <c r="K155" s="39" t="s">
        <v>67</v>
      </c>
      <c r="L155" s="39" t="s">
        <v>22</v>
      </c>
      <c r="M155" s="39">
        <v>2024</v>
      </c>
      <c r="N155" s="39" t="s">
        <v>64</v>
      </c>
      <c r="O155" s="39" t="s">
        <v>1892</v>
      </c>
      <c r="P155" s="58">
        <v>2567989484</v>
      </c>
      <c r="Q155" s="39" t="s">
        <v>1682</v>
      </c>
      <c r="R155" s="124">
        <v>45994</v>
      </c>
      <c r="S155" s="124">
        <v>46327</v>
      </c>
      <c r="T155" s="58">
        <f ca="1">IF(Table2[[#This Row],[تاريخ نهاية التفويض]]="","",IFERROR(_xlfn.DAYS(Table2[[#This Row],[تاريخ نهاية التفويض]],TODAY()),""))</f>
        <v>67</v>
      </c>
      <c r="U155" s="42" t="s">
        <v>26</v>
      </c>
      <c r="V155" s="43">
        <v>46393</v>
      </c>
      <c r="W155" s="44">
        <f ca="1">IF(Table2[[#This Row],[تاريخ انتهاء التأمين]]="","",IFERROR(_xlfn.DAYS(Table2[[#This Row],[تاريخ انتهاء التأمين]],TODAY()),""))</f>
        <v>133</v>
      </c>
      <c r="X155" s="42" t="s">
        <v>27</v>
      </c>
      <c r="Y155" s="42" t="s">
        <v>28</v>
      </c>
      <c r="Z155" s="45">
        <v>1180</v>
      </c>
      <c r="AA155" s="46">
        <v>624866</v>
      </c>
      <c r="AB155" s="46" t="s">
        <v>1404</v>
      </c>
      <c r="AC155" s="46" t="s">
        <v>861</v>
      </c>
      <c r="AD155" s="46" t="s">
        <v>938</v>
      </c>
      <c r="AE155" s="47">
        <v>300</v>
      </c>
      <c r="AF155" s="48" t="s">
        <v>1147</v>
      </c>
      <c r="AG155" s="48" t="s">
        <v>861</v>
      </c>
      <c r="AH155" s="48" t="s">
        <v>1149</v>
      </c>
      <c r="AI155" s="90">
        <v>867747077360939</v>
      </c>
      <c r="AJ155" s="89">
        <v>46127</v>
      </c>
      <c r="AK155" s="102">
        <f ca="1">IF(Table2[[#This Row],[تاريخ انتهاء ال GPS]]="","",IFERROR(_xlfn.DAYS(Table2[[#This Row],[تاريخ انتهاء ال GPS]],TODAY()),""))</f>
        <v>-133</v>
      </c>
      <c r="AL155" s="49" t="s">
        <v>1122</v>
      </c>
      <c r="AM155" s="50">
        <v>46266</v>
      </c>
      <c r="AN155" s="51">
        <f ca="1">IF(Table2[[#This Row],[تاريخ انتهاء بطاقة التشغيل]]="","",IFERROR(_xlfn.DAYS(Table2[[#This Row],[تاريخ انتهاء بطاقة التشغيل]],TODAY()),""))</f>
        <v>6</v>
      </c>
      <c r="AO155" s="80">
        <v>46396</v>
      </c>
      <c r="AP155" s="52">
        <f>Table2[[#This Row],[تاريخ انتهاء رخصة السير هجري]]</f>
        <v>46396</v>
      </c>
      <c r="AQ155" s="53">
        <f ca="1">IF(Table2[[#This Row],[تاريخ انتهاء رخصة السير ميلادي]]="","",IFERROR(_xlfn.DAYS(Table2[[#This Row],[تاريخ انتهاء رخصة السير ميلادي]],TODAY()),""))</f>
        <v>136</v>
      </c>
      <c r="AR155" s="55">
        <v>46395</v>
      </c>
      <c r="AS155" s="56">
        <f>Table2[[#This Row],[تاريخ انتهاء الفحص هجري]]</f>
        <v>46395</v>
      </c>
      <c r="AT155" s="106">
        <f ca="1">IF(Table2[[#This Row],[تاريخ انتهاء الفحص ميلادي]]="","",IFERROR(_xlfn.DAYS(Table2[[#This Row],[تاريخ انتهاء الفحص ميلادي]],TODAY()),""))</f>
        <v>135</v>
      </c>
      <c r="AU155" s="54"/>
      <c r="AV155" s="1"/>
      <c r="BE155" s="3"/>
      <c r="BH155" s="1"/>
    </row>
    <row r="156" spans="1:60" x14ac:dyDescent="0.3">
      <c r="A156" s="39" t="s">
        <v>19</v>
      </c>
      <c r="B156" s="39" t="s">
        <v>1193</v>
      </c>
      <c r="C156" s="39" t="s">
        <v>1193</v>
      </c>
      <c r="D156" s="39" t="s">
        <v>17</v>
      </c>
      <c r="E156" s="39" t="s">
        <v>819</v>
      </c>
      <c r="F156" s="40">
        <v>7025667531</v>
      </c>
      <c r="G156" s="41" t="s">
        <v>336</v>
      </c>
      <c r="H156" s="39" t="s">
        <v>337</v>
      </c>
      <c r="I156" s="58">
        <v>85955020</v>
      </c>
      <c r="J156" s="39" t="s">
        <v>20</v>
      </c>
      <c r="K156" s="39" t="s">
        <v>67</v>
      </c>
      <c r="L156" s="39" t="s">
        <v>22</v>
      </c>
      <c r="M156" s="39">
        <v>2024</v>
      </c>
      <c r="N156" s="39" t="s">
        <v>64</v>
      </c>
      <c r="O156" s="39" t="s">
        <v>1137</v>
      </c>
      <c r="P156" s="39" t="s">
        <v>1137</v>
      </c>
      <c r="Q156" s="39" t="s">
        <v>1137</v>
      </c>
      <c r="R156" s="124" t="s">
        <v>1137</v>
      </c>
      <c r="S156" s="124" t="s">
        <v>1137</v>
      </c>
      <c r="T156" s="124" t="s">
        <v>1137</v>
      </c>
      <c r="U156" s="42" t="s">
        <v>26</v>
      </c>
      <c r="V156" s="43">
        <v>46393</v>
      </c>
      <c r="W156" s="44">
        <f ca="1">IF(Table2[[#This Row],[تاريخ انتهاء التأمين]]="","",IFERROR(_xlfn.DAYS(Table2[[#This Row],[تاريخ انتهاء التأمين]],TODAY()),""))</f>
        <v>133</v>
      </c>
      <c r="X156" s="42" t="s">
        <v>27</v>
      </c>
      <c r="Y156" s="42" t="s">
        <v>28</v>
      </c>
      <c r="Z156" s="45">
        <v>1180</v>
      </c>
      <c r="AA156" s="46">
        <v>624867</v>
      </c>
      <c r="AB156" s="46" t="s">
        <v>1405</v>
      </c>
      <c r="AC156" s="46" t="s">
        <v>861</v>
      </c>
      <c r="AD156" s="46" t="s">
        <v>938</v>
      </c>
      <c r="AE156" s="47">
        <v>300</v>
      </c>
      <c r="AF156" s="48" t="s">
        <v>1147</v>
      </c>
      <c r="AG156" s="48" t="s">
        <v>861</v>
      </c>
      <c r="AH156" s="48" t="s">
        <v>1149</v>
      </c>
      <c r="AI156" s="90">
        <v>867747078365820</v>
      </c>
      <c r="AJ156" s="89">
        <v>46139</v>
      </c>
      <c r="AK156" s="102">
        <f ca="1">IF(Table2[[#This Row],[تاريخ انتهاء ال GPS]]="","",IFERROR(_xlfn.DAYS(Table2[[#This Row],[تاريخ انتهاء ال GPS]],TODAY()),""))</f>
        <v>-121</v>
      </c>
      <c r="AL156" s="49" t="s">
        <v>1123</v>
      </c>
      <c r="AM156" s="50">
        <v>46266</v>
      </c>
      <c r="AN156" s="51">
        <f ca="1">IF(Table2[[#This Row],[تاريخ انتهاء بطاقة التشغيل]]="","",IFERROR(_xlfn.DAYS(Table2[[#This Row],[تاريخ انتهاء بطاقة التشغيل]],TODAY()),""))</f>
        <v>6</v>
      </c>
      <c r="AO156" s="80">
        <v>46396</v>
      </c>
      <c r="AP156" s="52">
        <f>Table2[[#This Row],[تاريخ انتهاء رخصة السير هجري]]</f>
        <v>46396</v>
      </c>
      <c r="AQ156" s="53">
        <f ca="1">IF(Table2[[#This Row],[تاريخ انتهاء رخصة السير ميلادي]]="","",IFERROR(_xlfn.DAYS(Table2[[#This Row],[تاريخ انتهاء رخصة السير ميلادي]],TODAY()),""))</f>
        <v>136</v>
      </c>
      <c r="AR156" s="55">
        <f>Table2[[#This Row],[تاريخ انتهاء الفحص ميلادي]]</f>
        <v>46022</v>
      </c>
      <c r="AS156" s="56">
        <v>46022</v>
      </c>
      <c r="AT156" s="106">
        <f ca="1">IF(Table2[[#This Row],[تاريخ انتهاء الفحص ميلادي]]="","",IFERROR(_xlfn.DAYS(Table2[[#This Row],[تاريخ انتهاء الفحص ميلادي]],TODAY()),""))</f>
        <v>-238</v>
      </c>
      <c r="AU156" s="54"/>
      <c r="AV156" s="1"/>
      <c r="BE156" s="3"/>
      <c r="BH156" s="1"/>
    </row>
    <row r="157" spans="1:60" x14ac:dyDescent="0.3">
      <c r="A157" s="39" t="s">
        <v>19</v>
      </c>
      <c r="B157" s="39" t="s">
        <v>1193</v>
      </c>
      <c r="C157" s="39" t="s">
        <v>1193</v>
      </c>
      <c r="D157" s="39" t="s">
        <v>17</v>
      </c>
      <c r="E157" s="39" t="s">
        <v>819</v>
      </c>
      <c r="F157" s="40">
        <v>7025667531</v>
      </c>
      <c r="G157" s="41" t="s">
        <v>338</v>
      </c>
      <c r="H157" s="39" t="s">
        <v>339</v>
      </c>
      <c r="I157" s="58">
        <v>375955020</v>
      </c>
      <c r="J157" s="39" t="s">
        <v>20</v>
      </c>
      <c r="K157" s="39" t="s">
        <v>67</v>
      </c>
      <c r="L157" s="39" t="s">
        <v>22</v>
      </c>
      <c r="M157" s="39">
        <v>2024</v>
      </c>
      <c r="N157" s="39" t="s">
        <v>64</v>
      </c>
      <c r="O157" s="39" t="s">
        <v>1137</v>
      </c>
      <c r="P157" s="39" t="s">
        <v>1137</v>
      </c>
      <c r="Q157" s="39" t="s">
        <v>1137</v>
      </c>
      <c r="R157" s="124" t="s">
        <v>1137</v>
      </c>
      <c r="S157" s="124" t="s">
        <v>1137</v>
      </c>
      <c r="T157" s="124" t="s">
        <v>1137</v>
      </c>
      <c r="U157" s="42" t="s">
        <v>26</v>
      </c>
      <c r="V157" s="43">
        <v>46393</v>
      </c>
      <c r="W157" s="44">
        <f ca="1">IF(Table2[[#This Row],[تاريخ انتهاء التأمين]]="","",IFERROR(_xlfn.DAYS(Table2[[#This Row],[تاريخ انتهاء التأمين]],TODAY()),""))</f>
        <v>133</v>
      </c>
      <c r="X157" s="42" t="s">
        <v>27</v>
      </c>
      <c r="Y157" s="42" t="s">
        <v>28</v>
      </c>
      <c r="Z157" s="45">
        <v>1180</v>
      </c>
      <c r="AA157" s="46">
        <v>624869</v>
      </c>
      <c r="AB157" s="46" t="s">
        <v>1406</v>
      </c>
      <c r="AC157" s="46" t="s">
        <v>861</v>
      </c>
      <c r="AD157" s="46" t="s">
        <v>938</v>
      </c>
      <c r="AE157" s="47">
        <v>300</v>
      </c>
      <c r="AF157" s="48" t="s">
        <v>1147</v>
      </c>
      <c r="AG157" s="48" t="s">
        <v>861</v>
      </c>
      <c r="AH157" s="48" t="s">
        <v>1149</v>
      </c>
      <c r="AI157" s="90">
        <v>867747079073845</v>
      </c>
      <c r="AJ157" s="89">
        <v>46139</v>
      </c>
      <c r="AK157" s="102">
        <f ca="1">IF(Table2[[#This Row],[تاريخ انتهاء ال GPS]]="","",IFERROR(_xlfn.DAYS(Table2[[#This Row],[تاريخ انتهاء ال GPS]],TODAY()),""))</f>
        <v>-121</v>
      </c>
      <c r="AL157" s="49" t="s">
        <v>1124</v>
      </c>
      <c r="AM157" s="50">
        <v>46266</v>
      </c>
      <c r="AN157" s="51">
        <f ca="1">IF(Table2[[#This Row],[تاريخ انتهاء بطاقة التشغيل]]="","",IFERROR(_xlfn.DAYS(Table2[[#This Row],[تاريخ انتهاء بطاقة التشغيل]],TODAY()),""))</f>
        <v>6</v>
      </c>
      <c r="AO157" s="80">
        <v>46396</v>
      </c>
      <c r="AP157" s="52">
        <f>Table2[[#This Row],[تاريخ انتهاء رخصة السير هجري]]</f>
        <v>46396</v>
      </c>
      <c r="AQ157" s="53">
        <f ca="1">IF(Table2[[#This Row],[تاريخ انتهاء رخصة السير ميلادي]]="","",IFERROR(_xlfn.DAYS(Table2[[#This Row],[تاريخ انتهاء رخصة السير ميلادي]],TODAY()),""))</f>
        <v>136</v>
      </c>
      <c r="AR157" s="55">
        <v>46401</v>
      </c>
      <c r="AS157" s="56">
        <f>Table2[[#This Row],[تاريخ انتهاء الفحص هجري]]</f>
        <v>46401</v>
      </c>
      <c r="AT157" s="106">
        <f ca="1">IF(Table2[[#This Row],[تاريخ انتهاء الفحص ميلادي]]="","",IFERROR(_xlfn.DAYS(Table2[[#This Row],[تاريخ انتهاء الفحص ميلادي]],TODAY()),""))</f>
        <v>141</v>
      </c>
      <c r="AU157" s="54"/>
      <c r="AV157" s="1"/>
      <c r="BE157" s="3"/>
      <c r="BH157" s="1"/>
    </row>
    <row r="158" spans="1:60" x14ac:dyDescent="0.3">
      <c r="A158" s="39" t="s">
        <v>19</v>
      </c>
      <c r="B158" s="39" t="s">
        <v>2006</v>
      </c>
      <c r="C158" s="39" t="s">
        <v>1187</v>
      </c>
      <c r="D158" s="39" t="s">
        <v>17</v>
      </c>
      <c r="E158" s="39" t="s">
        <v>819</v>
      </c>
      <c r="F158" s="40">
        <v>7025667531</v>
      </c>
      <c r="G158" s="41" t="s">
        <v>340</v>
      </c>
      <c r="H158" s="39" t="s">
        <v>341</v>
      </c>
      <c r="I158" s="58">
        <v>198385020</v>
      </c>
      <c r="J158" s="39" t="s">
        <v>20</v>
      </c>
      <c r="K158" s="39" t="s">
        <v>21</v>
      </c>
      <c r="L158" s="39" t="s">
        <v>22</v>
      </c>
      <c r="M158" s="39">
        <v>2024</v>
      </c>
      <c r="N158" s="39" t="s">
        <v>23</v>
      </c>
      <c r="O158" s="39" t="s">
        <v>1893</v>
      </c>
      <c r="P158" s="58">
        <v>2585423763</v>
      </c>
      <c r="Q158" s="39" t="s">
        <v>1683</v>
      </c>
      <c r="R158" s="124">
        <v>46240</v>
      </c>
      <c r="S158" s="124">
        <v>46387</v>
      </c>
      <c r="T158" s="58">
        <f ca="1">IF(Table2[[#This Row],[تاريخ نهاية التفويض]]="","",IFERROR(_xlfn.DAYS(Table2[[#This Row],[تاريخ نهاية التفويض]],TODAY()),""))</f>
        <v>127</v>
      </c>
      <c r="U158" s="42" t="s">
        <v>26</v>
      </c>
      <c r="V158" s="43">
        <v>46393</v>
      </c>
      <c r="W158" s="44">
        <f ca="1">IF(Table2[[#This Row],[تاريخ انتهاء التأمين]]="","",IFERROR(_xlfn.DAYS(Table2[[#This Row],[تاريخ انتهاء التأمين]],TODAY()),""))</f>
        <v>133</v>
      </c>
      <c r="X158" s="42" t="s">
        <v>27</v>
      </c>
      <c r="Y158" s="42" t="s">
        <v>28</v>
      </c>
      <c r="Z158" s="45">
        <v>1180</v>
      </c>
      <c r="AA158" s="46">
        <v>992877</v>
      </c>
      <c r="AB158" s="46" t="s">
        <v>1138</v>
      </c>
      <c r="AC158" s="46" t="s">
        <v>861</v>
      </c>
      <c r="AD158" s="46" t="s">
        <v>938</v>
      </c>
      <c r="AE158" s="47">
        <v>300</v>
      </c>
      <c r="AF158" s="114" t="s">
        <v>1137</v>
      </c>
      <c r="AG158" s="114" t="s">
        <v>1137</v>
      </c>
      <c r="AH158" s="114" t="s">
        <v>1137</v>
      </c>
      <c r="AI158" s="114" t="s">
        <v>1137</v>
      </c>
      <c r="AJ158" s="129" t="s">
        <v>1137</v>
      </c>
      <c r="AK158" s="129" t="s">
        <v>1137</v>
      </c>
      <c r="AL158" s="114" t="s">
        <v>1137</v>
      </c>
      <c r="AM158" s="129" t="s">
        <v>1137</v>
      </c>
      <c r="AN158" s="129" t="s">
        <v>1137</v>
      </c>
      <c r="AO158" s="80">
        <v>46405</v>
      </c>
      <c r="AP158" s="52">
        <f>Table2[[#This Row],[تاريخ انتهاء رخصة السير هجري]]</f>
        <v>46405</v>
      </c>
      <c r="AQ158" s="53">
        <f ca="1">IF(Table2[[#This Row],[تاريخ انتهاء رخصة السير ميلادي]]="","",IFERROR(_xlfn.DAYS(Table2[[#This Row],[تاريخ انتهاء رخصة السير ميلادي]],TODAY()),""))</f>
        <v>145</v>
      </c>
      <c r="AR158" s="55">
        <f>Table2[[#This Row],[تاريخ انتهاء الفحص ميلادي]]</f>
        <v>46022</v>
      </c>
      <c r="AS158" s="56">
        <v>46022</v>
      </c>
      <c r="AT158" s="106">
        <f ca="1">IF(Table2[[#This Row],[تاريخ انتهاء الفحص ميلادي]]="","",IFERROR(_xlfn.DAYS(Table2[[#This Row],[تاريخ انتهاء الفحص ميلادي]],TODAY()),""))</f>
        <v>-238</v>
      </c>
      <c r="AU158" s="54" t="s">
        <v>1501</v>
      </c>
      <c r="AV158" s="1"/>
      <c r="BE158" s="3"/>
      <c r="BH158" s="1"/>
    </row>
    <row r="159" spans="1:60" x14ac:dyDescent="0.3">
      <c r="A159" s="39" t="s">
        <v>19</v>
      </c>
      <c r="B159" s="39" t="s">
        <v>1193</v>
      </c>
      <c r="C159" s="39" t="s">
        <v>1193</v>
      </c>
      <c r="D159" s="39" t="s">
        <v>17</v>
      </c>
      <c r="E159" s="39" t="s">
        <v>819</v>
      </c>
      <c r="F159" s="40">
        <v>7025667531</v>
      </c>
      <c r="G159" s="41" t="s">
        <v>342</v>
      </c>
      <c r="H159" s="39" t="s">
        <v>343</v>
      </c>
      <c r="I159" s="58">
        <v>14927020</v>
      </c>
      <c r="J159" s="39" t="s">
        <v>20</v>
      </c>
      <c r="K159" s="39" t="s">
        <v>67</v>
      </c>
      <c r="L159" s="39" t="s">
        <v>22</v>
      </c>
      <c r="M159" s="39">
        <v>2024</v>
      </c>
      <c r="N159" s="39" t="s">
        <v>23</v>
      </c>
      <c r="O159" s="39" t="s">
        <v>1137</v>
      </c>
      <c r="P159" s="39" t="s">
        <v>1137</v>
      </c>
      <c r="Q159" s="39" t="s">
        <v>1137</v>
      </c>
      <c r="R159" s="124" t="s">
        <v>1137</v>
      </c>
      <c r="S159" s="124" t="s">
        <v>1137</v>
      </c>
      <c r="T159" s="124" t="s">
        <v>1137</v>
      </c>
      <c r="U159" s="42" t="s">
        <v>26</v>
      </c>
      <c r="V159" s="43">
        <v>46393</v>
      </c>
      <c r="W159" s="44">
        <f ca="1">IF(Table2[[#This Row],[تاريخ انتهاء التأمين]]="","",IFERROR(_xlfn.DAYS(Table2[[#This Row],[تاريخ انتهاء التأمين]],TODAY()),""))</f>
        <v>133</v>
      </c>
      <c r="X159" s="42" t="s">
        <v>27</v>
      </c>
      <c r="Y159" s="42" t="s">
        <v>28</v>
      </c>
      <c r="Z159" s="45">
        <v>1180</v>
      </c>
      <c r="AA159" s="46">
        <v>992896</v>
      </c>
      <c r="AB159" s="46" t="s">
        <v>1407</v>
      </c>
      <c r="AC159" s="46" t="s">
        <v>861</v>
      </c>
      <c r="AD159" s="46" t="s">
        <v>938</v>
      </c>
      <c r="AE159" s="47">
        <v>300</v>
      </c>
      <c r="AF159" s="114" t="s">
        <v>1137</v>
      </c>
      <c r="AG159" s="114" t="s">
        <v>1137</v>
      </c>
      <c r="AH159" s="114" t="s">
        <v>1137</v>
      </c>
      <c r="AI159" s="114" t="s">
        <v>1137</v>
      </c>
      <c r="AJ159" s="129" t="s">
        <v>1137</v>
      </c>
      <c r="AK159" s="129" t="s">
        <v>1137</v>
      </c>
      <c r="AL159" s="114" t="s">
        <v>1137</v>
      </c>
      <c r="AM159" s="129" t="s">
        <v>1137</v>
      </c>
      <c r="AN159" s="129" t="s">
        <v>1137</v>
      </c>
      <c r="AO159" s="80">
        <v>46466</v>
      </c>
      <c r="AP159" s="52">
        <f>Table2[[#This Row],[تاريخ انتهاء رخصة السير هجري]]</f>
        <v>46466</v>
      </c>
      <c r="AQ159" s="53">
        <f ca="1">IF(Table2[[#This Row],[تاريخ انتهاء رخصة السير ميلادي]]="","",IFERROR(_xlfn.DAYS(Table2[[#This Row],[تاريخ انتهاء رخصة السير ميلادي]],TODAY()),""))</f>
        <v>206</v>
      </c>
      <c r="AR159" s="55">
        <f>Table2[[#This Row],[تاريخ انتهاء الفحص ميلادي]]</f>
        <v>46022</v>
      </c>
      <c r="AS159" s="56">
        <v>46022</v>
      </c>
      <c r="AT159" s="106">
        <f ca="1">IF(Table2[[#This Row],[تاريخ انتهاء الفحص ميلادي]]="","",IFERROR(_xlfn.DAYS(Table2[[#This Row],[تاريخ انتهاء الفحص ميلادي]],TODAY()),""))</f>
        <v>-238</v>
      </c>
      <c r="AU159" s="54" t="s">
        <v>1525</v>
      </c>
      <c r="AV159" s="1"/>
      <c r="BE159" s="3"/>
      <c r="BH159" s="1"/>
    </row>
    <row r="160" spans="1:60" x14ac:dyDescent="0.3">
      <c r="A160" s="39" t="s">
        <v>19</v>
      </c>
      <c r="B160" s="39" t="s">
        <v>2006</v>
      </c>
      <c r="C160" s="39" t="s">
        <v>1187</v>
      </c>
      <c r="D160" s="39" t="s">
        <v>17</v>
      </c>
      <c r="E160" s="39" t="s">
        <v>819</v>
      </c>
      <c r="F160" s="40">
        <v>7025667531</v>
      </c>
      <c r="G160" s="41" t="s">
        <v>344</v>
      </c>
      <c r="H160" s="39" t="s">
        <v>345</v>
      </c>
      <c r="I160" s="58">
        <v>899385020</v>
      </c>
      <c r="J160" s="39" t="s">
        <v>20</v>
      </c>
      <c r="K160" s="39" t="s">
        <v>21</v>
      </c>
      <c r="L160" s="39" t="s">
        <v>22</v>
      </c>
      <c r="M160" s="39">
        <v>2024</v>
      </c>
      <c r="N160" s="39" t="s">
        <v>23</v>
      </c>
      <c r="O160" s="39" t="s">
        <v>1894</v>
      </c>
      <c r="P160" s="58">
        <v>2566854838</v>
      </c>
      <c r="Q160" s="39" t="s">
        <v>1684</v>
      </c>
      <c r="R160" s="124">
        <v>46243</v>
      </c>
      <c r="S160" s="124">
        <v>46387</v>
      </c>
      <c r="T160" s="58">
        <f ca="1">IF(Table2[[#This Row],[تاريخ نهاية التفويض]]="","",IFERROR(_xlfn.DAYS(Table2[[#This Row],[تاريخ نهاية التفويض]],TODAY()),""))</f>
        <v>127</v>
      </c>
      <c r="U160" s="42" t="s">
        <v>26</v>
      </c>
      <c r="V160" s="43">
        <v>46393</v>
      </c>
      <c r="W160" s="44">
        <f ca="1">IF(Table2[[#This Row],[تاريخ انتهاء التأمين]]="","",IFERROR(_xlfn.DAYS(Table2[[#This Row],[تاريخ انتهاء التأمين]],TODAY()),""))</f>
        <v>133</v>
      </c>
      <c r="X160" s="42" t="s">
        <v>27</v>
      </c>
      <c r="Y160" s="42" t="s">
        <v>28</v>
      </c>
      <c r="Z160" s="45">
        <v>1180</v>
      </c>
      <c r="AA160" s="46">
        <v>992875</v>
      </c>
      <c r="AB160" s="46" t="s">
        <v>1408</v>
      </c>
      <c r="AC160" s="46" t="s">
        <v>861</v>
      </c>
      <c r="AD160" s="46" t="s">
        <v>938</v>
      </c>
      <c r="AE160" s="47">
        <v>298</v>
      </c>
      <c r="AF160" s="114" t="s">
        <v>1137</v>
      </c>
      <c r="AG160" s="114" t="s">
        <v>1137</v>
      </c>
      <c r="AH160" s="114" t="s">
        <v>1137</v>
      </c>
      <c r="AI160" s="114" t="s">
        <v>1137</v>
      </c>
      <c r="AJ160" s="129" t="s">
        <v>1137</v>
      </c>
      <c r="AK160" s="129" t="s">
        <v>1137</v>
      </c>
      <c r="AL160" s="114" t="s">
        <v>1137</v>
      </c>
      <c r="AM160" s="129" t="s">
        <v>1137</v>
      </c>
      <c r="AN160" s="129" t="s">
        <v>1137</v>
      </c>
      <c r="AO160" s="80">
        <v>46405</v>
      </c>
      <c r="AP160" s="52">
        <f>Table2[[#This Row],[تاريخ انتهاء رخصة السير هجري]]</f>
        <v>46405</v>
      </c>
      <c r="AQ160" s="53">
        <f ca="1">IF(Table2[[#This Row],[تاريخ انتهاء رخصة السير ميلادي]]="","",IFERROR(_xlfn.DAYS(Table2[[#This Row],[تاريخ انتهاء رخصة السير ميلادي]],TODAY()),""))</f>
        <v>145</v>
      </c>
      <c r="AR160" s="55">
        <f>Table2[[#This Row],[تاريخ انتهاء الفحص ميلادي]]</f>
        <v>46022</v>
      </c>
      <c r="AS160" s="56">
        <v>46022</v>
      </c>
      <c r="AT160" s="106">
        <f ca="1">IF(Table2[[#This Row],[تاريخ انتهاء الفحص ميلادي]]="","",IFERROR(_xlfn.DAYS(Table2[[#This Row],[تاريخ انتهاء الفحص ميلادي]],TODAY()),""))</f>
        <v>-238</v>
      </c>
      <c r="AU160" s="54" t="s">
        <v>1501</v>
      </c>
      <c r="AV160" s="1"/>
      <c r="BE160" s="3"/>
      <c r="BH160" s="1"/>
    </row>
    <row r="161" spans="1:60" x14ac:dyDescent="0.3">
      <c r="A161" s="39" t="s">
        <v>19</v>
      </c>
      <c r="B161" s="39" t="s">
        <v>2006</v>
      </c>
      <c r="C161" s="39" t="s">
        <v>1187</v>
      </c>
      <c r="D161" s="39" t="s">
        <v>17</v>
      </c>
      <c r="E161" s="39" t="s">
        <v>819</v>
      </c>
      <c r="F161" s="40">
        <v>7025667531</v>
      </c>
      <c r="G161" s="41" t="s">
        <v>346</v>
      </c>
      <c r="H161" s="39" t="s">
        <v>347</v>
      </c>
      <c r="I161" s="58">
        <v>834927020</v>
      </c>
      <c r="J161" s="39" t="s">
        <v>20</v>
      </c>
      <c r="K161" s="39" t="s">
        <v>67</v>
      </c>
      <c r="L161" s="39" t="s">
        <v>22</v>
      </c>
      <c r="M161" s="39">
        <v>2024</v>
      </c>
      <c r="N161" s="39" t="s">
        <v>23</v>
      </c>
      <c r="O161" s="39" t="s">
        <v>1895</v>
      </c>
      <c r="P161" s="58">
        <v>2594515492</v>
      </c>
      <c r="Q161" s="39" t="s">
        <v>1685</v>
      </c>
      <c r="R161" s="124">
        <v>46240</v>
      </c>
      <c r="S161" s="124">
        <v>46387</v>
      </c>
      <c r="T161" s="58">
        <f ca="1">IF(Table2[[#This Row],[تاريخ نهاية التفويض]]="","",IFERROR(_xlfn.DAYS(Table2[[#This Row],[تاريخ نهاية التفويض]],TODAY()),""))</f>
        <v>127</v>
      </c>
      <c r="U161" s="42" t="s">
        <v>26</v>
      </c>
      <c r="V161" s="43">
        <v>46393</v>
      </c>
      <c r="W161" s="44">
        <f ca="1">IF(Table2[[#This Row],[تاريخ انتهاء التأمين]]="","",IFERROR(_xlfn.DAYS(Table2[[#This Row],[تاريخ انتهاء التأمين]],TODAY()),""))</f>
        <v>133</v>
      </c>
      <c r="X161" s="42" t="s">
        <v>27</v>
      </c>
      <c r="Y161" s="42" t="s">
        <v>28</v>
      </c>
      <c r="Z161" s="45">
        <v>1180</v>
      </c>
      <c r="AA161" s="46">
        <v>992878</v>
      </c>
      <c r="AB161" s="46" t="s">
        <v>1409</v>
      </c>
      <c r="AC161" s="46" t="s">
        <v>861</v>
      </c>
      <c r="AD161" s="46" t="s">
        <v>938</v>
      </c>
      <c r="AE161" s="47">
        <v>297</v>
      </c>
      <c r="AF161" s="114" t="s">
        <v>1137</v>
      </c>
      <c r="AG161" s="114" t="s">
        <v>1137</v>
      </c>
      <c r="AH161" s="114" t="s">
        <v>1137</v>
      </c>
      <c r="AI161" s="114" t="s">
        <v>1137</v>
      </c>
      <c r="AJ161" s="129" t="s">
        <v>1137</v>
      </c>
      <c r="AK161" s="129" t="s">
        <v>1137</v>
      </c>
      <c r="AL161" s="114" t="s">
        <v>1137</v>
      </c>
      <c r="AM161" s="129" t="s">
        <v>1137</v>
      </c>
      <c r="AN161" s="129" t="s">
        <v>1137</v>
      </c>
      <c r="AO161" s="80">
        <v>46466</v>
      </c>
      <c r="AP161" s="52">
        <f>Table2[[#This Row],[تاريخ انتهاء رخصة السير هجري]]</f>
        <v>46466</v>
      </c>
      <c r="AQ161" s="53">
        <f ca="1">IF(Table2[[#This Row],[تاريخ انتهاء رخصة السير ميلادي]]="","",IFERROR(_xlfn.DAYS(Table2[[#This Row],[تاريخ انتهاء رخصة السير ميلادي]],TODAY()),""))</f>
        <v>206</v>
      </c>
      <c r="AR161" s="55">
        <f>Table2[[#This Row],[تاريخ انتهاء الفحص ميلادي]]</f>
        <v>46022</v>
      </c>
      <c r="AS161" s="56">
        <v>46022</v>
      </c>
      <c r="AT161" s="106">
        <f ca="1">IF(Table2[[#This Row],[تاريخ انتهاء الفحص ميلادي]]="","",IFERROR(_xlfn.DAYS(Table2[[#This Row],[تاريخ انتهاء الفحص ميلادي]],TODAY()),""))</f>
        <v>-238</v>
      </c>
      <c r="AU161" s="54" t="s">
        <v>1501</v>
      </c>
      <c r="AV161" s="1"/>
      <c r="BE161" s="3"/>
      <c r="BH161" s="1"/>
    </row>
    <row r="162" spans="1:60" x14ac:dyDescent="0.3">
      <c r="A162" s="39" t="s">
        <v>19</v>
      </c>
      <c r="B162" s="39" t="s">
        <v>1185</v>
      </c>
      <c r="C162" s="39" t="s">
        <v>1187</v>
      </c>
      <c r="D162" s="39" t="s">
        <v>17</v>
      </c>
      <c r="E162" s="39" t="s">
        <v>819</v>
      </c>
      <c r="F162" s="40">
        <v>7025667531</v>
      </c>
      <c r="G162" s="41" t="s">
        <v>348</v>
      </c>
      <c r="H162" s="39" t="s">
        <v>349</v>
      </c>
      <c r="I162" s="58">
        <v>175927020</v>
      </c>
      <c r="J162" s="39" t="s">
        <v>20</v>
      </c>
      <c r="K162" s="39" t="s">
        <v>67</v>
      </c>
      <c r="L162" s="39" t="s">
        <v>22</v>
      </c>
      <c r="M162" s="39">
        <v>2024</v>
      </c>
      <c r="N162" s="39" t="s">
        <v>64</v>
      </c>
      <c r="O162" s="39" t="s">
        <v>1871</v>
      </c>
      <c r="P162" s="58">
        <v>2586867471</v>
      </c>
      <c r="Q162" s="39" t="s">
        <v>1686</v>
      </c>
      <c r="R162" s="124">
        <v>46251</v>
      </c>
      <c r="S162" s="124">
        <v>46387</v>
      </c>
      <c r="T162" s="58">
        <f ca="1">IF(Table2[[#This Row],[تاريخ نهاية التفويض]]="","",IFERROR(_xlfn.DAYS(Table2[[#This Row],[تاريخ نهاية التفويض]],TODAY()),""))</f>
        <v>127</v>
      </c>
      <c r="U162" s="42" t="s">
        <v>26</v>
      </c>
      <c r="V162" s="43">
        <v>46393</v>
      </c>
      <c r="W162" s="44">
        <f ca="1">IF(Table2[[#This Row],[تاريخ انتهاء التأمين]]="","",IFERROR(_xlfn.DAYS(Table2[[#This Row],[تاريخ انتهاء التأمين]],TODAY()),""))</f>
        <v>133</v>
      </c>
      <c r="X162" s="42" t="s">
        <v>27</v>
      </c>
      <c r="Y162" s="42" t="s">
        <v>28</v>
      </c>
      <c r="Z162" s="45">
        <v>1180</v>
      </c>
      <c r="AA162" s="46">
        <v>992873</v>
      </c>
      <c r="AB162" s="46" t="s">
        <v>1410</v>
      </c>
      <c r="AC162" s="46" t="s">
        <v>861</v>
      </c>
      <c r="AD162" s="46" t="s">
        <v>938</v>
      </c>
      <c r="AE162" s="47">
        <v>298</v>
      </c>
      <c r="AF162" s="114" t="s">
        <v>1137</v>
      </c>
      <c r="AG162" s="114" t="s">
        <v>1137</v>
      </c>
      <c r="AH162" s="114" t="s">
        <v>1137</v>
      </c>
      <c r="AI162" s="114" t="s">
        <v>1137</v>
      </c>
      <c r="AJ162" s="129" t="s">
        <v>1137</v>
      </c>
      <c r="AK162" s="129" t="s">
        <v>1137</v>
      </c>
      <c r="AL162" s="114" t="s">
        <v>1137</v>
      </c>
      <c r="AM162" s="129" t="s">
        <v>1137</v>
      </c>
      <c r="AN162" s="129" t="s">
        <v>1137</v>
      </c>
      <c r="AO162" s="80">
        <v>46466</v>
      </c>
      <c r="AP162" s="52">
        <f>Table2[[#This Row],[تاريخ انتهاء رخصة السير هجري]]</f>
        <v>46466</v>
      </c>
      <c r="AQ162" s="53">
        <f ca="1">IF(Table2[[#This Row],[تاريخ انتهاء رخصة السير ميلادي]]="","",IFERROR(_xlfn.DAYS(Table2[[#This Row],[تاريخ انتهاء رخصة السير ميلادي]],TODAY()),""))</f>
        <v>206</v>
      </c>
      <c r="AR162" s="55">
        <f>Table2[[#This Row],[تاريخ انتهاء الفحص ميلادي]]</f>
        <v>46022</v>
      </c>
      <c r="AS162" s="56">
        <v>46022</v>
      </c>
      <c r="AT162" s="106">
        <f ca="1">IF(Table2[[#This Row],[تاريخ انتهاء الفحص ميلادي]]="","",IFERROR(_xlfn.DAYS(Table2[[#This Row],[تاريخ انتهاء الفحص ميلادي]],TODAY()),""))</f>
        <v>-238</v>
      </c>
      <c r="AU162" s="54" t="s">
        <v>1501</v>
      </c>
      <c r="AV162" s="1"/>
      <c r="BE162" s="3"/>
      <c r="BH162" s="1"/>
    </row>
    <row r="163" spans="1:60" x14ac:dyDescent="0.3">
      <c r="A163" s="39" t="s">
        <v>19</v>
      </c>
      <c r="B163" s="39" t="s">
        <v>2006</v>
      </c>
      <c r="C163" s="39" t="s">
        <v>1187</v>
      </c>
      <c r="D163" s="39" t="s">
        <v>17</v>
      </c>
      <c r="E163" s="39" t="s">
        <v>819</v>
      </c>
      <c r="F163" s="40">
        <v>7025667531</v>
      </c>
      <c r="G163" s="41" t="s">
        <v>350</v>
      </c>
      <c r="H163" s="39" t="s">
        <v>351</v>
      </c>
      <c r="I163" s="58">
        <v>946927020</v>
      </c>
      <c r="J163" s="39" t="s">
        <v>20</v>
      </c>
      <c r="K163" s="39" t="s">
        <v>67</v>
      </c>
      <c r="L163" s="39" t="s">
        <v>22</v>
      </c>
      <c r="M163" s="39">
        <v>2024</v>
      </c>
      <c r="N163" s="39" t="s">
        <v>64</v>
      </c>
      <c r="O163" s="39" t="s">
        <v>1896</v>
      </c>
      <c r="P163" s="58">
        <v>2585780618</v>
      </c>
      <c r="Q163" s="39" t="s">
        <v>1687</v>
      </c>
      <c r="R163" s="124">
        <v>46240</v>
      </c>
      <c r="S163" s="124">
        <v>46387</v>
      </c>
      <c r="T163" s="58">
        <f ca="1">IF(Table2[[#This Row],[تاريخ نهاية التفويض]]="","",IFERROR(_xlfn.DAYS(Table2[[#This Row],[تاريخ نهاية التفويض]],TODAY()),""))</f>
        <v>127</v>
      </c>
      <c r="U163" s="42" t="s">
        <v>26</v>
      </c>
      <c r="V163" s="43">
        <v>46393</v>
      </c>
      <c r="W163" s="44">
        <f ca="1">IF(Table2[[#This Row],[تاريخ انتهاء التأمين]]="","",IFERROR(_xlfn.DAYS(Table2[[#This Row],[تاريخ انتهاء التأمين]],TODAY()),""))</f>
        <v>133</v>
      </c>
      <c r="X163" s="42" t="s">
        <v>27</v>
      </c>
      <c r="Y163" s="42" t="s">
        <v>28</v>
      </c>
      <c r="Z163" s="45">
        <v>1180</v>
      </c>
      <c r="AA163" s="46">
        <v>992879</v>
      </c>
      <c r="AB163" s="46" t="s">
        <v>1138</v>
      </c>
      <c r="AC163" s="46" t="s">
        <v>861</v>
      </c>
      <c r="AD163" s="46" t="s">
        <v>938</v>
      </c>
      <c r="AE163" s="47">
        <v>298</v>
      </c>
      <c r="AF163" s="114" t="s">
        <v>1137</v>
      </c>
      <c r="AG163" s="114" t="s">
        <v>1137</v>
      </c>
      <c r="AH163" s="114" t="s">
        <v>1137</v>
      </c>
      <c r="AI163" s="114" t="s">
        <v>1137</v>
      </c>
      <c r="AJ163" s="129" t="s">
        <v>1137</v>
      </c>
      <c r="AK163" s="129" t="s">
        <v>1137</v>
      </c>
      <c r="AL163" s="114" t="s">
        <v>1137</v>
      </c>
      <c r="AM163" s="129" t="s">
        <v>1137</v>
      </c>
      <c r="AN163" s="129" t="s">
        <v>1137</v>
      </c>
      <c r="AO163" s="80">
        <v>46466</v>
      </c>
      <c r="AP163" s="52">
        <f>Table2[[#This Row],[تاريخ انتهاء رخصة السير هجري]]</f>
        <v>46466</v>
      </c>
      <c r="AQ163" s="53">
        <f ca="1">IF(Table2[[#This Row],[تاريخ انتهاء رخصة السير ميلادي]]="","",IFERROR(_xlfn.DAYS(Table2[[#This Row],[تاريخ انتهاء رخصة السير ميلادي]],TODAY()),""))</f>
        <v>206</v>
      </c>
      <c r="AR163" s="55">
        <f>Table2[[#This Row],[تاريخ انتهاء الفحص ميلادي]]</f>
        <v>46022</v>
      </c>
      <c r="AS163" s="56">
        <v>46022</v>
      </c>
      <c r="AT163" s="106">
        <f ca="1">IF(Table2[[#This Row],[تاريخ انتهاء الفحص ميلادي]]="","",IFERROR(_xlfn.DAYS(Table2[[#This Row],[تاريخ انتهاء الفحص ميلادي]],TODAY()),""))</f>
        <v>-238</v>
      </c>
      <c r="AU163" s="54" t="s">
        <v>1501</v>
      </c>
      <c r="AV163" s="1"/>
      <c r="BE163" s="3"/>
      <c r="BH163" s="1"/>
    </row>
    <row r="164" spans="1:60" x14ac:dyDescent="0.3">
      <c r="A164" s="39" t="s">
        <v>19</v>
      </c>
      <c r="B164" s="39" t="s">
        <v>2006</v>
      </c>
      <c r="C164" s="39" t="s">
        <v>1187</v>
      </c>
      <c r="D164" s="39" t="s">
        <v>17</v>
      </c>
      <c r="E164" s="39" t="s">
        <v>819</v>
      </c>
      <c r="F164" s="40">
        <v>7025667531</v>
      </c>
      <c r="G164" s="41" t="s">
        <v>352</v>
      </c>
      <c r="H164" s="39" t="s">
        <v>353</v>
      </c>
      <c r="I164" s="58">
        <v>257927020</v>
      </c>
      <c r="J164" s="39" t="s">
        <v>20</v>
      </c>
      <c r="K164" s="39" t="s">
        <v>67</v>
      </c>
      <c r="L164" s="39" t="s">
        <v>22</v>
      </c>
      <c r="M164" s="39">
        <v>2024</v>
      </c>
      <c r="N164" s="39" t="s">
        <v>64</v>
      </c>
      <c r="O164" s="39" t="s">
        <v>1897</v>
      </c>
      <c r="P164" s="58">
        <v>2564307250</v>
      </c>
      <c r="Q164" s="39" t="s">
        <v>1688</v>
      </c>
      <c r="R164" s="124">
        <v>46240</v>
      </c>
      <c r="S164" s="124">
        <v>46387</v>
      </c>
      <c r="T164" s="58">
        <f ca="1">IF(Table2[[#This Row],[تاريخ نهاية التفويض]]="","",IFERROR(_xlfn.DAYS(Table2[[#This Row],[تاريخ نهاية التفويض]],TODAY()),""))</f>
        <v>127</v>
      </c>
      <c r="U164" s="42" t="s">
        <v>26</v>
      </c>
      <c r="V164" s="43">
        <v>46393</v>
      </c>
      <c r="W164" s="44">
        <f ca="1">IF(Table2[[#This Row],[تاريخ انتهاء التأمين]]="","",IFERROR(_xlfn.DAYS(Table2[[#This Row],[تاريخ انتهاء التأمين]],TODAY()),""))</f>
        <v>133</v>
      </c>
      <c r="X164" s="42" t="s">
        <v>27</v>
      </c>
      <c r="Y164" s="42" t="s">
        <v>28</v>
      </c>
      <c r="Z164" s="45">
        <v>1180</v>
      </c>
      <c r="AA164" s="46">
        <v>992880</v>
      </c>
      <c r="AB164" s="46" t="s">
        <v>1411</v>
      </c>
      <c r="AC164" s="46" t="s">
        <v>861</v>
      </c>
      <c r="AD164" s="46" t="s">
        <v>938</v>
      </c>
      <c r="AE164" s="47">
        <v>300</v>
      </c>
      <c r="AF164" s="114" t="s">
        <v>1137</v>
      </c>
      <c r="AG164" s="114" t="s">
        <v>1137</v>
      </c>
      <c r="AH164" s="114" t="s">
        <v>1137</v>
      </c>
      <c r="AI164" s="114" t="s">
        <v>1137</v>
      </c>
      <c r="AJ164" s="129" t="s">
        <v>1137</v>
      </c>
      <c r="AK164" s="129" t="s">
        <v>1137</v>
      </c>
      <c r="AL164" s="114" t="s">
        <v>1137</v>
      </c>
      <c r="AM164" s="129" t="s">
        <v>1137</v>
      </c>
      <c r="AN164" s="129" t="s">
        <v>1137</v>
      </c>
      <c r="AO164" s="80">
        <v>46466</v>
      </c>
      <c r="AP164" s="52">
        <f>Table2[[#This Row],[تاريخ انتهاء رخصة السير هجري]]</f>
        <v>46466</v>
      </c>
      <c r="AQ164" s="53">
        <f ca="1">IF(Table2[[#This Row],[تاريخ انتهاء رخصة السير ميلادي]]="","",IFERROR(_xlfn.DAYS(Table2[[#This Row],[تاريخ انتهاء رخصة السير ميلادي]],TODAY()),""))</f>
        <v>206</v>
      </c>
      <c r="AR164" s="55">
        <f>Table2[[#This Row],[تاريخ انتهاء الفحص ميلادي]]</f>
        <v>46022</v>
      </c>
      <c r="AS164" s="56">
        <v>46022</v>
      </c>
      <c r="AT164" s="106">
        <f ca="1">IF(Table2[[#This Row],[تاريخ انتهاء الفحص ميلادي]]="","",IFERROR(_xlfn.DAYS(Table2[[#This Row],[تاريخ انتهاء الفحص ميلادي]],TODAY()),""))</f>
        <v>-238</v>
      </c>
      <c r="AU164" s="54" t="s">
        <v>1501</v>
      </c>
      <c r="AV164" s="1"/>
      <c r="BE164" s="3"/>
      <c r="BH164" s="1"/>
    </row>
    <row r="165" spans="1:60" x14ac:dyDescent="0.3">
      <c r="A165" s="39" t="s">
        <v>19</v>
      </c>
      <c r="B165" s="39" t="s">
        <v>1185</v>
      </c>
      <c r="C165" s="39" t="s">
        <v>1187</v>
      </c>
      <c r="D165" s="39" t="s">
        <v>17</v>
      </c>
      <c r="E165" s="39" t="s">
        <v>819</v>
      </c>
      <c r="F165" s="40">
        <v>7025667531</v>
      </c>
      <c r="G165" s="41" t="s">
        <v>354</v>
      </c>
      <c r="H165" s="39" t="s">
        <v>355</v>
      </c>
      <c r="I165" s="58">
        <v>409385020</v>
      </c>
      <c r="J165" s="39" t="s">
        <v>20</v>
      </c>
      <c r="K165" s="39" t="s">
        <v>21</v>
      </c>
      <c r="L165" s="39" t="s">
        <v>22</v>
      </c>
      <c r="M165" s="39">
        <v>2024</v>
      </c>
      <c r="N165" s="39" t="s">
        <v>64</v>
      </c>
      <c r="O165" s="39" t="s">
        <v>1898</v>
      </c>
      <c r="P165" s="58">
        <v>2594102754</v>
      </c>
      <c r="Q165" s="39" t="s">
        <v>1689</v>
      </c>
      <c r="R165" s="124">
        <v>46240</v>
      </c>
      <c r="S165" s="124">
        <v>46387</v>
      </c>
      <c r="T165" s="58">
        <f ca="1">IF(Table2[[#This Row],[تاريخ نهاية التفويض]]="","",IFERROR(_xlfn.DAYS(Table2[[#This Row],[تاريخ نهاية التفويض]],TODAY()),""))</f>
        <v>127</v>
      </c>
      <c r="U165" s="42" t="s">
        <v>26</v>
      </c>
      <c r="V165" s="43">
        <v>46393</v>
      </c>
      <c r="W165" s="44">
        <f ca="1">IF(Table2[[#This Row],[تاريخ انتهاء التأمين]]="","",IFERROR(_xlfn.DAYS(Table2[[#This Row],[تاريخ انتهاء التأمين]],TODAY()),""))</f>
        <v>133</v>
      </c>
      <c r="X165" s="42" t="s">
        <v>27</v>
      </c>
      <c r="Y165" s="42" t="s">
        <v>28</v>
      </c>
      <c r="Z165" s="45">
        <v>1180</v>
      </c>
      <c r="AA165" s="46">
        <v>992881</v>
      </c>
      <c r="AB165" s="46" t="s">
        <v>1412</v>
      </c>
      <c r="AC165" s="46" t="s">
        <v>861</v>
      </c>
      <c r="AD165" s="46" t="s">
        <v>938</v>
      </c>
      <c r="AE165" s="47">
        <v>298</v>
      </c>
      <c r="AF165" s="114" t="s">
        <v>1137</v>
      </c>
      <c r="AG165" s="114" t="s">
        <v>1137</v>
      </c>
      <c r="AH165" s="114" t="s">
        <v>1137</v>
      </c>
      <c r="AI165" s="114" t="s">
        <v>1137</v>
      </c>
      <c r="AJ165" s="129" t="s">
        <v>1137</v>
      </c>
      <c r="AK165" s="129" t="s">
        <v>1137</v>
      </c>
      <c r="AL165" s="114" t="s">
        <v>1137</v>
      </c>
      <c r="AM165" s="129" t="s">
        <v>1137</v>
      </c>
      <c r="AN165" s="129" t="s">
        <v>1137</v>
      </c>
      <c r="AO165" s="80">
        <v>46405</v>
      </c>
      <c r="AP165" s="52">
        <f>Table2[[#This Row],[تاريخ انتهاء رخصة السير هجري]]</f>
        <v>46405</v>
      </c>
      <c r="AQ165" s="53">
        <f ca="1">IF(Table2[[#This Row],[تاريخ انتهاء رخصة السير ميلادي]]="","",IFERROR(_xlfn.DAYS(Table2[[#This Row],[تاريخ انتهاء رخصة السير ميلادي]],TODAY()),""))</f>
        <v>145</v>
      </c>
      <c r="AR165" s="55">
        <f>Table2[[#This Row],[تاريخ انتهاء الفحص ميلادي]]</f>
        <v>46022</v>
      </c>
      <c r="AS165" s="56">
        <v>46022</v>
      </c>
      <c r="AT165" s="106">
        <f ca="1">IF(Table2[[#This Row],[تاريخ انتهاء الفحص ميلادي]]="","",IFERROR(_xlfn.DAYS(Table2[[#This Row],[تاريخ انتهاء الفحص ميلادي]],TODAY()),""))</f>
        <v>-238</v>
      </c>
      <c r="AU165" s="54" t="s">
        <v>1501</v>
      </c>
      <c r="AV165" s="1"/>
      <c r="BE165" s="3"/>
      <c r="BH165" s="1"/>
    </row>
    <row r="166" spans="1:60" x14ac:dyDescent="0.3">
      <c r="A166" s="39" t="s">
        <v>19</v>
      </c>
      <c r="B166" s="39" t="s">
        <v>2006</v>
      </c>
      <c r="C166" s="39" t="s">
        <v>1187</v>
      </c>
      <c r="D166" s="39" t="s">
        <v>17</v>
      </c>
      <c r="E166" s="39" t="s">
        <v>819</v>
      </c>
      <c r="F166" s="40">
        <v>7025667531</v>
      </c>
      <c r="G166" s="41" t="s">
        <v>356</v>
      </c>
      <c r="H166" s="39" t="s">
        <v>357</v>
      </c>
      <c r="I166" s="58">
        <v>117927020</v>
      </c>
      <c r="J166" s="39" t="s">
        <v>20</v>
      </c>
      <c r="K166" s="39" t="s">
        <v>67</v>
      </c>
      <c r="L166" s="39" t="s">
        <v>22</v>
      </c>
      <c r="M166" s="39">
        <v>2024</v>
      </c>
      <c r="N166" s="39" t="s">
        <v>64</v>
      </c>
      <c r="O166" s="39" t="s">
        <v>1899</v>
      </c>
      <c r="P166" s="58">
        <v>2586503613</v>
      </c>
      <c r="Q166" s="39" t="s">
        <v>1690</v>
      </c>
      <c r="R166" s="124">
        <v>46242</v>
      </c>
      <c r="S166" s="124">
        <v>46387</v>
      </c>
      <c r="T166" s="58">
        <f ca="1">IF(Table2[[#This Row],[تاريخ نهاية التفويض]]="","",IFERROR(_xlfn.DAYS(Table2[[#This Row],[تاريخ نهاية التفويض]],TODAY()),""))</f>
        <v>127</v>
      </c>
      <c r="U166" s="42" t="s">
        <v>26</v>
      </c>
      <c r="V166" s="43">
        <v>46393</v>
      </c>
      <c r="W166" s="44">
        <f ca="1">IF(Table2[[#This Row],[تاريخ انتهاء التأمين]]="","",IFERROR(_xlfn.DAYS(Table2[[#This Row],[تاريخ انتهاء التأمين]],TODAY()),""))</f>
        <v>133</v>
      </c>
      <c r="X166" s="42" t="s">
        <v>27</v>
      </c>
      <c r="Y166" s="42" t="s">
        <v>28</v>
      </c>
      <c r="Z166" s="45">
        <v>1180</v>
      </c>
      <c r="AA166" s="46">
        <v>992882</v>
      </c>
      <c r="AB166" s="46" t="s">
        <v>1413</v>
      </c>
      <c r="AC166" s="46" t="s">
        <v>861</v>
      </c>
      <c r="AD166" s="46" t="s">
        <v>938</v>
      </c>
      <c r="AE166" s="47">
        <v>298</v>
      </c>
      <c r="AF166" s="114" t="s">
        <v>1137</v>
      </c>
      <c r="AG166" s="114" t="s">
        <v>1137</v>
      </c>
      <c r="AH166" s="114" t="s">
        <v>1137</v>
      </c>
      <c r="AI166" s="114" t="s">
        <v>1137</v>
      </c>
      <c r="AJ166" s="129" t="s">
        <v>1137</v>
      </c>
      <c r="AK166" s="129" t="s">
        <v>1137</v>
      </c>
      <c r="AL166" s="114" t="s">
        <v>1137</v>
      </c>
      <c r="AM166" s="129" t="s">
        <v>1137</v>
      </c>
      <c r="AN166" s="129" t="s">
        <v>1137</v>
      </c>
      <c r="AO166" s="80">
        <v>46466</v>
      </c>
      <c r="AP166" s="52">
        <f>Table2[[#This Row],[تاريخ انتهاء رخصة السير هجري]]</f>
        <v>46466</v>
      </c>
      <c r="AQ166" s="53">
        <f ca="1">IF(Table2[[#This Row],[تاريخ انتهاء رخصة السير ميلادي]]="","",IFERROR(_xlfn.DAYS(Table2[[#This Row],[تاريخ انتهاء رخصة السير ميلادي]],TODAY()),""))</f>
        <v>206</v>
      </c>
      <c r="AR166" s="55">
        <f>Table2[[#This Row],[تاريخ انتهاء الفحص ميلادي]]</f>
        <v>46022</v>
      </c>
      <c r="AS166" s="56">
        <v>46022</v>
      </c>
      <c r="AT166" s="106">
        <f ca="1">IF(Table2[[#This Row],[تاريخ انتهاء الفحص ميلادي]]="","",IFERROR(_xlfn.DAYS(Table2[[#This Row],[تاريخ انتهاء الفحص ميلادي]],TODAY()),""))</f>
        <v>-238</v>
      </c>
      <c r="AU166" s="54" t="s">
        <v>1501</v>
      </c>
      <c r="AV166" s="1"/>
      <c r="BE166" s="3"/>
      <c r="BH166" s="1"/>
    </row>
    <row r="167" spans="1:60" x14ac:dyDescent="0.3">
      <c r="A167" s="39" t="s">
        <v>19</v>
      </c>
      <c r="B167" s="39" t="s">
        <v>2006</v>
      </c>
      <c r="C167" s="39" t="s">
        <v>1187</v>
      </c>
      <c r="D167" s="39" t="s">
        <v>17</v>
      </c>
      <c r="E167" s="39" t="s">
        <v>819</v>
      </c>
      <c r="F167" s="40">
        <v>7025667531</v>
      </c>
      <c r="G167" s="41" t="s">
        <v>358</v>
      </c>
      <c r="H167" s="39" t="s">
        <v>359</v>
      </c>
      <c r="I167" s="58">
        <v>733144020</v>
      </c>
      <c r="J167" s="39" t="s">
        <v>20</v>
      </c>
      <c r="K167" s="39" t="s">
        <v>67</v>
      </c>
      <c r="L167" s="39" t="s">
        <v>22</v>
      </c>
      <c r="M167" s="39">
        <v>2024</v>
      </c>
      <c r="N167" s="39" t="s">
        <v>64</v>
      </c>
      <c r="O167" s="39" t="s">
        <v>1900</v>
      </c>
      <c r="P167" s="58">
        <v>2585189612</v>
      </c>
      <c r="Q167" s="39" t="s">
        <v>1691</v>
      </c>
      <c r="R167" s="124">
        <v>46240</v>
      </c>
      <c r="S167" s="124">
        <v>46387</v>
      </c>
      <c r="T167" s="58">
        <f ca="1">IF(Table2[[#This Row],[تاريخ نهاية التفويض]]="","",IFERROR(_xlfn.DAYS(Table2[[#This Row],[تاريخ نهاية التفويض]],TODAY()),""))</f>
        <v>127</v>
      </c>
      <c r="U167" s="42" t="s">
        <v>26</v>
      </c>
      <c r="V167" s="43">
        <v>46393</v>
      </c>
      <c r="W167" s="44">
        <f ca="1">IF(Table2[[#This Row],[تاريخ انتهاء التأمين]]="","",IFERROR(_xlfn.DAYS(Table2[[#This Row],[تاريخ انتهاء التأمين]],TODAY()),""))</f>
        <v>133</v>
      </c>
      <c r="X167" s="42" t="s">
        <v>27</v>
      </c>
      <c r="Y167" s="42" t="s">
        <v>28</v>
      </c>
      <c r="Z167" s="45">
        <v>1180</v>
      </c>
      <c r="AA167" s="46">
        <v>992884</v>
      </c>
      <c r="AB167" s="46" t="s">
        <v>1414</v>
      </c>
      <c r="AC167" s="46" t="s">
        <v>861</v>
      </c>
      <c r="AD167" s="46" t="s">
        <v>938</v>
      </c>
      <c r="AE167" s="47">
        <v>300</v>
      </c>
      <c r="AF167" s="114" t="s">
        <v>1137</v>
      </c>
      <c r="AG167" s="114" t="s">
        <v>1137</v>
      </c>
      <c r="AH167" s="114" t="s">
        <v>1137</v>
      </c>
      <c r="AI167" s="114" t="s">
        <v>1137</v>
      </c>
      <c r="AJ167" s="129" t="s">
        <v>1137</v>
      </c>
      <c r="AK167" s="129" t="s">
        <v>1137</v>
      </c>
      <c r="AL167" s="114" t="s">
        <v>1137</v>
      </c>
      <c r="AM167" s="129" t="s">
        <v>1137</v>
      </c>
      <c r="AN167" s="129" t="s">
        <v>1137</v>
      </c>
      <c r="AO167" s="80">
        <v>46351</v>
      </c>
      <c r="AP167" s="52">
        <f>Table2[[#This Row],[تاريخ انتهاء رخصة السير هجري]]</f>
        <v>46351</v>
      </c>
      <c r="AQ167" s="53">
        <f ca="1">IF(Table2[[#This Row],[تاريخ انتهاء رخصة السير ميلادي]]="","",IFERROR(_xlfn.DAYS(Table2[[#This Row],[تاريخ انتهاء رخصة السير ميلادي]],TODAY()),""))</f>
        <v>91</v>
      </c>
      <c r="AR167" s="55">
        <f>Table2[[#This Row],[تاريخ انتهاء الفحص ميلادي]]</f>
        <v>46022</v>
      </c>
      <c r="AS167" s="56">
        <v>46022</v>
      </c>
      <c r="AT167" s="106">
        <f ca="1">IF(Table2[[#This Row],[تاريخ انتهاء الفحص ميلادي]]="","",IFERROR(_xlfn.DAYS(Table2[[#This Row],[تاريخ انتهاء الفحص ميلادي]],TODAY()),""))</f>
        <v>-238</v>
      </c>
      <c r="AU167" s="54" t="s">
        <v>1501</v>
      </c>
      <c r="AV167" s="1"/>
      <c r="BE167" s="3"/>
      <c r="BH167" s="1"/>
    </row>
    <row r="168" spans="1:60" x14ac:dyDescent="0.3">
      <c r="A168" s="39" t="s">
        <v>19</v>
      </c>
      <c r="B168" s="39" t="s">
        <v>1185</v>
      </c>
      <c r="C168" s="39" t="s">
        <v>1187</v>
      </c>
      <c r="D168" s="39" t="s">
        <v>17</v>
      </c>
      <c r="E168" s="39" t="s">
        <v>819</v>
      </c>
      <c r="F168" s="40">
        <v>7025667531</v>
      </c>
      <c r="G168" s="41" t="s">
        <v>360</v>
      </c>
      <c r="H168" s="39" t="s">
        <v>361</v>
      </c>
      <c r="I168" s="58">
        <v>420485020</v>
      </c>
      <c r="J168" s="39" t="s">
        <v>20</v>
      </c>
      <c r="K168" s="39" t="s">
        <v>21</v>
      </c>
      <c r="L168" s="39" t="s">
        <v>22</v>
      </c>
      <c r="M168" s="39">
        <v>2024</v>
      </c>
      <c r="N168" s="39" t="s">
        <v>23</v>
      </c>
      <c r="O168" s="39" t="s">
        <v>1901</v>
      </c>
      <c r="P168" s="39">
        <v>2586481174</v>
      </c>
      <c r="Q168" s="39" t="s">
        <v>1692</v>
      </c>
      <c r="R168" s="124">
        <v>46240</v>
      </c>
      <c r="S168" s="124">
        <v>46387</v>
      </c>
      <c r="T168" s="58">
        <f ca="1">IF(Table2[[#This Row],[تاريخ نهاية التفويض]]="","",IFERROR(_xlfn.DAYS(Table2[[#This Row],[تاريخ نهاية التفويض]],TODAY()),""))</f>
        <v>127</v>
      </c>
      <c r="U168" s="42" t="s">
        <v>26</v>
      </c>
      <c r="V168" s="43">
        <v>46393</v>
      </c>
      <c r="W168" s="44">
        <f ca="1">IF(Table2[[#This Row],[تاريخ انتهاء التأمين]]="","",IFERROR(_xlfn.DAYS(Table2[[#This Row],[تاريخ انتهاء التأمين]],TODAY()),""))</f>
        <v>133</v>
      </c>
      <c r="X168" s="42" t="s">
        <v>27</v>
      </c>
      <c r="Y168" s="42" t="s">
        <v>28</v>
      </c>
      <c r="Z168" s="45">
        <v>1180</v>
      </c>
      <c r="AA168" s="46">
        <v>992885</v>
      </c>
      <c r="AB168" s="46" t="s">
        <v>1138</v>
      </c>
      <c r="AC168" s="46" t="s">
        <v>861</v>
      </c>
      <c r="AD168" s="46" t="s">
        <v>938</v>
      </c>
      <c r="AE168" s="47">
        <v>300</v>
      </c>
      <c r="AF168" s="114" t="s">
        <v>1137</v>
      </c>
      <c r="AG168" s="114" t="s">
        <v>1137</v>
      </c>
      <c r="AH168" s="114" t="s">
        <v>1137</v>
      </c>
      <c r="AI168" s="114" t="s">
        <v>1137</v>
      </c>
      <c r="AJ168" s="129" t="s">
        <v>1137</v>
      </c>
      <c r="AK168" s="129" t="s">
        <v>1137</v>
      </c>
      <c r="AL168" s="114" t="s">
        <v>1137</v>
      </c>
      <c r="AM168" s="129" t="s">
        <v>1137</v>
      </c>
      <c r="AN168" s="129" t="s">
        <v>1137</v>
      </c>
      <c r="AO168" s="80">
        <v>46405</v>
      </c>
      <c r="AP168" s="52">
        <f>Table2[[#This Row],[تاريخ انتهاء رخصة السير هجري]]</f>
        <v>46405</v>
      </c>
      <c r="AQ168" s="53">
        <f ca="1">IF(Table2[[#This Row],[تاريخ انتهاء رخصة السير ميلادي]]="","",IFERROR(_xlfn.DAYS(Table2[[#This Row],[تاريخ انتهاء رخصة السير ميلادي]],TODAY()),""))</f>
        <v>145</v>
      </c>
      <c r="AR168" s="55">
        <f>Table2[[#This Row],[تاريخ انتهاء الفحص ميلادي]]</f>
        <v>46022</v>
      </c>
      <c r="AS168" s="56">
        <v>46022</v>
      </c>
      <c r="AT168" s="106">
        <f ca="1">IF(Table2[[#This Row],[تاريخ انتهاء الفحص ميلادي]]="","",IFERROR(_xlfn.DAYS(Table2[[#This Row],[تاريخ انتهاء الفحص ميلادي]],TODAY()),""))</f>
        <v>-238</v>
      </c>
      <c r="AU168" s="54" t="s">
        <v>1501</v>
      </c>
      <c r="AV168" s="1"/>
      <c r="BE168" s="3"/>
      <c r="BH168" s="1"/>
    </row>
    <row r="169" spans="1:60" x14ac:dyDescent="0.3">
      <c r="A169" s="39" t="s">
        <v>19</v>
      </c>
      <c r="B169" s="39" t="s">
        <v>1185</v>
      </c>
      <c r="C169" s="39" t="s">
        <v>1187</v>
      </c>
      <c r="D169" s="39" t="s">
        <v>17</v>
      </c>
      <c r="E169" s="39" t="s">
        <v>819</v>
      </c>
      <c r="F169" s="40">
        <v>7025667531</v>
      </c>
      <c r="G169" s="41" t="s">
        <v>362</v>
      </c>
      <c r="H169" s="39" t="s">
        <v>363</v>
      </c>
      <c r="I169" s="58">
        <v>10485020</v>
      </c>
      <c r="J169" s="39" t="s">
        <v>20</v>
      </c>
      <c r="K169" s="39" t="s">
        <v>21</v>
      </c>
      <c r="L169" s="39" t="s">
        <v>22</v>
      </c>
      <c r="M169" s="39">
        <v>2024</v>
      </c>
      <c r="N169" s="39" t="s">
        <v>23</v>
      </c>
      <c r="O169" s="39" t="s">
        <v>1812</v>
      </c>
      <c r="P169" s="39">
        <v>2556809404</v>
      </c>
      <c r="Q169" s="39" t="s">
        <v>1693</v>
      </c>
      <c r="R169" s="124">
        <v>46240</v>
      </c>
      <c r="S169" s="124">
        <v>46387</v>
      </c>
      <c r="T169" s="58">
        <f ca="1">IF(Table2[[#This Row],[تاريخ نهاية التفويض]]="","",IFERROR(_xlfn.DAYS(Table2[[#This Row],[تاريخ نهاية التفويض]],TODAY()),""))</f>
        <v>127</v>
      </c>
      <c r="U169" s="42" t="s">
        <v>26</v>
      </c>
      <c r="V169" s="43">
        <v>46393</v>
      </c>
      <c r="W169" s="44">
        <f ca="1">IF(Table2[[#This Row],[تاريخ انتهاء التأمين]]="","",IFERROR(_xlfn.DAYS(Table2[[#This Row],[تاريخ انتهاء التأمين]],TODAY()),""))</f>
        <v>133</v>
      </c>
      <c r="X169" s="42" t="s">
        <v>27</v>
      </c>
      <c r="Y169" s="42" t="s">
        <v>28</v>
      </c>
      <c r="Z169" s="45">
        <v>1180</v>
      </c>
      <c r="AA169" s="46">
        <v>992886</v>
      </c>
      <c r="AB169" s="46" t="s">
        <v>1138</v>
      </c>
      <c r="AC169" s="46" t="s">
        <v>861</v>
      </c>
      <c r="AD169" s="46" t="s">
        <v>938</v>
      </c>
      <c r="AE169" s="47">
        <v>299</v>
      </c>
      <c r="AF169" s="114" t="s">
        <v>1137</v>
      </c>
      <c r="AG169" s="114" t="s">
        <v>1137</v>
      </c>
      <c r="AH169" s="114" t="s">
        <v>1137</v>
      </c>
      <c r="AI169" s="114" t="s">
        <v>1137</v>
      </c>
      <c r="AJ169" s="129" t="s">
        <v>1137</v>
      </c>
      <c r="AK169" s="129" t="s">
        <v>1137</v>
      </c>
      <c r="AL169" s="114" t="s">
        <v>1137</v>
      </c>
      <c r="AM169" s="129" t="s">
        <v>1137</v>
      </c>
      <c r="AN169" s="129" t="s">
        <v>1137</v>
      </c>
      <c r="AO169" s="80">
        <v>46405</v>
      </c>
      <c r="AP169" s="52">
        <f>Table2[[#This Row],[تاريخ انتهاء رخصة السير هجري]]</f>
        <v>46405</v>
      </c>
      <c r="AQ169" s="53">
        <f ca="1">IF(Table2[[#This Row],[تاريخ انتهاء رخصة السير ميلادي]]="","",IFERROR(_xlfn.DAYS(Table2[[#This Row],[تاريخ انتهاء رخصة السير ميلادي]],TODAY()),""))</f>
        <v>145</v>
      </c>
      <c r="AR169" s="55">
        <f>Table2[[#This Row],[تاريخ انتهاء الفحص ميلادي]]</f>
        <v>46022</v>
      </c>
      <c r="AS169" s="56">
        <v>46022</v>
      </c>
      <c r="AT169" s="106">
        <f ca="1">IF(Table2[[#This Row],[تاريخ انتهاء الفحص ميلادي]]="","",IFERROR(_xlfn.DAYS(Table2[[#This Row],[تاريخ انتهاء الفحص ميلادي]],TODAY()),""))</f>
        <v>-238</v>
      </c>
      <c r="AU169" s="54" t="s">
        <v>1501</v>
      </c>
      <c r="AV169" s="1"/>
      <c r="BE169" s="3"/>
      <c r="BH169" s="1"/>
    </row>
    <row r="170" spans="1:60" x14ac:dyDescent="0.3">
      <c r="A170" s="39" t="s">
        <v>19</v>
      </c>
      <c r="B170" s="39" t="s">
        <v>2000</v>
      </c>
      <c r="C170" s="39" t="s">
        <v>1187</v>
      </c>
      <c r="D170" s="39" t="s">
        <v>17</v>
      </c>
      <c r="E170" s="39" t="s">
        <v>819</v>
      </c>
      <c r="F170" s="40">
        <v>7025667531</v>
      </c>
      <c r="G170" s="41" t="s">
        <v>364</v>
      </c>
      <c r="H170" s="39" t="s">
        <v>365</v>
      </c>
      <c r="I170" s="58">
        <v>896244020</v>
      </c>
      <c r="J170" s="39" t="s">
        <v>20</v>
      </c>
      <c r="K170" s="39" t="s">
        <v>21</v>
      </c>
      <c r="L170" s="39" t="s">
        <v>22</v>
      </c>
      <c r="M170" s="39">
        <v>2024</v>
      </c>
      <c r="N170" s="39" t="s">
        <v>64</v>
      </c>
      <c r="O170" s="39" t="s">
        <v>1902</v>
      </c>
      <c r="P170" s="39">
        <v>2589063623</v>
      </c>
      <c r="Q170" s="39" t="s">
        <v>1694</v>
      </c>
      <c r="R170" s="124">
        <v>46218</v>
      </c>
      <c r="S170" s="124">
        <v>46387</v>
      </c>
      <c r="T170" s="58">
        <f ca="1">IF(Table2[[#This Row],[تاريخ نهاية التفويض]]="","",IFERROR(_xlfn.DAYS(Table2[[#This Row],[تاريخ نهاية التفويض]],TODAY()),""))</f>
        <v>127</v>
      </c>
      <c r="U170" s="42" t="s">
        <v>26</v>
      </c>
      <c r="V170" s="43">
        <v>46393</v>
      </c>
      <c r="W170" s="44">
        <f ca="1">IF(Table2[[#This Row],[تاريخ انتهاء التأمين]]="","",IFERROR(_xlfn.DAYS(Table2[[#This Row],[تاريخ انتهاء التأمين]],TODAY()),""))</f>
        <v>133</v>
      </c>
      <c r="X170" s="42" t="s">
        <v>27</v>
      </c>
      <c r="Y170" s="42" t="s">
        <v>28</v>
      </c>
      <c r="Z170" s="45">
        <v>1180</v>
      </c>
      <c r="AA170" s="46">
        <v>992887</v>
      </c>
      <c r="AB170" s="46" t="s">
        <v>1415</v>
      </c>
      <c r="AC170" s="46" t="s">
        <v>861</v>
      </c>
      <c r="AD170" s="46" t="s">
        <v>938</v>
      </c>
      <c r="AE170" s="47">
        <v>300</v>
      </c>
      <c r="AF170" s="114" t="s">
        <v>1137</v>
      </c>
      <c r="AG170" s="114" t="s">
        <v>1137</v>
      </c>
      <c r="AH170" s="114" t="s">
        <v>1137</v>
      </c>
      <c r="AI170" s="114" t="s">
        <v>1137</v>
      </c>
      <c r="AJ170" s="129" t="s">
        <v>1137</v>
      </c>
      <c r="AK170" s="129" t="s">
        <v>1137</v>
      </c>
      <c r="AL170" s="114" t="s">
        <v>1137</v>
      </c>
      <c r="AM170" s="129" t="s">
        <v>1137</v>
      </c>
      <c r="AN170" s="129" t="s">
        <v>1137</v>
      </c>
      <c r="AO170" s="80">
        <v>46351</v>
      </c>
      <c r="AP170" s="52">
        <f>Table2[[#This Row],[تاريخ انتهاء رخصة السير هجري]]</f>
        <v>46351</v>
      </c>
      <c r="AQ170" s="53">
        <f ca="1">IF(Table2[[#This Row],[تاريخ انتهاء رخصة السير ميلادي]]="","",IFERROR(_xlfn.DAYS(Table2[[#This Row],[تاريخ انتهاء رخصة السير ميلادي]],TODAY()),""))</f>
        <v>91</v>
      </c>
      <c r="AR170" s="55">
        <f>Table2[[#This Row],[تاريخ انتهاء الفحص ميلادي]]</f>
        <v>46022</v>
      </c>
      <c r="AS170" s="56">
        <v>46022</v>
      </c>
      <c r="AT170" s="106">
        <f ca="1">IF(Table2[[#This Row],[تاريخ انتهاء الفحص ميلادي]]="","",IFERROR(_xlfn.DAYS(Table2[[#This Row],[تاريخ انتهاء الفحص ميلادي]],TODAY()),""))</f>
        <v>-238</v>
      </c>
      <c r="AU170" s="54" t="s">
        <v>1501</v>
      </c>
      <c r="AV170" s="1"/>
      <c r="BE170" s="3"/>
      <c r="BH170" s="1"/>
    </row>
    <row r="171" spans="1:60" x14ac:dyDescent="0.3">
      <c r="A171" s="39" t="s">
        <v>19</v>
      </c>
      <c r="B171" s="39" t="s">
        <v>1193</v>
      </c>
      <c r="C171" s="39" t="s">
        <v>1193</v>
      </c>
      <c r="D171" s="39" t="s">
        <v>17</v>
      </c>
      <c r="E171" s="39" t="s">
        <v>819</v>
      </c>
      <c r="F171" s="40">
        <v>7025667531</v>
      </c>
      <c r="G171" s="41" t="s">
        <v>366</v>
      </c>
      <c r="H171" s="39" t="s">
        <v>367</v>
      </c>
      <c r="I171" s="58">
        <v>643144020</v>
      </c>
      <c r="J171" s="39" t="s">
        <v>20</v>
      </c>
      <c r="K171" s="39" t="s">
        <v>67</v>
      </c>
      <c r="L171" s="39" t="s">
        <v>22</v>
      </c>
      <c r="M171" s="39">
        <v>2024</v>
      </c>
      <c r="N171" s="39" t="s">
        <v>64</v>
      </c>
      <c r="O171" s="39" t="s">
        <v>1137</v>
      </c>
      <c r="P171" s="39" t="s">
        <v>1137</v>
      </c>
      <c r="Q171" s="39" t="s">
        <v>1137</v>
      </c>
      <c r="R171" s="124" t="s">
        <v>1137</v>
      </c>
      <c r="S171" s="124" t="s">
        <v>1137</v>
      </c>
      <c r="T171" s="124" t="s">
        <v>1137</v>
      </c>
      <c r="U171" s="42" t="s">
        <v>26</v>
      </c>
      <c r="V171" s="43">
        <v>46393</v>
      </c>
      <c r="W171" s="44">
        <f ca="1">IF(Table2[[#This Row],[تاريخ انتهاء التأمين]]="","",IFERROR(_xlfn.DAYS(Table2[[#This Row],[تاريخ انتهاء التأمين]],TODAY()),""))</f>
        <v>133</v>
      </c>
      <c r="X171" s="42" t="s">
        <v>27</v>
      </c>
      <c r="Y171" s="42" t="s">
        <v>28</v>
      </c>
      <c r="Z171" s="45">
        <v>1180</v>
      </c>
      <c r="AA171" s="46">
        <v>992888</v>
      </c>
      <c r="AB171" s="46" t="s">
        <v>1416</v>
      </c>
      <c r="AC171" s="46" t="s">
        <v>861</v>
      </c>
      <c r="AD171" s="46" t="s">
        <v>938</v>
      </c>
      <c r="AE171" s="47">
        <v>300</v>
      </c>
      <c r="AF171" s="114" t="s">
        <v>1137</v>
      </c>
      <c r="AG171" s="114" t="s">
        <v>1137</v>
      </c>
      <c r="AH171" s="114" t="s">
        <v>1137</v>
      </c>
      <c r="AI171" s="114" t="s">
        <v>1137</v>
      </c>
      <c r="AJ171" s="129" t="s">
        <v>1137</v>
      </c>
      <c r="AK171" s="129" t="s">
        <v>1137</v>
      </c>
      <c r="AL171" s="114" t="s">
        <v>1137</v>
      </c>
      <c r="AM171" s="129" t="s">
        <v>1137</v>
      </c>
      <c r="AN171" s="129" t="s">
        <v>1137</v>
      </c>
      <c r="AO171" s="80">
        <v>46351</v>
      </c>
      <c r="AP171" s="52">
        <f>Table2[[#This Row],[تاريخ انتهاء رخصة السير هجري]]</f>
        <v>46351</v>
      </c>
      <c r="AQ171" s="53">
        <f ca="1">IF(Table2[[#This Row],[تاريخ انتهاء رخصة السير ميلادي]]="","",IFERROR(_xlfn.DAYS(Table2[[#This Row],[تاريخ انتهاء رخصة السير ميلادي]],TODAY()),""))</f>
        <v>91</v>
      </c>
      <c r="AR171" s="55">
        <f>Table2[[#This Row],[تاريخ انتهاء الفحص ميلادي]]</f>
        <v>46022</v>
      </c>
      <c r="AS171" s="56">
        <v>46022</v>
      </c>
      <c r="AT171" s="106">
        <f ca="1">IF(Table2[[#This Row],[تاريخ انتهاء الفحص ميلادي]]="","",IFERROR(_xlfn.DAYS(Table2[[#This Row],[تاريخ انتهاء الفحص ميلادي]],TODAY()),""))</f>
        <v>-238</v>
      </c>
      <c r="AU171" s="54" t="s">
        <v>1501</v>
      </c>
      <c r="AV171" s="1"/>
      <c r="BE171" s="3"/>
      <c r="BH171" s="1"/>
    </row>
    <row r="172" spans="1:60" x14ac:dyDescent="0.3">
      <c r="A172" s="39" t="s">
        <v>19</v>
      </c>
      <c r="B172" s="39" t="s">
        <v>1185</v>
      </c>
      <c r="C172" s="39" t="s">
        <v>1187</v>
      </c>
      <c r="D172" s="39" t="s">
        <v>17</v>
      </c>
      <c r="E172" s="39" t="s">
        <v>819</v>
      </c>
      <c r="F172" s="40">
        <v>7025667531</v>
      </c>
      <c r="G172" s="41" t="s">
        <v>368</v>
      </c>
      <c r="H172" s="39" t="s">
        <v>369</v>
      </c>
      <c r="I172" s="58">
        <v>686244020</v>
      </c>
      <c r="J172" s="39" t="s">
        <v>20</v>
      </c>
      <c r="K172" s="39" t="s">
        <v>21</v>
      </c>
      <c r="L172" s="39" t="s">
        <v>22</v>
      </c>
      <c r="M172" s="39">
        <v>2024</v>
      </c>
      <c r="N172" s="39" t="s">
        <v>64</v>
      </c>
      <c r="O172" s="39" t="s">
        <v>1903</v>
      </c>
      <c r="P172" s="39">
        <v>2562203287</v>
      </c>
      <c r="Q172" s="39" t="s">
        <v>1695</v>
      </c>
      <c r="R172" s="124">
        <v>46242</v>
      </c>
      <c r="S172" s="124">
        <v>46387</v>
      </c>
      <c r="T172" s="58">
        <f ca="1">IF(Table2[[#This Row],[تاريخ نهاية التفويض]]="","",IFERROR(_xlfn.DAYS(Table2[[#This Row],[تاريخ نهاية التفويض]],TODAY()),""))</f>
        <v>127</v>
      </c>
      <c r="U172" s="42" t="s">
        <v>26</v>
      </c>
      <c r="V172" s="43">
        <v>46393</v>
      </c>
      <c r="W172" s="44">
        <f ca="1">IF(Table2[[#This Row],[تاريخ انتهاء التأمين]]="","",IFERROR(_xlfn.DAYS(Table2[[#This Row],[تاريخ انتهاء التأمين]],TODAY()),""))</f>
        <v>133</v>
      </c>
      <c r="X172" s="42" t="s">
        <v>27</v>
      </c>
      <c r="Y172" s="42" t="s">
        <v>28</v>
      </c>
      <c r="Z172" s="45">
        <v>1180</v>
      </c>
      <c r="AA172" s="46">
        <v>992890</v>
      </c>
      <c r="AB172" s="46" t="s">
        <v>1417</v>
      </c>
      <c r="AC172" s="46" t="s">
        <v>861</v>
      </c>
      <c r="AD172" s="46" t="s">
        <v>938</v>
      </c>
      <c r="AE172" s="47">
        <v>299</v>
      </c>
      <c r="AF172" s="114" t="s">
        <v>1137</v>
      </c>
      <c r="AG172" s="114" t="s">
        <v>1137</v>
      </c>
      <c r="AH172" s="114" t="s">
        <v>1137</v>
      </c>
      <c r="AI172" s="114" t="s">
        <v>1137</v>
      </c>
      <c r="AJ172" s="129" t="s">
        <v>1137</v>
      </c>
      <c r="AK172" s="129" t="s">
        <v>1137</v>
      </c>
      <c r="AL172" s="114" t="s">
        <v>1137</v>
      </c>
      <c r="AM172" s="129" t="s">
        <v>1137</v>
      </c>
      <c r="AN172" s="129" t="s">
        <v>1137</v>
      </c>
      <c r="AO172" s="80">
        <v>46351</v>
      </c>
      <c r="AP172" s="52">
        <f>Table2[[#This Row],[تاريخ انتهاء رخصة السير هجري]]</f>
        <v>46351</v>
      </c>
      <c r="AQ172" s="53">
        <f ca="1">IF(Table2[[#This Row],[تاريخ انتهاء رخصة السير ميلادي]]="","",IFERROR(_xlfn.DAYS(Table2[[#This Row],[تاريخ انتهاء رخصة السير ميلادي]],TODAY()),""))</f>
        <v>91</v>
      </c>
      <c r="AR172" s="55">
        <f>Table2[[#This Row],[تاريخ انتهاء الفحص ميلادي]]</f>
        <v>46022</v>
      </c>
      <c r="AS172" s="56">
        <v>46022</v>
      </c>
      <c r="AT172" s="106">
        <f ca="1">IF(Table2[[#This Row],[تاريخ انتهاء الفحص ميلادي]]="","",IFERROR(_xlfn.DAYS(Table2[[#This Row],[تاريخ انتهاء الفحص ميلادي]],TODAY()),""))</f>
        <v>-238</v>
      </c>
      <c r="AU172" s="54" t="s">
        <v>1501</v>
      </c>
      <c r="AV172" s="1"/>
      <c r="BE172" s="3"/>
      <c r="BH172" s="1"/>
    </row>
    <row r="173" spans="1:60" x14ac:dyDescent="0.3">
      <c r="A173" s="39" t="s">
        <v>19</v>
      </c>
      <c r="B173" s="39" t="s">
        <v>1193</v>
      </c>
      <c r="C173" s="39" t="s">
        <v>1193</v>
      </c>
      <c r="D173" s="39" t="s">
        <v>17</v>
      </c>
      <c r="E173" s="39" t="s">
        <v>819</v>
      </c>
      <c r="F173" s="40">
        <v>7025667531</v>
      </c>
      <c r="G173" s="41" t="s">
        <v>370</v>
      </c>
      <c r="H173" s="39" t="s">
        <v>371</v>
      </c>
      <c r="I173" s="58">
        <v>493927020</v>
      </c>
      <c r="J173" s="39" t="s">
        <v>20</v>
      </c>
      <c r="K173" s="39" t="s">
        <v>67</v>
      </c>
      <c r="L173" s="39" t="s">
        <v>22</v>
      </c>
      <c r="M173" s="39">
        <v>2024</v>
      </c>
      <c r="N173" s="39" t="s">
        <v>23</v>
      </c>
      <c r="O173" s="39" t="s">
        <v>1137</v>
      </c>
      <c r="P173" s="39" t="s">
        <v>1137</v>
      </c>
      <c r="Q173" s="39" t="s">
        <v>1137</v>
      </c>
      <c r="R173" s="124" t="s">
        <v>1137</v>
      </c>
      <c r="S173" s="124" t="s">
        <v>1137</v>
      </c>
      <c r="T173" s="124" t="s">
        <v>1137</v>
      </c>
      <c r="U173" s="42" t="s">
        <v>26</v>
      </c>
      <c r="V173" s="43">
        <v>46393</v>
      </c>
      <c r="W173" s="44">
        <f ca="1">IF(Table2[[#This Row],[تاريخ انتهاء التأمين]]="","",IFERROR(_xlfn.DAYS(Table2[[#This Row],[تاريخ انتهاء التأمين]],TODAY()),""))</f>
        <v>133</v>
      </c>
      <c r="X173" s="42" t="s">
        <v>27</v>
      </c>
      <c r="Y173" s="42" t="s">
        <v>28</v>
      </c>
      <c r="Z173" s="45">
        <v>1180</v>
      </c>
      <c r="AA173" s="46">
        <v>992891</v>
      </c>
      <c r="AB173" s="46" t="s">
        <v>1138</v>
      </c>
      <c r="AC173" s="46" t="s">
        <v>861</v>
      </c>
      <c r="AD173" s="46" t="s">
        <v>938</v>
      </c>
      <c r="AE173" s="47">
        <v>300</v>
      </c>
      <c r="AF173" s="114" t="s">
        <v>1137</v>
      </c>
      <c r="AG173" s="114" t="s">
        <v>1137</v>
      </c>
      <c r="AH173" s="114" t="s">
        <v>1137</v>
      </c>
      <c r="AI173" s="114" t="s">
        <v>1137</v>
      </c>
      <c r="AJ173" s="129" t="s">
        <v>1137</v>
      </c>
      <c r="AK173" s="129" t="s">
        <v>1137</v>
      </c>
      <c r="AL173" s="114" t="s">
        <v>1137</v>
      </c>
      <c r="AM173" s="129" t="s">
        <v>1137</v>
      </c>
      <c r="AN173" s="129" t="s">
        <v>1137</v>
      </c>
      <c r="AO173" s="80">
        <v>46466</v>
      </c>
      <c r="AP173" s="52">
        <f>Table2[[#This Row],[تاريخ انتهاء رخصة السير هجري]]</f>
        <v>46466</v>
      </c>
      <c r="AQ173" s="53">
        <f ca="1">IF(Table2[[#This Row],[تاريخ انتهاء رخصة السير ميلادي]]="","",IFERROR(_xlfn.DAYS(Table2[[#This Row],[تاريخ انتهاء رخصة السير ميلادي]],TODAY()),""))</f>
        <v>206</v>
      </c>
      <c r="AR173" s="55">
        <f>Table2[[#This Row],[تاريخ انتهاء الفحص ميلادي]]</f>
        <v>46022</v>
      </c>
      <c r="AS173" s="56">
        <v>46022</v>
      </c>
      <c r="AT173" s="106">
        <f ca="1">IF(Table2[[#This Row],[تاريخ انتهاء الفحص ميلادي]]="","",IFERROR(_xlfn.DAYS(Table2[[#This Row],[تاريخ انتهاء الفحص ميلادي]],TODAY()),""))</f>
        <v>-238</v>
      </c>
      <c r="AU173" s="54" t="s">
        <v>1501</v>
      </c>
      <c r="AV173" s="1"/>
      <c r="BE173" s="3"/>
      <c r="BH173" s="1"/>
    </row>
    <row r="174" spans="1:60" x14ac:dyDescent="0.3">
      <c r="A174" s="39" t="s">
        <v>19</v>
      </c>
      <c r="B174" s="39" t="s">
        <v>1193</v>
      </c>
      <c r="C174" s="39" t="s">
        <v>1193</v>
      </c>
      <c r="D174" s="39" t="s">
        <v>17</v>
      </c>
      <c r="E174" s="39" t="s">
        <v>819</v>
      </c>
      <c r="F174" s="40">
        <v>7025667531</v>
      </c>
      <c r="G174" s="41" t="s">
        <v>372</v>
      </c>
      <c r="H174" s="39" t="s">
        <v>373</v>
      </c>
      <c r="I174" s="58">
        <v>755927020</v>
      </c>
      <c r="J174" s="39" t="s">
        <v>20</v>
      </c>
      <c r="K174" s="39" t="s">
        <v>67</v>
      </c>
      <c r="L174" s="39" t="s">
        <v>22</v>
      </c>
      <c r="M174" s="39">
        <v>2024</v>
      </c>
      <c r="N174" s="39" t="s">
        <v>64</v>
      </c>
      <c r="O174" s="39" t="s">
        <v>1137</v>
      </c>
      <c r="P174" s="39" t="s">
        <v>1137</v>
      </c>
      <c r="Q174" s="39" t="s">
        <v>1137</v>
      </c>
      <c r="R174" s="124" t="s">
        <v>1137</v>
      </c>
      <c r="S174" s="124" t="s">
        <v>1137</v>
      </c>
      <c r="T174" s="124" t="s">
        <v>1137</v>
      </c>
      <c r="U174" s="42" t="s">
        <v>26</v>
      </c>
      <c r="V174" s="43">
        <v>46393</v>
      </c>
      <c r="W174" s="44">
        <f ca="1">IF(Table2[[#This Row],[تاريخ انتهاء التأمين]]="","",IFERROR(_xlfn.DAYS(Table2[[#This Row],[تاريخ انتهاء التأمين]],TODAY()),""))</f>
        <v>133</v>
      </c>
      <c r="X174" s="42" t="s">
        <v>27</v>
      </c>
      <c r="Y174" s="42" t="s">
        <v>28</v>
      </c>
      <c r="Z174" s="45">
        <v>1180</v>
      </c>
      <c r="AA174" s="46">
        <v>992892</v>
      </c>
      <c r="AB174" s="46" t="s">
        <v>1138</v>
      </c>
      <c r="AC174" s="46" t="s">
        <v>861</v>
      </c>
      <c r="AD174" s="46" t="s">
        <v>938</v>
      </c>
      <c r="AE174" s="47">
        <v>300</v>
      </c>
      <c r="AF174" s="114" t="s">
        <v>1137</v>
      </c>
      <c r="AG174" s="114" t="s">
        <v>1137</v>
      </c>
      <c r="AH174" s="114" t="s">
        <v>1137</v>
      </c>
      <c r="AI174" s="114" t="s">
        <v>1137</v>
      </c>
      <c r="AJ174" s="129" t="s">
        <v>1137</v>
      </c>
      <c r="AK174" s="129" t="s">
        <v>1137</v>
      </c>
      <c r="AL174" s="114" t="s">
        <v>1137</v>
      </c>
      <c r="AM174" s="129" t="s">
        <v>1137</v>
      </c>
      <c r="AN174" s="129" t="s">
        <v>1137</v>
      </c>
      <c r="AO174" s="80">
        <v>46466</v>
      </c>
      <c r="AP174" s="52">
        <f>Table2[[#This Row],[تاريخ انتهاء رخصة السير هجري]]</f>
        <v>46466</v>
      </c>
      <c r="AQ174" s="53">
        <f ca="1">IF(Table2[[#This Row],[تاريخ انتهاء رخصة السير ميلادي]]="","",IFERROR(_xlfn.DAYS(Table2[[#This Row],[تاريخ انتهاء رخصة السير ميلادي]],TODAY()),""))</f>
        <v>206</v>
      </c>
      <c r="AR174" s="55">
        <f>Table2[[#This Row],[تاريخ انتهاء الفحص ميلادي]]</f>
        <v>46022</v>
      </c>
      <c r="AS174" s="56">
        <v>46022</v>
      </c>
      <c r="AT174" s="106">
        <f ca="1">IF(Table2[[#This Row],[تاريخ انتهاء الفحص ميلادي]]="","",IFERROR(_xlfn.DAYS(Table2[[#This Row],[تاريخ انتهاء الفحص ميلادي]],TODAY()),""))</f>
        <v>-238</v>
      </c>
      <c r="AU174" s="54" t="s">
        <v>1501</v>
      </c>
      <c r="AV174" s="1"/>
      <c r="BE174" s="3"/>
      <c r="BH174" s="1"/>
    </row>
    <row r="175" spans="1:60" x14ac:dyDescent="0.3">
      <c r="A175" s="39" t="s">
        <v>19</v>
      </c>
      <c r="B175" s="39" t="s">
        <v>1193</v>
      </c>
      <c r="C175" s="39" t="s">
        <v>1193</v>
      </c>
      <c r="D175" s="39" t="s">
        <v>17</v>
      </c>
      <c r="E175" s="39" t="s">
        <v>819</v>
      </c>
      <c r="F175" s="40">
        <v>7025667531</v>
      </c>
      <c r="G175" s="41" t="s">
        <v>374</v>
      </c>
      <c r="H175" s="39" t="s">
        <v>375</v>
      </c>
      <c r="I175" s="58">
        <v>366785020</v>
      </c>
      <c r="J175" s="39" t="s">
        <v>20</v>
      </c>
      <c r="K175" s="39" t="s">
        <v>21</v>
      </c>
      <c r="L175" s="39" t="s">
        <v>22</v>
      </c>
      <c r="M175" s="39">
        <v>2024</v>
      </c>
      <c r="N175" s="39" t="s">
        <v>64</v>
      </c>
      <c r="O175" s="39" t="s">
        <v>1137</v>
      </c>
      <c r="P175" s="39" t="s">
        <v>1137</v>
      </c>
      <c r="Q175" s="39" t="s">
        <v>1137</v>
      </c>
      <c r="R175" s="124" t="s">
        <v>1137</v>
      </c>
      <c r="S175" s="124" t="s">
        <v>1137</v>
      </c>
      <c r="T175" s="124" t="s">
        <v>1137</v>
      </c>
      <c r="U175" s="42" t="s">
        <v>26</v>
      </c>
      <c r="V175" s="43">
        <v>46393</v>
      </c>
      <c r="W175" s="44">
        <f ca="1">IF(Table2[[#This Row],[تاريخ انتهاء التأمين]]="","",IFERROR(_xlfn.DAYS(Table2[[#This Row],[تاريخ انتهاء التأمين]],TODAY()),""))</f>
        <v>133</v>
      </c>
      <c r="X175" s="42" t="s">
        <v>27</v>
      </c>
      <c r="Y175" s="42" t="s">
        <v>28</v>
      </c>
      <c r="Z175" s="45">
        <v>1180</v>
      </c>
      <c r="AA175" s="46">
        <v>992893</v>
      </c>
      <c r="AB175" s="46" t="s">
        <v>1418</v>
      </c>
      <c r="AC175" s="46" t="s">
        <v>861</v>
      </c>
      <c r="AD175" s="46" t="s">
        <v>938</v>
      </c>
      <c r="AE175" s="47">
        <v>299</v>
      </c>
      <c r="AF175" s="114" t="s">
        <v>1137</v>
      </c>
      <c r="AG175" s="114" t="s">
        <v>1137</v>
      </c>
      <c r="AH175" s="114" t="s">
        <v>1137</v>
      </c>
      <c r="AI175" s="114" t="s">
        <v>1137</v>
      </c>
      <c r="AJ175" s="129" t="s">
        <v>1137</v>
      </c>
      <c r="AK175" s="129" t="s">
        <v>1137</v>
      </c>
      <c r="AL175" s="114" t="s">
        <v>1137</v>
      </c>
      <c r="AM175" s="129" t="s">
        <v>1137</v>
      </c>
      <c r="AN175" s="129" t="s">
        <v>1137</v>
      </c>
      <c r="AO175" s="80">
        <v>46406</v>
      </c>
      <c r="AP175" s="52">
        <f>Table2[[#This Row],[تاريخ انتهاء رخصة السير هجري]]</f>
        <v>46406</v>
      </c>
      <c r="AQ175" s="53">
        <f ca="1">IF(Table2[[#This Row],[تاريخ انتهاء رخصة السير ميلادي]]="","",IFERROR(_xlfn.DAYS(Table2[[#This Row],[تاريخ انتهاء رخصة السير ميلادي]],TODAY()),""))</f>
        <v>146</v>
      </c>
      <c r="AR175" s="55">
        <f>Table2[[#This Row],[تاريخ انتهاء الفحص ميلادي]]</f>
        <v>46022</v>
      </c>
      <c r="AS175" s="56">
        <v>46022</v>
      </c>
      <c r="AT175" s="106">
        <f ca="1">IF(Table2[[#This Row],[تاريخ انتهاء الفحص ميلادي]]="","",IFERROR(_xlfn.DAYS(Table2[[#This Row],[تاريخ انتهاء الفحص ميلادي]],TODAY()),""))</f>
        <v>-238</v>
      </c>
      <c r="AU175" s="54" t="s">
        <v>1501</v>
      </c>
      <c r="AV175" s="1"/>
      <c r="BE175" s="3"/>
      <c r="BH175" s="1"/>
    </row>
    <row r="176" spans="1:60" x14ac:dyDescent="0.3">
      <c r="A176" s="39" t="s">
        <v>19</v>
      </c>
      <c r="B176" s="39" t="s">
        <v>1185</v>
      </c>
      <c r="C176" s="39" t="s">
        <v>1187</v>
      </c>
      <c r="D176" s="39" t="s">
        <v>17</v>
      </c>
      <c r="E176" s="39" t="s">
        <v>819</v>
      </c>
      <c r="F176" s="40">
        <v>7025667531</v>
      </c>
      <c r="G176" s="41" t="s">
        <v>376</v>
      </c>
      <c r="H176" s="39" t="s">
        <v>377</v>
      </c>
      <c r="I176" s="58">
        <v>524927020</v>
      </c>
      <c r="J176" s="39" t="s">
        <v>20</v>
      </c>
      <c r="K176" s="39" t="s">
        <v>67</v>
      </c>
      <c r="L176" s="39" t="s">
        <v>22</v>
      </c>
      <c r="M176" s="39">
        <v>2024</v>
      </c>
      <c r="N176" s="39" t="s">
        <v>23</v>
      </c>
      <c r="O176" s="39" t="s">
        <v>1847</v>
      </c>
      <c r="P176" s="39">
        <v>2559107137</v>
      </c>
      <c r="Q176" s="39" t="s">
        <v>1696</v>
      </c>
      <c r="R176" s="124">
        <v>46241</v>
      </c>
      <c r="S176" s="124">
        <v>46387</v>
      </c>
      <c r="T176" s="58">
        <f ca="1">IF(Table2[[#This Row],[تاريخ نهاية التفويض]]="","",IFERROR(_xlfn.DAYS(Table2[[#This Row],[تاريخ نهاية التفويض]],TODAY()),""))</f>
        <v>127</v>
      </c>
      <c r="U176" s="42" t="s">
        <v>26</v>
      </c>
      <c r="V176" s="43">
        <v>46393</v>
      </c>
      <c r="W176" s="44">
        <f ca="1">IF(Table2[[#This Row],[تاريخ انتهاء التأمين]]="","",IFERROR(_xlfn.DAYS(Table2[[#This Row],[تاريخ انتهاء التأمين]],TODAY()),""))</f>
        <v>133</v>
      </c>
      <c r="X176" s="42" t="s">
        <v>27</v>
      </c>
      <c r="Y176" s="42" t="s">
        <v>28</v>
      </c>
      <c r="Z176" s="45">
        <v>1180</v>
      </c>
      <c r="AA176" s="46">
        <v>992894</v>
      </c>
      <c r="AB176" s="46" t="s">
        <v>1419</v>
      </c>
      <c r="AC176" s="46" t="s">
        <v>861</v>
      </c>
      <c r="AD176" s="46" t="s">
        <v>938</v>
      </c>
      <c r="AE176" s="47">
        <v>300</v>
      </c>
      <c r="AF176" s="114" t="s">
        <v>1137</v>
      </c>
      <c r="AG176" s="114" t="s">
        <v>1137</v>
      </c>
      <c r="AH176" s="114" t="s">
        <v>1137</v>
      </c>
      <c r="AI176" s="114" t="s">
        <v>1137</v>
      </c>
      <c r="AJ176" s="129" t="s">
        <v>1137</v>
      </c>
      <c r="AK176" s="129" t="s">
        <v>1137</v>
      </c>
      <c r="AL176" s="114" t="s">
        <v>1137</v>
      </c>
      <c r="AM176" s="129" t="s">
        <v>1137</v>
      </c>
      <c r="AN176" s="129" t="s">
        <v>1137</v>
      </c>
      <c r="AO176" s="80">
        <v>46466</v>
      </c>
      <c r="AP176" s="52">
        <f>Table2[[#This Row],[تاريخ انتهاء رخصة السير هجري]]</f>
        <v>46466</v>
      </c>
      <c r="AQ176" s="53">
        <f ca="1">IF(Table2[[#This Row],[تاريخ انتهاء رخصة السير ميلادي]]="","",IFERROR(_xlfn.DAYS(Table2[[#This Row],[تاريخ انتهاء رخصة السير ميلادي]],TODAY()),""))</f>
        <v>206</v>
      </c>
      <c r="AR176" s="55">
        <f>Table2[[#This Row],[تاريخ انتهاء الفحص ميلادي]]</f>
        <v>46022</v>
      </c>
      <c r="AS176" s="56">
        <v>46022</v>
      </c>
      <c r="AT176" s="106">
        <f ca="1">IF(Table2[[#This Row],[تاريخ انتهاء الفحص ميلادي]]="","",IFERROR(_xlfn.DAYS(Table2[[#This Row],[تاريخ انتهاء الفحص ميلادي]],TODAY()),""))</f>
        <v>-238</v>
      </c>
      <c r="AU176" s="54" t="s">
        <v>1501</v>
      </c>
      <c r="AV176" s="1"/>
      <c r="BE176" s="3"/>
      <c r="BH176" s="1"/>
    </row>
    <row r="177" spans="1:60" x14ac:dyDescent="0.3">
      <c r="A177" s="39" t="s">
        <v>19</v>
      </c>
      <c r="B177" s="39" t="s">
        <v>1185</v>
      </c>
      <c r="C177" s="39" t="s">
        <v>1187</v>
      </c>
      <c r="D177" s="39" t="s">
        <v>17</v>
      </c>
      <c r="E177" s="39" t="s">
        <v>819</v>
      </c>
      <c r="F177" s="40">
        <v>7025667531</v>
      </c>
      <c r="G177" s="41" t="s">
        <v>378</v>
      </c>
      <c r="H177" s="39" t="s">
        <v>379</v>
      </c>
      <c r="I177" s="58">
        <v>852144020</v>
      </c>
      <c r="J177" s="39" t="s">
        <v>20</v>
      </c>
      <c r="K177" s="39" t="s">
        <v>67</v>
      </c>
      <c r="L177" s="39" t="s">
        <v>22</v>
      </c>
      <c r="M177" s="39">
        <v>2024</v>
      </c>
      <c r="N177" s="39" t="s">
        <v>64</v>
      </c>
      <c r="O177" s="39" t="s">
        <v>1904</v>
      </c>
      <c r="P177" s="39">
        <v>2560703817</v>
      </c>
      <c r="Q177" s="39" t="s">
        <v>1697</v>
      </c>
      <c r="R177" s="124">
        <v>46242</v>
      </c>
      <c r="S177" s="124">
        <v>46387</v>
      </c>
      <c r="T177" s="58">
        <f ca="1">IF(Table2[[#This Row],[تاريخ نهاية التفويض]]="","",IFERROR(_xlfn.DAYS(Table2[[#This Row],[تاريخ نهاية التفويض]],TODAY()),""))</f>
        <v>127</v>
      </c>
      <c r="U177" s="42" t="s">
        <v>26</v>
      </c>
      <c r="V177" s="43">
        <v>46393</v>
      </c>
      <c r="W177" s="44">
        <f ca="1">IF(Table2[[#This Row],[تاريخ انتهاء التأمين]]="","",IFERROR(_xlfn.DAYS(Table2[[#This Row],[تاريخ انتهاء التأمين]],TODAY()),""))</f>
        <v>133</v>
      </c>
      <c r="X177" s="42" t="s">
        <v>27</v>
      </c>
      <c r="Y177" s="42" t="s">
        <v>28</v>
      </c>
      <c r="Z177" s="45">
        <v>1180</v>
      </c>
      <c r="AA177" s="46">
        <v>992895</v>
      </c>
      <c r="AB177" s="46" t="s">
        <v>1420</v>
      </c>
      <c r="AC177" s="46" t="s">
        <v>861</v>
      </c>
      <c r="AD177" s="46" t="s">
        <v>938</v>
      </c>
      <c r="AE177" s="47">
        <v>299</v>
      </c>
      <c r="AF177" s="114" t="s">
        <v>1137</v>
      </c>
      <c r="AG177" s="114" t="s">
        <v>1137</v>
      </c>
      <c r="AH177" s="114" t="s">
        <v>1137</v>
      </c>
      <c r="AI177" s="114" t="s">
        <v>1137</v>
      </c>
      <c r="AJ177" s="129" t="s">
        <v>1137</v>
      </c>
      <c r="AK177" s="129" t="s">
        <v>1137</v>
      </c>
      <c r="AL177" s="114" t="s">
        <v>1137</v>
      </c>
      <c r="AM177" s="129" t="s">
        <v>1137</v>
      </c>
      <c r="AN177" s="129" t="s">
        <v>1137</v>
      </c>
      <c r="AO177" s="80">
        <v>46351</v>
      </c>
      <c r="AP177" s="52">
        <f>Table2[[#This Row],[تاريخ انتهاء رخصة السير هجري]]</f>
        <v>46351</v>
      </c>
      <c r="AQ177" s="53">
        <f ca="1">IF(Table2[[#This Row],[تاريخ انتهاء رخصة السير ميلادي]]="","",IFERROR(_xlfn.DAYS(Table2[[#This Row],[تاريخ انتهاء رخصة السير ميلادي]],TODAY()),""))</f>
        <v>91</v>
      </c>
      <c r="AR177" s="55">
        <f>Table2[[#This Row],[تاريخ انتهاء الفحص ميلادي]]</f>
        <v>46022</v>
      </c>
      <c r="AS177" s="56">
        <v>46022</v>
      </c>
      <c r="AT177" s="106">
        <f ca="1">IF(Table2[[#This Row],[تاريخ انتهاء الفحص ميلادي]]="","",IFERROR(_xlfn.DAYS(Table2[[#This Row],[تاريخ انتهاء الفحص ميلادي]],TODAY()),""))</f>
        <v>-238</v>
      </c>
      <c r="AU177" s="54" t="s">
        <v>1501</v>
      </c>
      <c r="AV177" s="1"/>
      <c r="BE177" s="3"/>
      <c r="BH177" s="1"/>
    </row>
    <row r="178" spans="1:60" x14ac:dyDescent="0.3">
      <c r="A178" s="39" t="s">
        <v>19</v>
      </c>
      <c r="B178" s="39" t="s">
        <v>1185</v>
      </c>
      <c r="C178" s="39" t="s">
        <v>1187</v>
      </c>
      <c r="D178" s="39" t="s">
        <v>17</v>
      </c>
      <c r="E178" s="39" t="s">
        <v>819</v>
      </c>
      <c r="F178" s="40">
        <v>7025667531</v>
      </c>
      <c r="G178" s="41" t="s">
        <v>380</v>
      </c>
      <c r="H178" s="39" t="s">
        <v>381</v>
      </c>
      <c r="I178" s="58">
        <v>324456120</v>
      </c>
      <c r="J178" s="39" t="s">
        <v>20</v>
      </c>
      <c r="K178" s="39" t="s">
        <v>21</v>
      </c>
      <c r="L178" s="39" t="s">
        <v>22</v>
      </c>
      <c r="M178" s="39">
        <v>2025</v>
      </c>
      <c r="N178" s="39" t="s">
        <v>64</v>
      </c>
      <c r="O178" s="39" t="s">
        <v>1905</v>
      </c>
      <c r="P178" s="39">
        <v>2558834301</v>
      </c>
      <c r="Q178" s="39" t="s">
        <v>1698</v>
      </c>
      <c r="R178" s="124">
        <v>46243</v>
      </c>
      <c r="S178" s="124">
        <v>46387</v>
      </c>
      <c r="T178" s="58">
        <f ca="1">IF(Table2[[#This Row],[تاريخ نهاية التفويض]]="","",IFERROR(_xlfn.DAYS(Table2[[#This Row],[تاريخ نهاية التفويض]],TODAY()),""))</f>
        <v>127</v>
      </c>
      <c r="U178" s="42" t="s">
        <v>26</v>
      </c>
      <c r="V178" s="43">
        <v>46393</v>
      </c>
      <c r="W178" s="44">
        <f ca="1">IF(Table2[[#This Row],[تاريخ انتهاء التأمين]]="","",IFERROR(_xlfn.DAYS(Table2[[#This Row],[تاريخ انتهاء التأمين]],TODAY()),""))</f>
        <v>133</v>
      </c>
      <c r="X178" s="42" t="s">
        <v>27</v>
      </c>
      <c r="Y178" s="42" t="s">
        <v>28</v>
      </c>
      <c r="Z178" s="45">
        <v>1180</v>
      </c>
      <c r="AA178" s="46">
        <v>992826</v>
      </c>
      <c r="AB178" s="46" t="s">
        <v>1421</v>
      </c>
      <c r="AC178" s="46" t="s">
        <v>861</v>
      </c>
      <c r="AD178" s="46" t="s">
        <v>938</v>
      </c>
      <c r="AE178" s="47">
        <v>300</v>
      </c>
      <c r="AF178" s="114" t="s">
        <v>1137</v>
      </c>
      <c r="AG178" s="114" t="s">
        <v>1137</v>
      </c>
      <c r="AH178" s="114" t="s">
        <v>1137</v>
      </c>
      <c r="AI178" s="114" t="s">
        <v>1137</v>
      </c>
      <c r="AJ178" s="129" t="s">
        <v>1137</v>
      </c>
      <c r="AK178" s="129" t="s">
        <v>1137</v>
      </c>
      <c r="AL178" s="114" t="s">
        <v>1137</v>
      </c>
      <c r="AM178" s="129" t="s">
        <v>1137</v>
      </c>
      <c r="AN178" s="129" t="s">
        <v>1137</v>
      </c>
      <c r="AO178" s="80">
        <v>46762</v>
      </c>
      <c r="AP178" s="52">
        <f>Table2[[#This Row],[تاريخ انتهاء رخصة السير هجري]]</f>
        <v>46762</v>
      </c>
      <c r="AQ178" s="53">
        <f ca="1">IF(Table2[[#This Row],[تاريخ انتهاء رخصة السير ميلادي]]="","",IFERROR(_xlfn.DAYS(Table2[[#This Row],[تاريخ انتهاء رخصة السير ميلادي]],TODAY()),""))</f>
        <v>502</v>
      </c>
      <c r="AR178" s="55">
        <f>Table2[[#This Row],[تاريخ انتهاء الفحص ميلادي]]</f>
        <v>46387</v>
      </c>
      <c r="AS178" s="56">
        <v>46387</v>
      </c>
      <c r="AT178" s="106">
        <f ca="1">IF(Table2[[#This Row],[تاريخ انتهاء الفحص ميلادي]]="","",IFERROR(_xlfn.DAYS(Table2[[#This Row],[تاريخ انتهاء الفحص ميلادي]],TODAY()),""))</f>
        <v>127</v>
      </c>
      <c r="AU178" s="54" t="s">
        <v>1501</v>
      </c>
      <c r="AV178" s="1"/>
      <c r="BE178" s="3"/>
      <c r="BH178" s="1"/>
    </row>
    <row r="179" spans="1:60" x14ac:dyDescent="0.3">
      <c r="A179" s="39" t="s">
        <v>19</v>
      </c>
      <c r="B179" s="39" t="s">
        <v>1185</v>
      </c>
      <c r="C179" s="39" t="s">
        <v>1187</v>
      </c>
      <c r="D179" s="39" t="s">
        <v>17</v>
      </c>
      <c r="E179" s="39" t="s">
        <v>819</v>
      </c>
      <c r="F179" s="40">
        <v>7025667531</v>
      </c>
      <c r="G179" s="41" t="s">
        <v>382</v>
      </c>
      <c r="H179" s="39" t="s">
        <v>383</v>
      </c>
      <c r="I179" s="58">
        <v>317456120</v>
      </c>
      <c r="J179" s="39" t="s">
        <v>20</v>
      </c>
      <c r="K179" s="39" t="s">
        <v>21</v>
      </c>
      <c r="L179" s="39" t="s">
        <v>22</v>
      </c>
      <c r="M179" s="39">
        <v>2025</v>
      </c>
      <c r="N179" s="39" t="s">
        <v>64</v>
      </c>
      <c r="O179" s="39" t="s">
        <v>1906</v>
      </c>
      <c r="P179" s="39">
        <v>2586780997</v>
      </c>
      <c r="Q179" s="39" t="s">
        <v>1699</v>
      </c>
      <c r="R179" s="124">
        <v>46243</v>
      </c>
      <c r="S179" s="124">
        <v>46387</v>
      </c>
      <c r="T179" s="58">
        <f ca="1">IF(Table2[[#This Row],[تاريخ نهاية التفويض]]="","",IFERROR(_xlfn.DAYS(Table2[[#This Row],[تاريخ نهاية التفويض]],TODAY()),""))</f>
        <v>127</v>
      </c>
      <c r="U179" s="42" t="s">
        <v>26</v>
      </c>
      <c r="V179" s="43">
        <v>46393</v>
      </c>
      <c r="W179" s="44">
        <f ca="1">IF(Table2[[#This Row],[تاريخ انتهاء التأمين]]="","",IFERROR(_xlfn.DAYS(Table2[[#This Row],[تاريخ انتهاء التأمين]],TODAY()),""))</f>
        <v>133</v>
      </c>
      <c r="X179" s="42" t="s">
        <v>27</v>
      </c>
      <c r="Y179" s="42" t="s">
        <v>28</v>
      </c>
      <c r="Z179" s="45">
        <v>1180</v>
      </c>
      <c r="AA179" s="46">
        <v>992828</v>
      </c>
      <c r="AB179" s="46" t="s">
        <v>1422</v>
      </c>
      <c r="AC179" s="46" t="s">
        <v>861</v>
      </c>
      <c r="AD179" s="46" t="s">
        <v>938</v>
      </c>
      <c r="AE179" s="47">
        <v>300</v>
      </c>
      <c r="AF179" s="114" t="s">
        <v>1137</v>
      </c>
      <c r="AG179" s="114" t="s">
        <v>1137</v>
      </c>
      <c r="AH179" s="114" t="s">
        <v>1137</v>
      </c>
      <c r="AI179" s="114" t="s">
        <v>1137</v>
      </c>
      <c r="AJ179" s="129" t="s">
        <v>1137</v>
      </c>
      <c r="AK179" s="129" t="s">
        <v>1137</v>
      </c>
      <c r="AL179" s="114" t="s">
        <v>1137</v>
      </c>
      <c r="AM179" s="129" t="s">
        <v>1137</v>
      </c>
      <c r="AN179" s="129" t="s">
        <v>1137</v>
      </c>
      <c r="AO179" s="80">
        <v>46762</v>
      </c>
      <c r="AP179" s="52">
        <f>Table2[[#This Row],[تاريخ انتهاء رخصة السير هجري]]</f>
        <v>46762</v>
      </c>
      <c r="AQ179" s="53">
        <f ca="1">IF(Table2[[#This Row],[تاريخ انتهاء رخصة السير ميلادي]]="","",IFERROR(_xlfn.DAYS(Table2[[#This Row],[تاريخ انتهاء رخصة السير ميلادي]],TODAY()),""))</f>
        <v>502</v>
      </c>
      <c r="AR179" s="55">
        <f>Table2[[#This Row],[تاريخ انتهاء الفحص ميلادي]]</f>
        <v>46387</v>
      </c>
      <c r="AS179" s="56">
        <v>46387</v>
      </c>
      <c r="AT179" s="106">
        <f ca="1">IF(Table2[[#This Row],[تاريخ انتهاء الفحص ميلادي]]="","",IFERROR(_xlfn.DAYS(Table2[[#This Row],[تاريخ انتهاء الفحص ميلادي]],TODAY()),""))</f>
        <v>127</v>
      </c>
      <c r="AU179" s="54" t="s">
        <v>1501</v>
      </c>
      <c r="AV179" s="1"/>
      <c r="BE179" s="3"/>
      <c r="BH179" s="1"/>
    </row>
    <row r="180" spans="1:60" x14ac:dyDescent="0.3">
      <c r="A180" s="39" t="s">
        <v>19</v>
      </c>
      <c r="B180" s="39" t="s">
        <v>2000</v>
      </c>
      <c r="C180" s="39" t="s">
        <v>1187</v>
      </c>
      <c r="D180" s="39" t="s">
        <v>17</v>
      </c>
      <c r="E180" s="39" t="s">
        <v>819</v>
      </c>
      <c r="F180" s="40">
        <v>7025667531</v>
      </c>
      <c r="G180" s="41" t="s">
        <v>384</v>
      </c>
      <c r="H180" s="39" t="s">
        <v>385</v>
      </c>
      <c r="I180" s="58">
        <v>837456120</v>
      </c>
      <c r="J180" s="39" t="s">
        <v>20</v>
      </c>
      <c r="K180" s="39" t="s">
        <v>21</v>
      </c>
      <c r="L180" s="39" t="s">
        <v>22</v>
      </c>
      <c r="M180" s="39">
        <v>2025</v>
      </c>
      <c r="N180" s="39" t="s">
        <v>64</v>
      </c>
      <c r="O180" s="39" t="s">
        <v>1907</v>
      </c>
      <c r="P180" s="39">
        <v>2556808885</v>
      </c>
      <c r="Q180" s="39" t="s">
        <v>1700</v>
      </c>
      <c r="R180" s="124">
        <v>46225</v>
      </c>
      <c r="S180" s="124">
        <v>46387</v>
      </c>
      <c r="T180" s="58">
        <f ca="1">IF(Table2[[#This Row],[تاريخ نهاية التفويض]]="","",IFERROR(_xlfn.DAYS(Table2[[#This Row],[تاريخ نهاية التفويض]],TODAY()),""))</f>
        <v>127</v>
      </c>
      <c r="U180" s="42" t="s">
        <v>26</v>
      </c>
      <c r="V180" s="43">
        <v>46393</v>
      </c>
      <c r="W180" s="44">
        <f ca="1">IF(Table2[[#This Row],[تاريخ انتهاء التأمين]]="","",IFERROR(_xlfn.DAYS(Table2[[#This Row],[تاريخ انتهاء التأمين]],TODAY()),""))</f>
        <v>133</v>
      </c>
      <c r="X180" s="42" t="s">
        <v>27</v>
      </c>
      <c r="Y180" s="42" t="s">
        <v>28</v>
      </c>
      <c r="Z180" s="45">
        <v>1180</v>
      </c>
      <c r="AA180" s="46">
        <v>992830</v>
      </c>
      <c r="AB180" s="46" t="s">
        <v>1423</v>
      </c>
      <c r="AC180" s="46" t="s">
        <v>861</v>
      </c>
      <c r="AD180" s="46" t="s">
        <v>938</v>
      </c>
      <c r="AE180" s="47">
        <v>300</v>
      </c>
      <c r="AF180" s="114" t="s">
        <v>1137</v>
      </c>
      <c r="AG180" s="114" t="s">
        <v>1137</v>
      </c>
      <c r="AH180" s="114" t="s">
        <v>1137</v>
      </c>
      <c r="AI180" s="114" t="s">
        <v>1137</v>
      </c>
      <c r="AJ180" s="129" t="s">
        <v>1137</v>
      </c>
      <c r="AK180" s="129" t="s">
        <v>1137</v>
      </c>
      <c r="AL180" s="114" t="s">
        <v>1137</v>
      </c>
      <c r="AM180" s="129" t="s">
        <v>1137</v>
      </c>
      <c r="AN180" s="129" t="s">
        <v>1137</v>
      </c>
      <c r="AO180" s="80">
        <v>46762</v>
      </c>
      <c r="AP180" s="52">
        <f>Table2[[#This Row],[تاريخ انتهاء رخصة السير هجري]]</f>
        <v>46762</v>
      </c>
      <c r="AQ180" s="53">
        <f ca="1">IF(Table2[[#This Row],[تاريخ انتهاء رخصة السير ميلادي]]="","",IFERROR(_xlfn.DAYS(Table2[[#This Row],[تاريخ انتهاء رخصة السير ميلادي]],TODAY()),""))</f>
        <v>502</v>
      </c>
      <c r="AR180" s="55">
        <f>Table2[[#This Row],[تاريخ انتهاء الفحص ميلادي]]</f>
        <v>46387</v>
      </c>
      <c r="AS180" s="56">
        <v>46387</v>
      </c>
      <c r="AT180" s="106">
        <f ca="1">IF(Table2[[#This Row],[تاريخ انتهاء الفحص ميلادي]]="","",IFERROR(_xlfn.DAYS(Table2[[#This Row],[تاريخ انتهاء الفحص ميلادي]],TODAY()),""))</f>
        <v>127</v>
      </c>
      <c r="AU180" s="54" t="s">
        <v>1501</v>
      </c>
      <c r="AV180" s="1"/>
      <c r="BE180" s="3"/>
      <c r="BH180" s="1"/>
    </row>
    <row r="181" spans="1:60" x14ac:dyDescent="0.3">
      <c r="A181" s="39" t="s">
        <v>19</v>
      </c>
      <c r="B181" s="39" t="s">
        <v>1185</v>
      </c>
      <c r="C181" s="39" t="s">
        <v>1187</v>
      </c>
      <c r="D181" s="39" t="s">
        <v>17</v>
      </c>
      <c r="E181" s="39" t="s">
        <v>819</v>
      </c>
      <c r="F181" s="40">
        <v>7025667531</v>
      </c>
      <c r="G181" s="41" t="s">
        <v>386</v>
      </c>
      <c r="H181" s="39" t="s">
        <v>387</v>
      </c>
      <c r="I181" s="58">
        <v>177449020</v>
      </c>
      <c r="J181" s="39" t="s">
        <v>20</v>
      </c>
      <c r="K181" s="39" t="s">
        <v>21</v>
      </c>
      <c r="L181" s="39" t="s">
        <v>22</v>
      </c>
      <c r="M181" s="39">
        <v>2024</v>
      </c>
      <c r="N181" s="39" t="s">
        <v>64</v>
      </c>
      <c r="O181" s="39" t="s">
        <v>1908</v>
      </c>
      <c r="P181" s="39">
        <v>2588700563</v>
      </c>
      <c r="Q181" s="39" t="s">
        <v>1701</v>
      </c>
      <c r="R181" s="124">
        <v>46243</v>
      </c>
      <c r="S181" s="124">
        <v>46387</v>
      </c>
      <c r="T181" s="58">
        <f ca="1">IF(Table2[[#This Row],[تاريخ نهاية التفويض]]="","",IFERROR(_xlfn.DAYS(Table2[[#This Row],[تاريخ نهاية التفويض]],TODAY()),""))</f>
        <v>127</v>
      </c>
      <c r="U181" s="42" t="s">
        <v>26</v>
      </c>
      <c r="V181" s="43">
        <v>46393</v>
      </c>
      <c r="W181" s="44">
        <f ca="1">IF(Table2[[#This Row],[تاريخ انتهاء التأمين]]="","",IFERROR(_xlfn.DAYS(Table2[[#This Row],[تاريخ انتهاء التأمين]],TODAY()),""))</f>
        <v>133</v>
      </c>
      <c r="X181" s="42" t="s">
        <v>27</v>
      </c>
      <c r="Y181" s="42" t="s">
        <v>28</v>
      </c>
      <c r="Z181" s="45">
        <v>1180</v>
      </c>
      <c r="AA181" s="46">
        <v>992833</v>
      </c>
      <c r="AB181" s="46" t="s">
        <v>1424</v>
      </c>
      <c r="AC181" s="46" t="s">
        <v>861</v>
      </c>
      <c r="AD181" s="46" t="s">
        <v>938</v>
      </c>
      <c r="AE181" s="47">
        <v>300</v>
      </c>
      <c r="AF181" s="114" t="s">
        <v>1137</v>
      </c>
      <c r="AG181" s="114" t="s">
        <v>1137</v>
      </c>
      <c r="AH181" s="114" t="s">
        <v>1137</v>
      </c>
      <c r="AI181" s="114" t="s">
        <v>1137</v>
      </c>
      <c r="AJ181" s="129" t="s">
        <v>1137</v>
      </c>
      <c r="AK181" s="129" t="s">
        <v>1137</v>
      </c>
      <c r="AL181" s="114" t="s">
        <v>1137</v>
      </c>
      <c r="AM181" s="129" t="s">
        <v>1137</v>
      </c>
      <c r="AN181" s="129" t="s">
        <v>1137</v>
      </c>
      <c r="AO181" s="80">
        <v>46530</v>
      </c>
      <c r="AP181" s="52">
        <f>Table2[[#This Row],[تاريخ انتهاء رخصة السير هجري]]</f>
        <v>46530</v>
      </c>
      <c r="AQ181" s="53">
        <f ca="1">IF(Table2[[#This Row],[تاريخ انتهاء رخصة السير ميلادي]]="","",IFERROR(_xlfn.DAYS(Table2[[#This Row],[تاريخ انتهاء رخصة السير ميلادي]],TODAY()),""))</f>
        <v>270</v>
      </c>
      <c r="AR181" s="55">
        <f>Table2[[#This Row],[تاريخ انتهاء الفحص ميلادي]]</f>
        <v>46022</v>
      </c>
      <c r="AS181" s="56">
        <v>46022</v>
      </c>
      <c r="AT181" s="106">
        <f ca="1">IF(Table2[[#This Row],[تاريخ انتهاء الفحص ميلادي]]="","",IFERROR(_xlfn.DAYS(Table2[[#This Row],[تاريخ انتهاء الفحص ميلادي]],TODAY()),""))</f>
        <v>-238</v>
      </c>
      <c r="AU181" s="54" t="s">
        <v>1501</v>
      </c>
      <c r="AV181" s="1"/>
      <c r="BE181" s="3"/>
      <c r="BH181" s="1"/>
    </row>
    <row r="182" spans="1:60" x14ac:dyDescent="0.3">
      <c r="A182" s="39" t="s">
        <v>19</v>
      </c>
      <c r="B182" s="39" t="s">
        <v>2000</v>
      </c>
      <c r="C182" s="39" t="s">
        <v>1187</v>
      </c>
      <c r="D182" s="39" t="s">
        <v>17</v>
      </c>
      <c r="E182" s="39" t="s">
        <v>819</v>
      </c>
      <c r="F182" s="40">
        <v>7025667531</v>
      </c>
      <c r="G182" s="41" t="s">
        <v>388</v>
      </c>
      <c r="H182" s="39" t="s">
        <v>389</v>
      </c>
      <c r="I182" s="58">
        <v>437167020</v>
      </c>
      <c r="J182" s="39" t="s">
        <v>20</v>
      </c>
      <c r="K182" s="39" t="s">
        <v>21</v>
      </c>
      <c r="L182" s="39" t="s">
        <v>22</v>
      </c>
      <c r="M182" s="39">
        <v>2024</v>
      </c>
      <c r="N182" s="39" t="s">
        <v>64</v>
      </c>
      <c r="O182" s="39" t="s">
        <v>1909</v>
      </c>
      <c r="P182" s="39">
        <v>2588109203</v>
      </c>
      <c r="Q182" s="39" t="s">
        <v>1702</v>
      </c>
      <c r="R182" s="124">
        <v>46217</v>
      </c>
      <c r="S182" s="124">
        <v>46387</v>
      </c>
      <c r="T182" s="58">
        <f ca="1">IF(Table2[[#This Row],[تاريخ نهاية التفويض]]="","",IFERROR(_xlfn.DAYS(Table2[[#This Row],[تاريخ نهاية التفويض]],TODAY()),""))</f>
        <v>127</v>
      </c>
      <c r="U182" s="42" t="s">
        <v>26</v>
      </c>
      <c r="V182" s="43">
        <v>46393</v>
      </c>
      <c r="W182" s="44">
        <f ca="1">IF(Table2[[#This Row],[تاريخ انتهاء التأمين]]="","",IFERROR(_xlfn.DAYS(Table2[[#This Row],[تاريخ انتهاء التأمين]],TODAY()),""))</f>
        <v>133</v>
      </c>
      <c r="X182" s="42" t="s">
        <v>27</v>
      </c>
      <c r="Y182" s="42" t="s">
        <v>28</v>
      </c>
      <c r="Z182" s="45">
        <v>1180</v>
      </c>
      <c r="AA182" s="46">
        <v>992870</v>
      </c>
      <c r="AB182" s="46" t="s">
        <v>1425</v>
      </c>
      <c r="AC182" s="46" t="s">
        <v>861</v>
      </c>
      <c r="AD182" s="46" t="s">
        <v>938</v>
      </c>
      <c r="AE182" s="47">
        <v>300</v>
      </c>
      <c r="AF182" s="114" t="s">
        <v>1137</v>
      </c>
      <c r="AG182" s="114" t="s">
        <v>1137</v>
      </c>
      <c r="AH182" s="114" t="s">
        <v>1137</v>
      </c>
      <c r="AI182" s="114" t="s">
        <v>1137</v>
      </c>
      <c r="AJ182" s="129" t="s">
        <v>1137</v>
      </c>
      <c r="AK182" s="129" t="s">
        <v>1137</v>
      </c>
      <c r="AL182" s="114" t="s">
        <v>1137</v>
      </c>
      <c r="AM182" s="129" t="s">
        <v>1137</v>
      </c>
      <c r="AN182" s="129" t="s">
        <v>1137</v>
      </c>
      <c r="AO182" s="80">
        <v>46476</v>
      </c>
      <c r="AP182" s="52">
        <f>Table2[[#This Row],[تاريخ انتهاء رخصة السير هجري]]</f>
        <v>46476</v>
      </c>
      <c r="AQ182" s="53">
        <f ca="1">IF(Table2[[#This Row],[تاريخ انتهاء رخصة السير ميلادي]]="","",IFERROR(_xlfn.DAYS(Table2[[#This Row],[تاريخ انتهاء رخصة السير ميلادي]],TODAY()),""))</f>
        <v>216</v>
      </c>
      <c r="AR182" s="55">
        <f>Table2[[#This Row],[تاريخ انتهاء الفحص ميلادي]]</f>
        <v>46022</v>
      </c>
      <c r="AS182" s="56">
        <v>46022</v>
      </c>
      <c r="AT182" s="106">
        <f ca="1">IF(Table2[[#This Row],[تاريخ انتهاء الفحص ميلادي]]="","",IFERROR(_xlfn.DAYS(Table2[[#This Row],[تاريخ انتهاء الفحص ميلادي]],TODAY()),""))</f>
        <v>-238</v>
      </c>
      <c r="AU182" s="54" t="s">
        <v>1501</v>
      </c>
      <c r="AV182" s="1"/>
      <c r="BE182" s="3"/>
      <c r="BH182" s="1"/>
    </row>
    <row r="183" spans="1:60" x14ac:dyDescent="0.3">
      <c r="A183" s="39" t="s">
        <v>19</v>
      </c>
      <c r="B183" s="39" t="s">
        <v>1185</v>
      </c>
      <c r="C183" s="39" t="s">
        <v>1187</v>
      </c>
      <c r="D183" s="39" t="s">
        <v>17</v>
      </c>
      <c r="E183" s="39" t="s">
        <v>819</v>
      </c>
      <c r="F183" s="40">
        <v>7025667531</v>
      </c>
      <c r="G183" s="41" t="s">
        <v>390</v>
      </c>
      <c r="H183" s="39" t="s">
        <v>391</v>
      </c>
      <c r="I183" s="58">
        <v>870978020</v>
      </c>
      <c r="J183" s="39" t="s">
        <v>20</v>
      </c>
      <c r="K183" s="39" t="s">
        <v>67</v>
      </c>
      <c r="L183" s="39" t="s">
        <v>22</v>
      </c>
      <c r="M183" s="39">
        <v>2024</v>
      </c>
      <c r="N183" s="39" t="s">
        <v>64</v>
      </c>
      <c r="O183" s="39" t="s">
        <v>1910</v>
      </c>
      <c r="P183" s="39">
        <v>2562202172</v>
      </c>
      <c r="Q183" s="39" t="s">
        <v>1703</v>
      </c>
      <c r="R183" s="124">
        <v>46242</v>
      </c>
      <c r="S183" s="124">
        <v>46387</v>
      </c>
      <c r="T183" s="58">
        <f ca="1">IF(Table2[[#This Row],[تاريخ نهاية التفويض]]="","",IFERROR(_xlfn.DAYS(Table2[[#This Row],[تاريخ نهاية التفويض]],TODAY()),""))</f>
        <v>127</v>
      </c>
      <c r="U183" s="42" t="s">
        <v>26</v>
      </c>
      <c r="V183" s="43">
        <v>46393</v>
      </c>
      <c r="W183" s="44">
        <f ca="1">IF(Table2[[#This Row],[تاريخ انتهاء التأمين]]="","",IFERROR(_xlfn.DAYS(Table2[[#This Row],[تاريخ انتهاء التأمين]],TODAY()),""))</f>
        <v>133</v>
      </c>
      <c r="X183" s="42" t="s">
        <v>27</v>
      </c>
      <c r="Y183" s="42" t="s">
        <v>28</v>
      </c>
      <c r="Z183" s="45">
        <v>1180</v>
      </c>
      <c r="AA183" s="46">
        <v>992846</v>
      </c>
      <c r="AB183" s="46" t="s">
        <v>1426</v>
      </c>
      <c r="AC183" s="46" t="s">
        <v>861</v>
      </c>
      <c r="AD183" s="46" t="s">
        <v>938</v>
      </c>
      <c r="AE183" s="47">
        <v>300</v>
      </c>
      <c r="AF183" s="114" t="s">
        <v>1137</v>
      </c>
      <c r="AG183" s="114" t="s">
        <v>1137</v>
      </c>
      <c r="AH183" s="114" t="s">
        <v>1137</v>
      </c>
      <c r="AI183" s="114" t="s">
        <v>1137</v>
      </c>
      <c r="AJ183" s="129" t="s">
        <v>1137</v>
      </c>
      <c r="AK183" s="129" t="s">
        <v>1137</v>
      </c>
      <c r="AL183" s="114" t="s">
        <v>1137</v>
      </c>
      <c r="AM183" s="129" t="s">
        <v>1137</v>
      </c>
      <c r="AN183" s="129" t="s">
        <v>1137</v>
      </c>
      <c r="AO183" s="80">
        <v>46502</v>
      </c>
      <c r="AP183" s="52">
        <f>Table2[[#This Row],[تاريخ انتهاء رخصة السير هجري]]</f>
        <v>46502</v>
      </c>
      <c r="AQ183" s="53">
        <f ca="1">IF(Table2[[#This Row],[تاريخ انتهاء رخصة السير ميلادي]]="","",IFERROR(_xlfn.DAYS(Table2[[#This Row],[تاريخ انتهاء رخصة السير ميلادي]],TODAY()),""))</f>
        <v>242</v>
      </c>
      <c r="AR183" s="55">
        <f>Table2[[#This Row],[تاريخ انتهاء الفحص ميلادي]]</f>
        <v>46022</v>
      </c>
      <c r="AS183" s="56">
        <v>46022</v>
      </c>
      <c r="AT183" s="106">
        <f ca="1">IF(Table2[[#This Row],[تاريخ انتهاء الفحص ميلادي]]="","",IFERROR(_xlfn.DAYS(Table2[[#This Row],[تاريخ انتهاء الفحص ميلادي]],TODAY()),""))</f>
        <v>-238</v>
      </c>
      <c r="AU183" s="54" t="s">
        <v>1501</v>
      </c>
      <c r="AV183" s="1"/>
      <c r="BE183" s="3"/>
      <c r="BH183" s="1"/>
    </row>
    <row r="184" spans="1:60" x14ac:dyDescent="0.3">
      <c r="A184" s="39" t="s">
        <v>19</v>
      </c>
      <c r="B184" s="39" t="s">
        <v>1185</v>
      </c>
      <c r="C184" s="39" t="s">
        <v>1187</v>
      </c>
      <c r="D184" s="39" t="s">
        <v>17</v>
      </c>
      <c r="E184" s="39" t="s">
        <v>819</v>
      </c>
      <c r="F184" s="40">
        <v>7025667531</v>
      </c>
      <c r="G184" s="41" t="s">
        <v>392</v>
      </c>
      <c r="H184" s="39" t="s">
        <v>393</v>
      </c>
      <c r="I184" s="58">
        <v>325978020</v>
      </c>
      <c r="J184" s="39" t="s">
        <v>20</v>
      </c>
      <c r="K184" s="39" t="s">
        <v>67</v>
      </c>
      <c r="L184" s="39" t="s">
        <v>22</v>
      </c>
      <c r="M184" s="39">
        <v>2024</v>
      </c>
      <c r="N184" s="39" t="s">
        <v>64</v>
      </c>
      <c r="O184" s="39" t="s">
        <v>1911</v>
      </c>
      <c r="P184" s="39">
        <v>2596558060</v>
      </c>
      <c r="Q184" s="39" t="s">
        <v>1704</v>
      </c>
      <c r="R184" s="124">
        <v>46240</v>
      </c>
      <c r="S184" s="124">
        <v>46387</v>
      </c>
      <c r="T184" s="58">
        <f ca="1">IF(Table2[[#This Row],[تاريخ نهاية التفويض]]="","",IFERROR(_xlfn.DAYS(Table2[[#This Row],[تاريخ نهاية التفويض]],TODAY()),""))</f>
        <v>127</v>
      </c>
      <c r="U184" s="42" t="s">
        <v>26</v>
      </c>
      <c r="V184" s="43">
        <v>46393</v>
      </c>
      <c r="W184" s="44">
        <f ca="1">IF(Table2[[#This Row],[تاريخ انتهاء التأمين]]="","",IFERROR(_xlfn.DAYS(Table2[[#This Row],[تاريخ انتهاء التأمين]],TODAY()),""))</f>
        <v>133</v>
      </c>
      <c r="X184" s="42" t="s">
        <v>27</v>
      </c>
      <c r="Y184" s="42" t="s">
        <v>28</v>
      </c>
      <c r="Z184" s="45">
        <v>1180</v>
      </c>
      <c r="AA184" s="46">
        <v>992845</v>
      </c>
      <c r="AB184" s="46" t="s">
        <v>1138</v>
      </c>
      <c r="AC184" s="46" t="s">
        <v>861</v>
      </c>
      <c r="AD184" s="46" t="s">
        <v>938</v>
      </c>
      <c r="AE184" s="47">
        <v>300</v>
      </c>
      <c r="AF184" s="114" t="s">
        <v>1137</v>
      </c>
      <c r="AG184" s="114" t="s">
        <v>1137</v>
      </c>
      <c r="AH184" s="114" t="s">
        <v>1137</v>
      </c>
      <c r="AI184" s="114" t="s">
        <v>1137</v>
      </c>
      <c r="AJ184" s="129" t="s">
        <v>1137</v>
      </c>
      <c r="AK184" s="129" t="s">
        <v>1137</v>
      </c>
      <c r="AL184" s="114" t="s">
        <v>1137</v>
      </c>
      <c r="AM184" s="129" t="s">
        <v>1137</v>
      </c>
      <c r="AN184" s="129" t="s">
        <v>1137</v>
      </c>
      <c r="AO184" s="80">
        <v>46502</v>
      </c>
      <c r="AP184" s="52">
        <f>Table2[[#This Row],[تاريخ انتهاء رخصة السير هجري]]</f>
        <v>46502</v>
      </c>
      <c r="AQ184" s="53">
        <f ca="1">IF(Table2[[#This Row],[تاريخ انتهاء رخصة السير ميلادي]]="","",IFERROR(_xlfn.DAYS(Table2[[#This Row],[تاريخ انتهاء رخصة السير ميلادي]],TODAY()),""))</f>
        <v>242</v>
      </c>
      <c r="AR184" s="55">
        <f>Table2[[#This Row],[تاريخ انتهاء الفحص ميلادي]]</f>
        <v>46022</v>
      </c>
      <c r="AS184" s="56">
        <v>46022</v>
      </c>
      <c r="AT184" s="106">
        <f ca="1">IF(Table2[[#This Row],[تاريخ انتهاء الفحص ميلادي]]="","",IFERROR(_xlfn.DAYS(Table2[[#This Row],[تاريخ انتهاء الفحص ميلادي]],TODAY()),""))</f>
        <v>-238</v>
      </c>
      <c r="AU184" s="54" t="s">
        <v>1501</v>
      </c>
      <c r="AV184" s="1"/>
      <c r="BE184" s="3"/>
      <c r="BH184" s="1"/>
    </row>
    <row r="185" spans="1:60" x14ac:dyDescent="0.3">
      <c r="A185" s="39" t="s">
        <v>19</v>
      </c>
      <c r="B185" s="39" t="s">
        <v>1185</v>
      </c>
      <c r="C185" s="39" t="s">
        <v>1187</v>
      </c>
      <c r="D185" s="39" t="s">
        <v>17</v>
      </c>
      <c r="E185" s="39" t="s">
        <v>819</v>
      </c>
      <c r="F185" s="40">
        <v>7025667531</v>
      </c>
      <c r="G185" s="41" t="s">
        <v>394</v>
      </c>
      <c r="H185" s="39" t="s">
        <v>395</v>
      </c>
      <c r="I185" s="58">
        <v>85388020</v>
      </c>
      <c r="J185" s="39" t="s">
        <v>20</v>
      </c>
      <c r="K185" s="39" t="s">
        <v>67</v>
      </c>
      <c r="L185" s="39" t="s">
        <v>22</v>
      </c>
      <c r="M185" s="39">
        <v>2024</v>
      </c>
      <c r="N185" s="39" t="s">
        <v>64</v>
      </c>
      <c r="O185" s="39" t="s">
        <v>1912</v>
      </c>
      <c r="P185" s="58">
        <v>2562205761</v>
      </c>
      <c r="Q185" s="39" t="s">
        <v>1705</v>
      </c>
      <c r="R185" s="124">
        <v>46242</v>
      </c>
      <c r="S185" s="124">
        <v>46387</v>
      </c>
      <c r="T185" s="58">
        <f ca="1">IF(Table2[[#This Row],[تاريخ نهاية التفويض]]="","",IFERROR(_xlfn.DAYS(Table2[[#This Row],[تاريخ نهاية التفويض]],TODAY()),""))</f>
        <v>127</v>
      </c>
      <c r="U185" s="42" t="s">
        <v>26</v>
      </c>
      <c r="V185" s="43">
        <v>46393</v>
      </c>
      <c r="W185" s="44">
        <f ca="1">IF(Table2[[#This Row],[تاريخ انتهاء التأمين]]="","",IFERROR(_xlfn.DAYS(Table2[[#This Row],[تاريخ انتهاء التأمين]],TODAY()),""))</f>
        <v>133</v>
      </c>
      <c r="X185" s="42" t="s">
        <v>27</v>
      </c>
      <c r="Y185" s="42" t="s">
        <v>28</v>
      </c>
      <c r="Z185" s="45">
        <v>1180</v>
      </c>
      <c r="AA185" s="46">
        <v>992843</v>
      </c>
      <c r="AB185" s="46" t="s">
        <v>1427</v>
      </c>
      <c r="AC185" s="46" t="s">
        <v>861</v>
      </c>
      <c r="AD185" s="46" t="s">
        <v>938</v>
      </c>
      <c r="AE185" s="47">
        <v>300</v>
      </c>
      <c r="AF185" s="114" t="s">
        <v>1137</v>
      </c>
      <c r="AG185" s="114" t="s">
        <v>1137</v>
      </c>
      <c r="AH185" s="114" t="s">
        <v>1137</v>
      </c>
      <c r="AI185" s="114" t="s">
        <v>1137</v>
      </c>
      <c r="AJ185" s="129" t="s">
        <v>1137</v>
      </c>
      <c r="AK185" s="129" t="s">
        <v>1137</v>
      </c>
      <c r="AL185" s="114" t="s">
        <v>1137</v>
      </c>
      <c r="AM185" s="129" t="s">
        <v>1137</v>
      </c>
      <c r="AN185" s="129" t="s">
        <v>1137</v>
      </c>
      <c r="AO185" s="80">
        <v>46503</v>
      </c>
      <c r="AP185" s="52">
        <f>Table2[[#This Row],[تاريخ انتهاء رخصة السير هجري]]</f>
        <v>46503</v>
      </c>
      <c r="AQ185" s="53">
        <f ca="1">IF(Table2[[#This Row],[تاريخ انتهاء رخصة السير ميلادي]]="","",IFERROR(_xlfn.DAYS(Table2[[#This Row],[تاريخ انتهاء رخصة السير ميلادي]],TODAY()),""))</f>
        <v>243</v>
      </c>
      <c r="AR185" s="55">
        <v>46561</v>
      </c>
      <c r="AS185" s="56">
        <f>Table2[[#This Row],[تاريخ انتهاء الفحص هجري]]</f>
        <v>46561</v>
      </c>
      <c r="AT185" s="106">
        <f ca="1">IF(Table2[[#This Row],[تاريخ انتهاء الفحص ميلادي]]="","",IFERROR(_xlfn.DAYS(Table2[[#This Row],[تاريخ انتهاء الفحص ميلادي]],TODAY()),""))</f>
        <v>301</v>
      </c>
      <c r="AU185" s="54" t="s">
        <v>1501</v>
      </c>
      <c r="AV185" s="1"/>
      <c r="BE185" s="3"/>
      <c r="BH185" s="1"/>
    </row>
    <row r="186" spans="1:60" x14ac:dyDescent="0.3">
      <c r="A186" s="39" t="s">
        <v>19</v>
      </c>
      <c r="B186" s="39" t="s">
        <v>1185</v>
      </c>
      <c r="C186" s="39" t="s">
        <v>1187</v>
      </c>
      <c r="D186" s="39" t="s">
        <v>17</v>
      </c>
      <c r="E186" s="39" t="s">
        <v>819</v>
      </c>
      <c r="F186" s="40">
        <v>7025667531</v>
      </c>
      <c r="G186" s="41" t="s">
        <v>396</v>
      </c>
      <c r="H186" s="39" t="s">
        <v>397</v>
      </c>
      <c r="I186" s="58">
        <v>14788020</v>
      </c>
      <c r="J186" s="39" t="s">
        <v>20</v>
      </c>
      <c r="K186" s="39" t="s">
        <v>67</v>
      </c>
      <c r="L186" s="39" t="s">
        <v>22</v>
      </c>
      <c r="M186" s="39">
        <v>2024</v>
      </c>
      <c r="N186" s="39" t="s">
        <v>64</v>
      </c>
      <c r="O186" s="39" t="s">
        <v>1913</v>
      </c>
      <c r="P186" s="58">
        <v>2559106345</v>
      </c>
      <c r="Q186" s="39" t="s">
        <v>1706</v>
      </c>
      <c r="R186" s="124">
        <v>46240</v>
      </c>
      <c r="S186" s="124">
        <v>46387</v>
      </c>
      <c r="T186" s="58">
        <f ca="1">IF(Table2[[#This Row],[تاريخ نهاية التفويض]]="","",IFERROR(_xlfn.DAYS(Table2[[#This Row],[تاريخ نهاية التفويض]],TODAY()),""))</f>
        <v>127</v>
      </c>
      <c r="U186" s="42" t="s">
        <v>26</v>
      </c>
      <c r="V186" s="43">
        <v>46393</v>
      </c>
      <c r="W186" s="44">
        <f ca="1">IF(Table2[[#This Row],[تاريخ انتهاء التأمين]]="","",IFERROR(_xlfn.DAYS(Table2[[#This Row],[تاريخ انتهاء التأمين]],TODAY()),""))</f>
        <v>133</v>
      </c>
      <c r="X186" s="42" t="s">
        <v>27</v>
      </c>
      <c r="Y186" s="42" t="s">
        <v>28</v>
      </c>
      <c r="Z186" s="45">
        <v>1180</v>
      </c>
      <c r="AA186" s="46">
        <v>992839</v>
      </c>
      <c r="AB186" s="46" t="s">
        <v>1428</v>
      </c>
      <c r="AC186" s="46" t="s">
        <v>861</v>
      </c>
      <c r="AD186" s="46" t="s">
        <v>938</v>
      </c>
      <c r="AE186" s="47">
        <v>300</v>
      </c>
      <c r="AF186" s="114" t="s">
        <v>1137</v>
      </c>
      <c r="AG186" s="114" t="s">
        <v>1137</v>
      </c>
      <c r="AH186" s="114" t="s">
        <v>1137</v>
      </c>
      <c r="AI186" s="114" t="s">
        <v>1137</v>
      </c>
      <c r="AJ186" s="129" t="s">
        <v>1137</v>
      </c>
      <c r="AK186" s="129" t="s">
        <v>1137</v>
      </c>
      <c r="AL186" s="114" t="s">
        <v>1137</v>
      </c>
      <c r="AM186" s="129" t="s">
        <v>1137</v>
      </c>
      <c r="AN186" s="129" t="s">
        <v>1137</v>
      </c>
      <c r="AO186" s="80">
        <v>46504</v>
      </c>
      <c r="AP186" s="52">
        <f>Table2[[#This Row],[تاريخ انتهاء رخصة السير هجري]]</f>
        <v>46504</v>
      </c>
      <c r="AQ186" s="53">
        <f ca="1">IF(Table2[[#This Row],[تاريخ انتهاء رخصة السير ميلادي]]="","",IFERROR(_xlfn.DAYS(Table2[[#This Row],[تاريخ انتهاء رخصة السير ميلادي]],TODAY()),""))</f>
        <v>244</v>
      </c>
      <c r="AR186" s="55">
        <f>Table2[[#This Row],[تاريخ انتهاء الفحص ميلادي]]</f>
        <v>46022</v>
      </c>
      <c r="AS186" s="56">
        <v>46022</v>
      </c>
      <c r="AT186" s="106">
        <f ca="1">IF(Table2[[#This Row],[تاريخ انتهاء الفحص ميلادي]]="","",IFERROR(_xlfn.DAYS(Table2[[#This Row],[تاريخ انتهاء الفحص ميلادي]],TODAY()),""))</f>
        <v>-238</v>
      </c>
      <c r="AU186" s="54" t="s">
        <v>1501</v>
      </c>
      <c r="AV186" s="1"/>
      <c r="BE186" s="3"/>
      <c r="BH186" s="1"/>
    </row>
    <row r="187" spans="1:60" x14ac:dyDescent="0.3">
      <c r="A187" s="39" t="s">
        <v>19</v>
      </c>
      <c r="B187" s="39" t="s">
        <v>1185</v>
      </c>
      <c r="C187" s="39" t="s">
        <v>1187</v>
      </c>
      <c r="D187" s="39" t="s">
        <v>17</v>
      </c>
      <c r="E187" s="39" t="s">
        <v>819</v>
      </c>
      <c r="F187" s="40">
        <v>7025667531</v>
      </c>
      <c r="G187" s="41" t="s">
        <v>398</v>
      </c>
      <c r="H187" s="39" t="s">
        <v>399</v>
      </c>
      <c r="I187" s="58">
        <v>104788020</v>
      </c>
      <c r="J187" s="39" t="s">
        <v>20</v>
      </c>
      <c r="K187" s="39" t="s">
        <v>67</v>
      </c>
      <c r="L187" s="39" t="s">
        <v>22</v>
      </c>
      <c r="M187" s="39">
        <v>2024</v>
      </c>
      <c r="N187" s="39" t="s">
        <v>64</v>
      </c>
      <c r="O187" s="39" t="s">
        <v>1914</v>
      </c>
      <c r="P187" s="58">
        <v>2562206330</v>
      </c>
      <c r="Q187" s="39" t="s">
        <v>1707</v>
      </c>
      <c r="R187" s="124">
        <v>46240</v>
      </c>
      <c r="S187" s="124">
        <v>46387</v>
      </c>
      <c r="T187" s="58">
        <f ca="1">IF(Table2[[#This Row],[تاريخ نهاية التفويض]]="","",IFERROR(_xlfn.DAYS(Table2[[#This Row],[تاريخ نهاية التفويض]],TODAY()),""))</f>
        <v>127</v>
      </c>
      <c r="U187" s="42" t="s">
        <v>26</v>
      </c>
      <c r="V187" s="43">
        <v>46393</v>
      </c>
      <c r="W187" s="44">
        <f ca="1">IF(Table2[[#This Row],[تاريخ انتهاء التأمين]]="","",IFERROR(_xlfn.DAYS(Table2[[#This Row],[تاريخ انتهاء التأمين]],TODAY()),""))</f>
        <v>133</v>
      </c>
      <c r="X187" s="42" t="s">
        <v>27</v>
      </c>
      <c r="Y187" s="42" t="s">
        <v>28</v>
      </c>
      <c r="Z187" s="45">
        <v>1180</v>
      </c>
      <c r="AA187" s="46">
        <v>992835</v>
      </c>
      <c r="AB187" s="46" t="s">
        <v>1429</v>
      </c>
      <c r="AC187" s="46" t="s">
        <v>861</v>
      </c>
      <c r="AD187" s="46" t="s">
        <v>938</v>
      </c>
      <c r="AE187" s="47">
        <v>299</v>
      </c>
      <c r="AF187" s="114" t="s">
        <v>1137</v>
      </c>
      <c r="AG187" s="114" t="s">
        <v>1137</v>
      </c>
      <c r="AH187" s="114" t="s">
        <v>1137</v>
      </c>
      <c r="AI187" s="114" t="s">
        <v>1137</v>
      </c>
      <c r="AJ187" s="129" t="s">
        <v>1137</v>
      </c>
      <c r="AK187" s="129" t="s">
        <v>1137</v>
      </c>
      <c r="AL187" s="114" t="s">
        <v>1137</v>
      </c>
      <c r="AM187" s="129" t="s">
        <v>1137</v>
      </c>
      <c r="AN187" s="129" t="s">
        <v>1137</v>
      </c>
      <c r="AO187" s="80">
        <v>46504</v>
      </c>
      <c r="AP187" s="52">
        <f>Table2[[#This Row],[تاريخ انتهاء رخصة السير هجري]]</f>
        <v>46504</v>
      </c>
      <c r="AQ187" s="53">
        <f ca="1">IF(Table2[[#This Row],[تاريخ انتهاء رخصة السير ميلادي]]="","",IFERROR(_xlfn.DAYS(Table2[[#This Row],[تاريخ انتهاء رخصة السير ميلادي]],TODAY()),""))</f>
        <v>244</v>
      </c>
      <c r="AR187" s="55">
        <f>Table2[[#This Row],[تاريخ انتهاء الفحص ميلادي]]</f>
        <v>46022</v>
      </c>
      <c r="AS187" s="56">
        <v>46022</v>
      </c>
      <c r="AT187" s="106">
        <f ca="1">IF(Table2[[#This Row],[تاريخ انتهاء الفحص ميلادي]]="","",IFERROR(_xlfn.DAYS(Table2[[#This Row],[تاريخ انتهاء الفحص ميلادي]],TODAY()),""))</f>
        <v>-238</v>
      </c>
      <c r="AU187" s="54" t="s">
        <v>1501</v>
      </c>
      <c r="AV187" s="1"/>
      <c r="BE187" s="3"/>
      <c r="BH187" s="1"/>
    </row>
    <row r="188" spans="1:60" x14ac:dyDescent="0.3">
      <c r="A188" s="39" t="s">
        <v>19</v>
      </c>
      <c r="B188" s="39" t="s">
        <v>1185</v>
      </c>
      <c r="C188" s="39" t="s">
        <v>1187</v>
      </c>
      <c r="D188" s="39" t="s">
        <v>17</v>
      </c>
      <c r="E188" s="39" t="s">
        <v>819</v>
      </c>
      <c r="F188" s="40">
        <v>7025667531</v>
      </c>
      <c r="G188" s="41" t="s">
        <v>400</v>
      </c>
      <c r="H188" s="39" t="s">
        <v>401</v>
      </c>
      <c r="I188" s="58">
        <v>890588020</v>
      </c>
      <c r="J188" s="39" t="s">
        <v>20</v>
      </c>
      <c r="K188" s="39" t="s">
        <v>67</v>
      </c>
      <c r="L188" s="39" t="s">
        <v>22</v>
      </c>
      <c r="M188" s="39">
        <v>2024</v>
      </c>
      <c r="N188" s="39" t="s">
        <v>64</v>
      </c>
      <c r="O188" s="39" t="s">
        <v>1915</v>
      </c>
      <c r="P188" s="58">
        <v>2564307391</v>
      </c>
      <c r="Q188" s="39" t="s">
        <v>1708</v>
      </c>
      <c r="R188" s="124">
        <v>46240</v>
      </c>
      <c r="S188" s="124">
        <v>46387</v>
      </c>
      <c r="T188" s="58">
        <f ca="1">IF(Table2[[#This Row],[تاريخ نهاية التفويض]]="","",IFERROR(_xlfn.DAYS(Table2[[#This Row],[تاريخ نهاية التفويض]],TODAY()),""))</f>
        <v>127</v>
      </c>
      <c r="U188" s="42" t="s">
        <v>26</v>
      </c>
      <c r="V188" s="43">
        <v>46393</v>
      </c>
      <c r="W188" s="44">
        <f ca="1">IF(Table2[[#This Row],[تاريخ انتهاء التأمين]]="","",IFERROR(_xlfn.DAYS(Table2[[#This Row],[تاريخ انتهاء التأمين]],TODAY()),""))</f>
        <v>133</v>
      </c>
      <c r="X188" s="42" t="s">
        <v>27</v>
      </c>
      <c r="Y188" s="42" t="s">
        <v>28</v>
      </c>
      <c r="Z188" s="45">
        <v>1180</v>
      </c>
      <c r="AA188" s="46">
        <v>992834</v>
      </c>
      <c r="AB188" s="46" t="s">
        <v>1430</v>
      </c>
      <c r="AC188" s="46" t="s">
        <v>861</v>
      </c>
      <c r="AD188" s="46" t="s">
        <v>938</v>
      </c>
      <c r="AE188" s="47">
        <v>300</v>
      </c>
      <c r="AF188" s="114" t="s">
        <v>1137</v>
      </c>
      <c r="AG188" s="114" t="s">
        <v>1137</v>
      </c>
      <c r="AH188" s="114" t="s">
        <v>1137</v>
      </c>
      <c r="AI188" s="114" t="s">
        <v>1137</v>
      </c>
      <c r="AJ188" s="129" t="s">
        <v>1137</v>
      </c>
      <c r="AK188" s="129" t="s">
        <v>1137</v>
      </c>
      <c r="AL188" s="114" t="s">
        <v>1137</v>
      </c>
      <c r="AM188" s="129" t="s">
        <v>1137</v>
      </c>
      <c r="AN188" s="129" t="s">
        <v>1137</v>
      </c>
      <c r="AO188" s="80">
        <v>46503</v>
      </c>
      <c r="AP188" s="52">
        <f>Table2[[#This Row],[تاريخ انتهاء رخصة السير هجري]]</f>
        <v>46503</v>
      </c>
      <c r="AQ188" s="53">
        <f ca="1">IF(Table2[[#This Row],[تاريخ انتهاء رخصة السير ميلادي]]="","",IFERROR(_xlfn.DAYS(Table2[[#This Row],[تاريخ انتهاء رخصة السير ميلادي]],TODAY()),""))</f>
        <v>243</v>
      </c>
      <c r="AR188" s="55">
        <f>Table2[[#This Row],[تاريخ انتهاء الفحص ميلادي]]</f>
        <v>46022</v>
      </c>
      <c r="AS188" s="56">
        <v>46022</v>
      </c>
      <c r="AT188" s="106">
        <f ca="1">IF(Table2[[#This Row],[تاريخ انتهاء الفحص ميلادي]]="","",IFERROR(_xlfn.DAYS(Table2[[#This Row],[تاريخ انتهاء الفحص ميلادي]],TODAY()),""))</f>
        <v>-238</v>
      </c>
      <c r="AU188" s="54" t="s">
        <v>1501</v>
      </c>
      <c r="AV188" s="1"/>
      <c r="BE188" s="3"/>
      <c r="BH188" s="1"/>
    </row>
    <row r="189" spans="1:60" x14ac:dyDescent="0.3">
      <c r="A189" s="39" t="s">
        <v>19</v>
      </c>
      <c r="B189" s="39" t="s">
        <v>1185</v>
      </c>
      <c r="C189" s="39" t="s">
        <v>1187</v>
      </c>
      <c r="D189" s="39" t="s">
        <v>17</v>
      </c>
      <c r="E189" s="39" t="s">
        <v>819</v>
      </c>
      <c r="F189" s="40">
        <v>7025667531</v>
      </c>
      <c r="G189" s="41" t="s">
        <v>402</v>
      </c>
      <c r="H189" s="39" t="s">
        <v>403</v>
      </c>
      <c r="I189" s="58">
        <v>334734020</v>
      </c>
      <c r="J189" s="39" t="s">
        <v>20</v>
      </c>
      <c r="K189" s="39" t="s">
        <v>67</v>
      </c>
      <c r="L189" s="39" t="s">
        <v>22</v>
      </c>
      <c r="M189" s="39">
        <v>2024</v>
      </c>
      <c r="N189" s="39" t="s">
        <v>64</v>
      </c>
      <c r="O189" s="39" t="s">
        <v>1916</v>
      </c>
      <c r="P189" s="58">
        <v>2562717062</v>
      </c>
      <c r="Q189" s="39" t="s">
        <v>1709</v>
      </c>
      <c r="R189" s="124">
        <v>46243</v>
      </c>
      <c r="S189" s="124">
        <v>46387</v>
      </c>
      <c r="T189" s="58">
        <f ca="1">IF(Table2[[#This Row],[تاريخ نهاية التفويض]]="","",IFERROR(_xlfn.DAYS(Table2[[#This Row],[تاريخ نهاية التفويض]],TODAY()),""))</f>
        <v>127</v>
      </c>
      <c r="U189" s="42" t="s">
        <v>26</v>
      </c>
      <c r="V189" s="43">
        <v>46393</v>
      </c>
      <c r="W189" s="44">
        <f ca="1">IF(Table2[[#This Row],[تاريخ انتهاء التأمين]]="","",IFERROR(_xlfn.DAYS(Table2[[#This Row],[تاريخ انتهاء التأمين]],TODAY()),""))</f>
        <v>133</v>
      </c>
      <c r="X189" s="42" t="s">
        <v>27</v>
      </c>
      <c r="Y189" s="42" t="s">
        <v>28</v>
      </c>
      <c r="Z189" s="45">
        <v>1180</v>
      </c>
      <c r="AA189" s="46">
        <v>992849</v>
      </c>
      <c r="AB189" s="46" t="s">
        <v>1431</v>
      </c>
      <c r="AC189" s="46" t="s">
        <v>861</v>
      </c>
      <c r="AD189" s="46" t="s">
        <v>938</v>
      </c>
      <c r="AE189" s="47">
        <v>300</v>
      </c>
      <c r="AF189" s="114" t="s">
        <v>1137</v>
      </c>
      <c r="AG189" s="114" t="s">
        <v>1137</v>
      </c>
      <c r="AH189" s="114" t="s">
        <v>1137</v>
      </c>
      <c r="AI189" s="114" t="s">
        <v>1137</v>
      </c>
      <c r="AJ189" s="129" t="s">
        <v>1137</v>
      </c>
      <c r="AK189" s="129" t="s">
        <v>1137</v>
      </c>
      <c r="AL189" s="114" t="s">
        <v>1137</v>
      </c>
      <c r="AM189" s="129" t="s">
        <v>1137</v>
      </c>
      <c r="AN189" s="129" t="s">
        <v>1137</v>
      </c>
      <c r="AO189" s="80">
        <v>46350</v>
      </c>
      <c r="AP189" s="52">
        <f>Table2[[#This Row],[تاريخ انتهاء رخصة السير هجري]]</f>
        <v>46350</v>
      </c>
      <c r="AQ189" s="53">
        <f ca="1">IF(Table2[[#This Row],[تاريخ انتهاء رخصة السير ميلادي]]="","",IFERROR(_xlfn.DAYS(Table2[[#This Row],[تاريخ انتهاء رخصة السير ميلادي]],TODAY()),""))</f>
        <v>90</v>
      </c>
      <c r="AR189" s="55">
        <f>Table2[[#This Row],[تاريخ انتهاء الفحص ميلادي]]</f>
        <v>46022</v>
      </c>
      <c r="AS189" s="56">
        <v>46022</v>
      </c>
      <c r="AT189" s="106">
        <f ca="1">IF(Table2[[#This Row],[تاريخ انتهاء الفحص ميلادي]]="","",IFERROR(_xlfn.DAYS(Table2[[#This Row],[تاريخ انتهاء الفحص ميلادي]],TODAY()),""))</f>
        <v>-238</v>
      </c>
      <c r="AU189" s="54" t="s">
        <v>1501</v>
      </c>
      <c r="AV189" s="1"/>
      <c r="BE189" s="3"/>
      <c r="BH189" s="1"/>
    </row>
    <row r="190" spans="1:60" x14ac:dyDescent="0.3">
      <c r="A190" s="39" t="s">
        <v>19</v>
      </c>
      <c r="B190" s="39" t="s">
        <v>2000</v>
      </c>
      <c r="C190" s="39" t="s">
        <v>1187</v>
      </c>
      <c r="D190" s="39" t="s">
        <v>17</v>
      </c>
      <c r="E190" s="39" t="s">
        <v>819</v>
      </c>
      <c r="F190" s="40">
        <v>7025667531</v>
      </c>
      <c r="G190" s="41" t="s">
        <v>404</v>
      </c>
      <c r="H190" s="39" t="s">
        <v>405</v>
      </c>
      <c r="I190" s="58">
        <v>5734020</v>
      </c>
      <c r="J190" s="39" t="s">
        <v>20</v>
      </c>
      <c r="K190" s="39" t="s">
        <v>67</v>
      </c>
      <c r="L190" s="39" t="s">
        <v>22</v>
      </c>
      <c r="M190" s="39">
        <v>2024</v>
      </c>
      <c r="N190" s="39" t="s">
        <v>64</v>
      </c>
      <c r="O190" s="39" t="s">
        <v>1983</v>
      </c>
      <c r="P190" s="58">
        <v>2578671519</v>
      </c>
      <c r="Q190" s="39" t="s">
        <v>1710</v>
      </c>
      <c r="R190" s="124">
        <v>46238</v>
      </c>
      <c r="S190" s="124">
        <v>46387</v>
      </c>
      <c r="T190" s="58">
        <f ca="1">IF(Table2[[#This Row],[تاريخ نهاية التفويض]]="","",IFERROR(_xlfn.DAYS(Table2[[#This Row],[تاريخ نهاية التفويض]],TODAY()),""))</f>
        <v>127</v>
      </c>
      <c r="U190" s="42" t="s">
        <v>26</v>
      </c>
      <c r="V190" s="43">
        <v>46393</v>
      </c>
      <c r="W190" s="44">
        <f ca="1">IF(Table2[[#This Row],[تاريخ انتهاء التأمين]]="","",IFERROR(_xlfn.DAYS(Table2[[#This Row],[تاريخ انتهاء التأمين]],TODAY()),""))</f>
        <v>133</v>
      </c>
      <c r="X190" s="42" t="s">
        <v>27</v>
      </c>
      <c r="Y190" s="42" t="s">
        <v>28</v>
      </c>
      <c r="Z190" s="45">
        <v>1180</v>
      </c>
      <c r="AA190" s="46">
        <v>992851</v>
      </c>
      <c r="AB190" s="46" t="s">
        <v>1432</v>
      </c>
      <c r="AC190" s="46" t="s">
        <v>861</v>
      </c>
      <c r="AD190" s="46" t="s">
        <v>938</v>
      </c>
      <c r="AE190" s="47">
        <v>300</v>
      </c>
      <c r="AF190" s="114" t="s">
        <v>1137</v>
      </c>
      <c r="AG190" s="114" t="s">
        <v>1137</v>
      </c>
      <c r="AH190" s="114" t="s">
        <v>1137</v>
      </c>
      <c r="AI190" s="114" t="s">
        <v>1137</v>
      </c>
      <c r="AJ190" s="129" t="s">
        <v>1137</v>
      </c>
      <c r="AK190" s="129" t="s">
        <v>1137</v>
      </c>
      <c r="AL190" s="114" t="s">
        <v>1137</v>
      </c>
      <c r="AM190" s="129" t="s">
        <v>1137</v>
      </c>
      <c r="AN190" s="129" t="s">
        <v>1137</v>
      </c>
      <c r="AO190" s="80">
        <v>46350</v>
      </c>
      <c r="AP190" s="52">
        <f>Table2[[#This Row],[تاريخ انتهاء رخصة السير هجري]]</f>
        <v>46350</v>
      </c>
      <c r="AQ190" s="53">
        <f ca="1">IF(Table2[[#This Row],[تاريخ انتهاء رخصة السير ميلادي]]="","",IFERROR(_xlfn.DAYS(Table2[[#This Row],[تاريخ انتهاء رخصة السير ميلادي]],TODAY()),""))</f>
        <v>90</v>
      </c>
      <c r="AR190" s="55">
        <f>Table2[[#This Row],[تاريخ انتهاء الفحص ميلادي]]</f>
        <v>46022</v>
      </c>
      <c r="AS190" s="56">
        <v>46022</v>
      </c>
      <c r="AT190" s="106">
        <f ca="1">IF(Table2[[#This Row],[تاريخ انتهاء الفحص ميلادي]]="","",IFERROR(_xlfn.DAYS(Table2[[#This Row],[تاريخ انتهاء الفحص ميلادي]],TODAY()),""))</f>
        <v>-238</v>
      </c>
      <c r="AU190" s="54" t="s">
        <v>1501</v>
      </c>
      <c r="AV190" s="1"/>
      <c r="BE190" s="3"/>
      <c r="BH190" s="1"/>
    </row>
    <row r="191" spans="1:60" x14ac:dyDescent="0.3">
      <c r="A191" s="39" t="s">
        <v>19</v>
      </c>
      <c r="B191" s="39" t="s">
        <v>1185</v>
      </c>
      <c r="C191" s="39" t="s">
        <v>1187</v>
      </c>
      <c r="D191" s="39" t="s">
        <v>17</v>
      </c>
      <c r="E191" s="39" t="s">
        <v>819</v>
      </c>
      <c r="F191" s="40">
        <v>7025667531</v>
      </c>
      <c r="G191" s="41" t="s">
        <v>406</v>
      </c>
      <c r="H191" s="39" t="s">
        <v>407</v>
      </c>
      <c r="I191" s="58">
        <v>820734020</v>
      </c>
      <c r="J191" s="39" t="s">
        <v>20</v>
      </c>
      <c r="K191" s="39" t="s">
        <v>67</v>
      </c>
      <c r="L191" s="39" t="s">
        <v>22</v>
      </c>
      <c r="M191" s="39">
        <v>2024</v>
      </c>
      <c r="N191" s="39" t="s">
        <v>64</v>
      </c>
      <c r="O191" s="39" t="s">
        <v>1917</v>
      </c>
      <c r="P191" s="58">
        <v>2586563708</v>
      </c>
      <c r="Q191" s="39" t="s">
        <v>1711</v>
      </c>
      <c r="R191" s="124">
        <v>46240</v>
      </c>
      <c r="S191" s="124">
        <v>46387</v>
      </c>
      <c r="T191" s="58">
        <f ca="1">IF(Table2[[#This Row],[تاريخ نهاية التفويض]]="","",IFERROR(_xlfn.DAYS(Table2[[#This Row],[تاريخ نهاية التفويض]],TODAY()),""))</f>
        <v>127</v>
      </c>
      <c r="U191" s="42" t="s">
        <v>26</v>
      </c>
      <c r="V191" s="43">
        <v>46393</v>
      </c>
      <c r="W191" s="44">
        <f ca="1">IF(Table2[[#This Row],[تاريخ انتهاء التأمين]]="","",IFERROR(_xlfn.DAYS(Table2[[#This Row],[تاريخ انتهاء التأمين]],TODAY()),""))</f>
        <v>133</v>
      </c>
      <c r="X191" s="42" t="s">
        <v>27</v>
      </c>
      <c r="Y191" s="42" t="s">
        <v>28</v>
      </c>
      <c r="Z191" s="45">
        <v>1180</v>
      </c>
      <c r="AA191" s="46">
        <v>992853</v>
      </c>
      <c r="AB191" s="46" t="s">
        <v>1433</v>
      </c>
      <c r="AC191" s="46" t="s">
        <v>861</v>
      </c>
      <c r="AD191" s="46" t="s">
        <v>938</v>
      </c>
      <c r="AE191" s="47">
        <v>300</v>
      </c>
      <c r="AF191" s="114" t="s">
        <v>1137</v>
      </c>
      <c r="AG191" s="114" t="s">
        <v>1137</v>
      </c>
      <c r="AH191" s="114" t="s">
        <v>1137</v>
      </c>
      <c r="AI191" s="114" t="s">
        <v>1137</v>
      </c>
      <c r="AJ191" s="129" t="s">
        <v>1137</v>
      </c>
      <c r="AK191" s="129" t="s">
        <v>1137</v>
      </c>
      <c r="AL191" s="114" t="s">
        <v>1137</v>
      </c>
      <c r="AM191" s="129" t="s">
        <v>1137</v>
      </c>
      <c r="AN191" s="129" t="s">
        <v>1137</v>
      </c>
      <c r="AO191" s="80">
        <v>46350</v>
      </c>
      <c r="AP191" s="52">
        <f>Table2[[#This Row],[تاريخ انتهاء رخصة السير هجري]]</f>
        <v>46350</v>
      </c>
      <c r="AQ191" s="53">
        <f ca="1">IF(Table2[[#This Row],[تاريخ انتهاء رخصة السير ميلادي]]="","",IFERROR(_xlfn.DAYS(Table2[[#This Row],[تاريخ انتهاء رخصة السير ميلادي]],TODAY()),""))</f>
        <v>90</v>
      </c>
      <c r="AR191" s="55">
        <f>Table2[[#This Row],[تاريخ انتهاء الفحص ميلادي]]</f>
        <v>46022</v>
      </c>
      <c r="AS191" s="56">
        <v>46022</v>
      </c>
      <c r="AT191" s="106">
        <f ca="1">IF(Table2[[#This Row],[تاريخ انتهاء الفحص ميلادي]]="","",IFERROR(_xlfn.DAYS(Table2[[#This Row],[تاريخ انتهاء الفحص ميلادي]],TODAY()),""))</f>
        <v>-238</v>
      </c>
      <c r="AU191" s="54" t="s">
        <v>1501</v>
      </c>
      <c r="AV191" s="1"/>
      <c r="BE191" s="3"/>
      <c r="BH191" s="1"/>
    </row>
    <row r="192" spans="1:60" x14ac:dyDescent="0.3">
      <c r="A192" s="39" t="s">
        <v>19</v>
      </c>
      <c r="B192" s="39" t="s">
        <v>1193</v>
      </c>
      <c r="C192" s="39" t="s">
        <v>1193</v>
      </c>
      <c r="D192" s="39" t="s">
        <v>17</v>
      </c>
      <c r="E192" s="39" t="s">
        <v>819</v>
      </c>
      <c r="F192" s="40">
        <v>7025667531</v>
      </c>
      <c r="G192" s="41" t="s">
        <v>408</v>
      </c>
      <c r="H192" s="39" t="s">
        <v>409</v>
      </c>
      <c r="I192" s="58">
        <v>991583020</v>
      </c>
      <c r="J192" s="39" t="s">
        <v>20</v>
      </c>
      <c r="K192" s="39" t="s">
        <v>67</v>
      </c>
      <c r="L192" s="39" t="s">
        <v>22</v>
      </c>
      <c r="M192" s="39">
        <v>2024</v>
      </c>
      <c r="N192" s="39" t="s">
        <v>64</v>
      </c>
      <c r="O192" s="39" t="s">
        <v>1137</v>
      </c>
      <c r="P192" s="39" t="s">
        <v>1137</v>
      </c>
      <c r="Q192" s="39" t="s">
        <v>1137</v>
      </c>
      <c r="R192" s="124" t="s">
        <v>1137</v>
      </c>
      <c r="S192" s="124" t="s">
        <v>1137</v>
      </c>
      <c r="T192" s="124" t="s">
        <v>1137</v>
      </c>
      <c r="U192" s="42" t="s">
        <v>26</v>
      </c>
      <c r="V192" s="43">
        <v>46393</v>
      </c>
      <c r="W192" s="44">
        <f ca="1">IF(Table2[[#This Row],[تاريخ انتهاء التأمين]]="","",IFERROR(_xlfn.DAYS(Table2[[#This Row],[تاريخ انتهاء التأمين]],TODAY()),""))</f>
        <v>133</v>
      </c>
      <c r="X192" s="42" t="s">
        <v>27</v>
      </c>
      <c r="Y192" s="42" t="s">
        <v>28</v>
      </c>
      <c r="Z192" s="45">
        <v>1180</v>
      </c>
      <c r="AA192" s="46">
        <v>992855</v>
      </c>
      <c r="AB192" s="46" t="s">
        <v>1434</v>
      </c>
      <c r="AC192" s="46" t="s">
        <v>861</v>
      </c>
      <c r="AD192" s="46" t="s">
        <v>938</v>
      </c>
      <c r="AE192" s="47">
        <v>300</v>
      </c>
      <c r="AF192" s="114" t="s">
        <v>1137</v>
      </c>
      <c r="AG192" s="114" t="s">
        <v>1137</v>
      </c>
      <c r="AH192" s="114" t="s">
        <v>1137</v>
      </c>
      <c r="AI192" s="114" t="s">
        <v>1137</v>
      </c>
      <c r="AJ192" s="129" t="s">
        <v>1137</v>
      </c>
      <c r="AK192" s="129" t="s">
        <v>1137</v>
      </c>
      <c r="AL192" s="114" t="s">
        <v>1137</v>
      </c>
      <c r="AM192" s="129" t="s">
        <v>1137</v>
      </c>
      <c r="AN192" s="129" t="s">
        <v>1137</v>
      </c>
      <c r="AO192" s="80">
        <v>46332</v>
      </c>
      <c r="AP192" s="52">
        <f>Table2[[#This Row],[تاريخ انتهاء رخصة السير هجري]]</f>
        <v>46332</v>
      </c>
      <c r="AQ192" s="53">
        <f ca="1">IF(Table2[[#This Row],[تاريخ انتهاء رخصة السير ميلادي]]="","",IFERROR(_xlfn.DAYS(Table2[[#This Row],[تاريخ انتهاء رخصة السير ميلادي]],TODAY()),""))</f>
        <v>72</v>
      </c>
      <c r="AR192" s="55">
        <f>Table2[[#This Row],[تاريخ انتهاء الفحص ميلادي]]</f>
        <v>46022</v>
      </c>
      <c r="AS192" s="56">
        <v>46022</v>
      </c>
      <c r="AT192" s="106">
        <f ca="1">IF(Table2[[#This Row],[تاريخ انتهاء الفحص ميلادي]]="","",IFERROR(_xlfn.DAYS(Table2[[#This Row],[تاريخ انتهاء الفحص ميلادي]],TODAY()),""))</f>
        <v>-238</v>
      </c>
      <c r="AU192" s="54" t="s">
        <v>1501</v>
      </c>
      <c r="AV192" s="1"/>
      <c r="BE192" s="3"/>
      <c r="BH192" s="1"/>
    </row>
    <row r="193" spans="1:60" x14ac:dyDescent="0.3">
      <c r="A193" s="39" t="s">
        <v>19</v>
      </c>
      <c r="B193" s="39" t="s">
        <v>1185</v>
      </c>
      <c r="C193" s="39" t="s">
        <v>1187</v>
      </c>
      <c r="D193" s="39" t="s">
        <v>17</v>
      </c>
      <c r="E193" s="39" t="s">
        <v>819</v>
      </c>
      <c r="F193" s="40">
        <v>7025667531</v>
      </c>
      <c r="G193" s="41" t="s">
        <v>410</v>
      </c>
      <c r="H193" s="39" t="s">
        <v>411</v>
      </c>
      <c r="I193" s="58">
        <v>686483020</v>
      </c>
      <c r="J193" s="39" t="s">
        <v>20</v>
      </c>
      <c r="K193" s="39" t="s">
        <v>67</v>
      </c>
      <c r="L193" s="39" t="s">
        <v>22</v>
      </c>
      <c r="M193" s="39">
        <v>2024</v>
      </c>
      <c r="N193" s="39" t="s">
        <v>64</v>
      </c>
      <c r="O193" s="39" t="s">
        <v>1808</v>
      </c>
      <c r="P193" s="58">
        <v>2560883593</v>
      </c>
      <c r="Q193" s="39" t="s">
        <v>1712</v>
      </c>
      <c r="R193" s="124">
        <v>46240</v>
      </c>
      <c r="S193" s="124">
        <v>46387</v>
      </c>
      <c r="T193" s="58">
        <f ca="1">IF(Table2[[#This Row],[تاريخ نهاية التفويض]]="","",IFERROR(_xlfn.DAYS(Table2[[#This Row],[تاريخ نهاية التفويض]],TODAY()),""))</f>
        <v>127</v>
      </c>
      <c r="U193" s="42" t="s">
        <v>26</v>
      </c>
      <c r="V193" s="43">
        <v>46393</v>
      </c>
      <c r="W193" s="44">
        <f ca="1">IF(Table2[[#This Row],[تاريخ انتهاء التأمين]]="","",IFERROR(_xlfn.DAYS(Table2[[#This Row],[تاريخ انتهاء التأمين]],TODAY()),""))</f>
        <v>133</v>
      </c>
      <c r="X193" s="42" t="s">
        <v>27</v>
      </c>
      <c r="Y193" s="42" t="s">
        <v>28</v>
      </c>
      <c r="Z193" s="45">
        <v>1180</v>
      </c>
      <c r="AA193" s="46">
        <v>992857</v>
      </c>
      <c r="AB193" s="46" t="s">
        <v>1435</v>
      </c>
      <c r="AC193" s="46" t="s">
        <v>861</v>
      </c>
      <c r="AD193" s="46" t="s">
        <v>938</v>
      </c>
      <c r="AE193" s="47">
        <v>298</v>
      </c>
      <c r="AF193" s="114" t="s">
        <v>1137</v>
      </c>
      <c r="AG193" s="114" t="s">
        <v>1137</v>
      </c>
      <c r="AH193" s="114" t="s">
        <v>1137</v>
      </c>
      <c r="AI193" s="114" t="s">
        <v>1137</v>
      </c>
      <c r="AJ193" s="129" t="s">
        <v>1137</v>
      </c>
      <c r="AK193" s="129" t="s">
        <v>1137</v>
      </c>
      <c r="AL193" s="114" t="s">
        <v>1137</v>
      </c>
      <c r="AM193" s="129" t="s">
        <v>1137</v>
      </c>
      <c r="AN193" s="129" t="s">
        <v>1137</v>
      </c>
      <c r="AO193" s="80">
        <v>46332</v>
      </c>
      <c r="AP193" s="52">
        <f>Table2[[#This Row],[تاريخ انتهاء رخصة السير هجري]]</f>
        <v>46332</v>
      </c>
      <c r="AQ193" s="53">
        <f ca="1">IF(Table2[[#This Row],[تاريخ انتهاء رخصة السير ميلادي]]="","",IFERROR(_xlfn.DAYS(Table2[[#This Row],[تاريخ انتهاء رخصة السير ميلادي]],TODAY()),""))</f>
        <v>72</v>
      </c>
      <c r="AR193" s="55">
        <f>Table2[[#This Row],[تاريخ انتهاء الفحص ميلادي]]</f>
        <v>46022</v>
      </c>
      <c r="AS193" s="56">
        <v>46022</v>
      </c>
      <c r="AT193" s="106">
        <f ca="1">IF(Table2[[#This Row],[تاريخ انتهاء الفحص ميلادي]]="","",IFERROR(_xlfn.DAYS(Table2[[#This Row],[تاريخ انتهاء الفحص ميلادي]],TODAY()),""))</f>
        <v>-238</v>
      </c>
      <c r="AU193" s="54" t="s">
        <v>1501</v>
      </c>
      <c r="AV193" s="1"/>
      <c r="BE193" s="3"/>
      <c r="BH193" s="1"/>
    </row>
    <row r="194" spans="1:60" x14ac:dyDescent="0.3">
      <c r="A194" s="39" t="s">
        <v>19</v>
      </c>
      <c r="B194" s="39" t="s">
        <v>2000</v>
      </c>
      <c r="C194" s="39" t="s">
        <v>1187</v>
      </c>
      <c r="D194" s="39" t="s">
        <v>17</v>
      </c>
      <c r="E194" s="39" t="s">
        <v>819</v>
      </c>
      <c r="F194" s="40">
        <v>7025667531</v>
      </c>
      <c r="G194" s="41" t="s">
        <v>412</v>
      </c>
      <c r="H194" s="39" t="s">
        <v>413</v>
      </c>
      <c r="I194" s="58">
        <v>758626020</v>
      </c>
      <c r="J194" s="39" t="s">
        <v>20</v>
      </c>
      <c r="K194" s="39" t="s">
        <v>67</v>
      </c>
      <c r="L194" s="39" t="s">
        <v>22</v>
      </c>
      <c r="M194" s="39">
        <v>2024</v>
      </c>
      <c r="N194" s="39" t="s">
        <v>64</v>
      </c>
      <c r="O194" s="39" t="s">
        <v>1918</v>
      </c>
      <c r="P194" s="58">
        <v>2567275397</v>
      </c>
      <c r="Q194" s="39" t="s">
        <v>1713</v>
      </c>
      <c r="R194" s="124">
        <v>46174</v>
      </c>
      <c r="S194" s="124">
        <v>46387</v>
      </c>
      <c r="T194" s="58">
        <f ca="1">IF(Table2[[#This Row],[تاريخ نهاية التفويض]]="","",IFERROR(_xlfn.DAYS(Table2[[#This Row],[تاريخ نهاية التفويض]],TODAY()),""))</f>
        <v>127</v>
      </c>
      <c r="U194" s="42" t="s">
        <v>26</v>
      </c>
      <c r="V194" s="43">
        <v>46393</v>
      </c>
      <c r="W194" s="44">
        <f ca="1">IF(Table2[[#This Row],[تاريخ انتهاء التأمين]]="","",IFERROR(_xlfn.DAYS(Table2[[#This Row],[تاريخ انتهاء التأمين]],TODAY()),""))</f>
        <v>133</v>
      </c>
      <c r="X194" s="42" t="s">
        <v>27</v>
      </c>
      <c r="Y194" s="42" t="s">
        <v>28</v>
      </c>
      <c r="Z194" s="45">
        <v>1180</v>
      </c>
      <c r="AA194" s="46">
        <v>992859</v>
      </c>
      <c r="AB194" s="46" t="s">
        <v>1436</v>
      </c>
      <c r="AC194" s="46" t="s">
        <v>861</v>
      </c>
      <c r="AD194" s="46" t="s">
        <v>938</v>
      </c>
      <c r="AE194" s="47">
        <v>300</v>
      </c>
      <c r="AF194" s="114" t="s">
        <v>1137</v>
      </c>
      <c r="AG194" s="114" t="s">
        <v>1137</v>
      </c>
      <c r="AH194" s="114" t="s">
        <v>1137</v>
      </c>
      <c r="AI194" s="114" t="s">
        <v>1137</v>
      </c>
      <c r="AJ194" s="129" t="s">
        <v>1137</v>
      </c>
      <c r="AK194" s="129" t="s">
        <v>1137</v>
      </c>
      <c r="AL194" s="114" t="s">
        <v>1137</v>
      </c>
      <c r="AM194" s="129" t="s">
        <v>1137</v>
      </c>
      <c r="AN194" s="129" t="s">
        <v>1137</v>
      </c>
      <c r="AO194" s="80">
        <v>46420</v>
      </c>
      <c r="AP194" s="52">
        <f>Table2[[#This Row],[تاريخ انتهاء رخصة السير هجري]]</f>
        <v>46420</v>
      </c>
      <c r="AQ194" s="53">
        <f ca="1">IF(Table2[[#This Row],[تاريخ انتهاء رخصة السير ميلادي]]="","",IFERROR(_xlfn.DAYS(Table2[[#This Row],[تاريخ انتهاء رخصة السير ميلادي]],TODAY()),""))</f>
        <v>160</v>
      </c>
      <c r="AR194" s="55">
        <f>Table2[[#This Row],[تاريخ انتهاء الفحص ميلادي]]</f>
        <v>46022</v>
      </c>
      <c r="AS194" s="56">
        <v>46022</v>
      </c>
      <c r="AT194" s="106">
        <f ca="1">IF(Table2[[#This Row],[تاريخ انتهاء الفحص ميلادي]]="","",IFERROR(_xlfn.DAYS(Table2[[#This Row],[تاريخ انتهاء الفحص ميلادي]],TODAY()),""))</f>
        <v>-238</v>
      </c>
      <c r="AU194" s="54" t="s">
        <v>1501</v>
      </c>
      <c r="AV194" s="1"/>
      <c r="BE194" s="3"/>
      <c r="BH194" s="1"/>
    </row>
    <row r="195" spans="1:60" x14ac:dyDescent="0.3">
      <c r="A195" s="39" t="s">
        <v>19</v>
      </c>
      <c r="B195" s="39" t="s">
        <v>1185</v>
      </c>
      <c r="C195" s="39" t="s">
        <v>1187</v>
      </c>
      <c r="D195" s="39" t="s">
        <v>17</v>
      </c>
      <c r="E195" s="39" t="s">
        <v>819</v>
      </c>
      <c r="F195" s="40">
        <v>7025667531</v>
      </c>
      <c r="G195" s="41" t="s">
        <v>414</v>
      </c>
      <c r="H195" s="39" t="s">
        <v>415</v>
      </c>
      <c r="I195" s="58">
        <v>146626020</v>
      </c>
      <c r="J195" s="39" t="s">
        <v>20</v>
      </c>
      <c r="K195" s="39" t="s">
        <v>67</v>
      </c>
      <c r="L195" s="39" t="s">
        <v>22</v>
      </c>
      <c r="M195" s="39">
        <v>2024</v>
      </c>
      <c r="N195" s="39" t="s">
        <v>64</v>
      </c>
      <c r="O195" s="39" t="s">
        <v>1919</v>
      </c>
      <c r="P195" s="58">
        <v>2635559079</v>
      </c>
      <c r="Q195" s="39" t="s">
        <v>1714</v>
      </c>
      <c r="R195" s="124">
        <v>46240</v>
      </c>
      <c r="S195" s="124">
        <v>46387</v>
      </c>
      <c r="T195" s="58">
        <f ca="1">IF(Table2[[#This Row],[تاريخ نهاية التفويض]]="","",IFERROR(_xlfn.DAYS(Table2[[#This Row],[تاريخ نهاية التفويض]],TODAY()),""))</f>
        <v>127</v>
      </c>
      <c r="U195" s="42" t="s">
        <v>26</v>
      </c>
      <c r="V195" s="43">
        <v>46393</v>
      </c>
      <c r="W195" s="44">
        <f ca="1">IF(Table2[[#This Row],[تاريخ انتهاء التأمين]]="","",IFERROR(_xlfn.DAYS(Table2[[#This Row],[تاريخ انتهاء التأمين]],TODAY()),""))</f>
        <v>133</v>
      </c>
      <c r="X195" s="42" t="s">
        <v>27</v>
      </c>
      <c r="Y195" s="42" t="s">
        <v>28</v>
      </c>
      <c r="Z195" s="45">
        <v>1180</v>
      </c>
      <c r="AA195" s="46">
        <v>992861</v>
      </c>
      <c r="AB195" s="46" t="s">
        <v>1437</v>
      </c>
      <c r="AC195" s="46" t="s">
        <v>861</v>
      </c>
      <c r="AD195" s="46" t="s">
        <v>938</v>
      </c>
      <c r="AE195" s="47">
        <v>300</v>
      </c>
      <c r="AF195" s="114" t="s">
        <v>1137</v>
      </c>
      <c r="AG195" s="114" t="s">
        <v>1137</v>
      </c>
      <c r="AH195" s="114" t="s">
        <v>1137</v>
      </c>
      <c r="AI195" s="114" t="s">
        <v>1137</v>
      </c>
      <c r="AJ195" s="129" t="s">
        <v>1137</v>
      </c>
      <c r="AK195" s="129" t="s">
        <v>1137</v>
      </c>
      <c r="AL195" s="114" t="s">
        <v>1137</v>
      </c>
      <c r="AM195" s="129" t="s">
        <v>1137</v>
      </c>
      <c r="AN195" s="129" t="s">
        <v>1137</v>
      </c>
      <c r="AO195" s="80">
        <v>46420</v>
      </c>
      <c r="AP195" s="52">
        <f>Table2[[#This Row],[تاريخ انتهاء رخصة السير هجري]]</f>
        <v>46420</v>
      </c>
      <c r="AQ195" s="53">
        <f ca="1">IF(Table2[[#This Row],[تاريخ انتهاء رخصة السير ميلادي]]="","",IFERROR(_xlfn.DAYS(Table2[[#This Row],[تاريخ انتهاء رخصة السير ميلادي]],TODAY()),""))</f>
        <v>160</v>
      </c>
      <c r="AR195" s="55">
        <f>Table2[[#This Row],[تاريخ انتهاء الفحص ميلادي]]</f>
        <v>46022</v>
      </c>
      <c r="AS195" s="56">
        <v>46022</v>
      </c>
      <c r="AT195" s="106">
        <f ca="1">IF(Table2[[#This Row],[تاريخ انتهاء الفحص ميلادي]]="","",IFERROR(_xlfn.DAYS(Table2[[#This Row],[تاريخ انتهاء الفحص ميلادي]],TODAY()),""))</f>
        <v>-238</v>
      </c>
      <c r="AU195" s="54" t="s">
        <v>1501</v>
      </c>
      <c r="AV195" s="1"/>
      <c r="BE195" s="3"/>
      <c r="BH195" s="1"/>
    </row>
    <row r="196" spans="1:60" x14ac:dyDescent="0.3">
      <c r="A196" s="39" t="s">
        <v>19</v>
      </c>
      <c r="B196" s="39" t="s">
        <v>1185</v>
      </c>
      <c r="C196" s="39" t="s">
        <v>1187</v>
      </c>
      <c r="D196" s="39" t="s">
        <v>17</v>
      </c>
      <c r="E196" s="39" t="s">
        <v>819</v>
      </c>
      <c r="F196" s="40">
        <v>7025667531</v>
      </c>
      <c r="G196" s="41" t="s">
        <v>416</v>
      </c>
      <c r="H196" s="39" t="s">
        <v>417</v>
      </c>
      <c r="I196" s="58">
        <v>720106020</v>
      </c>
      <c r="J196" s="39" t="s">
        <v>20</v>
      </c>
      <c r="K196" s="39" t="s">
        <v>67</v>
      </c>
      <c r="L196" s="39" t="s">
        <v>22</v>
      </c>
      <c r="M196" s="39">
        <v>2024</v>
      </c>
      <c r="N196" s="39" t="s">
        <v>64</v>
      </c>
      <c r="O196" s="39" t="s">
        <v>1920</v>
      </c>
      <c r="P196" s="58">
        <v>2561738671</v>
      </c>
      <c r="Q196" s="39" t="s">
        <v>1715</v>
      </c>
      <c r="R196" s="124">
        <v>46242</v>
      </c>
      <c r="S196" s="124">
        <v>46387</v>
      </c>
      <c r="T196" s="58">
        <f ca="1">IF(Table2[[#This Row],[تاريخ نهاية التفويض]]="","",IFERROR(_xlfn.DAYS(Table2[[#This Row],[تاريخ نهاية التفويض]],TODAY()),""))</f>
        <v>127</v>
      </c>
      <c r="U196" s="42" t="s">
        <v>26</v>
      </c>
      <c r="V196" s="43">
        <v>46393</v>
      </c>
      <c r="W196" s="44">
        <f ca="1">IF(Table2[[#This Row],[تاريخ انتهاء التأمين]]="","",IFERROR(_xlfn.DAYS(Table2[[#This Row],[تاريخ انتهاء التأمين]],TODAY()),""))</f>
        <v>133</v>
      </c>
      <c r="X196" s="42" t="s">
        <v>27</v>
      </c>
      <c r="Y196" s="42" t="s">
        <v>28</v>
      </c>
      <c r="Z196" s="45">
        <v>1180</v>
      </c>
      <c r="AA196" s="46">
        <v>992863</v>
      </c>
      <c r="AB196" s="46" t="s">
        <v>1438</v>
      </c>
      <c r="AC196" s="46" t="s">
        <v>861</v>
      </c>
      <c r="AD196" s="46" t="s">
        <v>938</v>
      </c>
      <c r="AE196" s="47">
        <v>298</v>
      </c>
      <c r="AF196" s="114" t="s">
        <v>1137</v>
      </c>
      <c r="AG196" s="114" t="s">
        <v>1137</v>
      </c>
      <c r="AH196" s="114" t="s">
        <v>1137</v>
      </c>
      <c r="AI196" s="114" t="s">
        <v>1137</v>
      </c>
      <c r="AJ196" s="129" t="s">
        <v>1137</v>
      </c>
      <c r="AK196" s="129" t="s">
        <v>1137</v>
      </c>
      <c r="AL196" s="114" t="s">
        <v>1137</v>
      </c>
      <c r="AM196" s="129" t="s">
        <v>1137</v>
      </c>
      <c r="AN196" s="129" t="s">
        <v>1137</v>
      </c>
      <c r="AO196" s="80">
        <v>46412</v>
      </c>
      <c r="AP196" s="52">
        <f>Table2[[#This Row],[تاريخ انتهاء رخصة السير هجري]]</f>
        <v>46412</v>
      </c>
      <c r="AQ196" s="53">
        <f ca="1">IF(Table2[[#This Row],[تاريخ انتهاء رخصة السير ميلادي]]="","",IFERROR(_xlfn.DAYS(Table2[[#This Row],[تاريخ انتهاء رخصة السير ميلادي]],TODAY()),""))</f>
        <v>152</v>
      </c>
      <c r="AR196" s="55">
        <f>Table2[[#This Row],[تاريخ انتهاء الفحص ميلادي]]</f>
        <v>46022</v>
      </c>
      <c r="AS196" s="56">
        <v>46022</v>
      </c>
      <c r="AT196" s="106">
        <f ca="1">IF(Table2[[#This Row],[تاريخ انتهاء الفحص ميلادي]]="","",IFERROR(_xlfn.DAYS(Table2[[#This Row],[تاريخ انتهاء الفحص ميلادي]],TODAY()),""))</f>
        <v>-238</v>
      </c>
      <c r="AU196" s="54" t="s">
        <v>1501</v>
      </c>
      <c r="AV196" s="1"/>
      <c r="BE196" s="3"/>
      <c r="BH196" s="1"/>
    </row>
    <row r="197" spans="1:60" x14ac:dyDescent="0.3">
      <c r="A197" s="39" t="s">
        <v>19</v>
      </c>
      <c r="B197" s="39" t="s">
        <v>2000</v>
      </c>
      <c r="C197" s="39" t="s">
        <v>1187</v>
      </c>
      <c r="D197" s="39" t="s">
        <v>17</v>
      </c>
      <c r="E197" s="39" t="s">
        <v>819</v>
      </c>
      <c r="F197" s="40">
        <v>7025667531</v>
      </c>
      <c r="G197" s="41" t="s">
        <v>418</v>
      </c>
      <c r="H197" s="39" t="s">
        <v>419</v>
      </c>
      <c r="I197" s="58">
        <v>897634020</v>
      </c>
      <c r="J197" s="39" t="s">
        <v>20</v>
      </c>
      <c r="K197" s="39" t="s">
        <v>21</v>
      </c>
      <c r="L197" s="39" t="s">
        <v>22</v>
      </c>
      <c r="M197" s="39">
        <v>2024</v>
      </c>
      <c r="N197" s="39" t="s">
        <v>64</v>
      </c>
      <c r="O197" s="39" t="s">
        <v>1898</v>
      </c>
      <c r="P197" s="58">
        <v>2594102754</v>
      </c>
      <c r="Q197" s="39" t="s">
        <v>1716</v>
      </c>
      <c r="R197" s="124">
        <v>46252</v>
      </c>
      <c r="S197" s="124">
        <v>46387</v>
      </c>
      <c r="T197" s="58">
        <f ca="1">IF(Table2[[#This Row],[تاريخ نهاية التفويض]]="","",IFERROR(_xlfn.DAYS(Table2[[#This Row],[تاريخ نهاية التفويض]],TODAY()),""))</f>
        <v>127</v>
      </c>
      <c r="U197" s="42" t="s">
        <v>26</v>
      </c>
      <c r="V197" s="43">
        <v>46393</v>
      </c>
      <c r="W197" s="44">
        <f ca="1">IF(Table2[[#This Row],[تاريخ انتهاء التأمين]]="","",IFERROR(_xlfn.DAYS(Table2[[#This Row],[تاريخ انتهاء التأمين]],TODAY()),""))</f>
        <v>133</v>
      </c>
      <c r="X197" s="42" t="s">
        <v>27</v>
      </c>
      <c r="Y197" s="42" t="s">
        <v>28</v>
      </c>
      <c r="Z197" s="45">
        <v>1180</v>
      </c>
      <c r="AA197" s="46">
        <v>992868</v>
      </c>
      <c r="AB197" s="46" t="s">
        <v>1439</v>
      </c>
      <c r="AC197" s="46" t="s">
        <v>861</v>
      </c>
      <c r="AD197" s="46" t="s">
        <v>938</v>
      </c>
      <c r="AE197" s="47">
        <v>300</v>
      </c>
      <c r="AF197" s="114" t="s">
        <v>1137</v>
      </c>
      <c r="AG197" s="114" t="s">
        <v>1137</v>
      </c>
      <c r="AH197" s="114" t="s">
        <v>1137</v>
      </c>
      <c r="AI197" s="114" t="s">
        <v>1137</v>
      </c>
      <c r="AJ197" s="129" t="s">
        <v>1137</v>
      </c>
      <c r="AK197" s="129" t="s">
        <v>1137</v>
      </c>
      <c r="AL197" s="114" t="s">
        <v>1137</v>
      </c>
      <c r="AM197" s="129" t="s">
        <v>1137</v>
      </c>
      <c r="AN197" s="129" t="s">
        <v>1137</v>
      </c>
      <c r="AO197" s="80">
        <v>46350</v>
      </c>
      <c r="AP197" s="52">
        <f>Table2[[#This Row],[تاريخ انتهاء رخصة السير هجري]]</f>
        <v>46350</v>
      </c>
      <c r="AQ197" s="53">
        <f ca="1">IF(Table2[[#This Row],[تاريخ انتهاء رخصة السير ميلادي]]="","",IFERROR(_xlfn.DAYS(Table2[[#This Row],[تاريخ انتهاء رخصة السير ميلادي]],TODAY()),""))</f>
        <v>90</v>
      </c>
      <c r="AR197" s="55">
        <f>Table2[[#This Row],[تاريخ انتهاء الفحص ميلادي]]</f>
        <v>46022</v>
      </c>
      <c r="AS197" s="56">
        <v>46022</v>
      </c>
      <c r="AT197" s="106">
        <f ca="1">IF(Table2[[#This Row],[تاريخ انتهاء الفحص ميلادي]]="","",IFERROR(_xlfn.DAYS(Table2[[#This Row],[تاريخ انتهاء الفحص ميلادي]],TODAY()),""))</f>
        <v>-238</v>
      </c>
      <c r="AU197" s="54" t="s">
        <v>1501</v>
      </c>
      <c r="AV197" s="1"/>
      <c r="BE197" s="3"/>
      <c r="BH197" s="1"/>
    </row>
    <row r="198" spans="1:60" x14ac:dyDescent="0.3">
      <c r="A198" s="39" t="s">
        <v>1126</v>
      </c>
      <c r="B198" s="39" t="s">
        <v>819</v>
      </c>
      <c r="C198" s="39" t="s">
        <v>1138</v>
      </c>
      <c r="D198" s="39" t="s">
        <v>1506</v>
      </c>
      <c r="E198" s="39" t="s">
        <v>819</v>
      </c>
      <c r="F198" s="58">
        <v>1064442229</v>
      </c>
      <c r="G198" s="41" t="s">
        <v>422</v>
      </c>
      <c r="H198" s="39" t="s">
        <v>423</v>
      </c>
      <c r="I198" s="58">
        <v>946875020</v>
      </c>
      <c r="J198" s="39" t="s">
        <v>20</v>
      </c>
      <c r="K198" s="39" t="s">
        <v>421</v>
      </c>
      <c r="L198" s="39" t="s">
        <v>22</v>
      </c>
      <c r="M198" s="39">
        <v>2014</v>
      </c>
      <c r="N198" s="39" t="s">
        <v>64</v>
      </c>
      <c r="O198" s="39" t="s">
        <v>1138</v>
      </c>
      <c r="P198" s="58" t="s">
        <v>1138</v>
      </c>
      <c r="Q198" s="39" t="s">
        <v>1138</v>
      </c>
      <c r="R198" s="124" t="s">
        <v>1138</v>
      </c>
      <c r="S198" s="124" t="s">
        <v>1138</v>
      </c>
      <c r="T198" s="124" t="s">
        <v>1138</v>
      </c>
      <c r="U198" s="42" t="s">
        <v>26</v>
      </c>
      <c r="V198" s="43">
        <v>46393</v>
      </c>
      <c r="W198" s="44">
        <f ca="1">IF(Table2[[#This Row],[تاريخ انتهاء التأمين]]="","",IFERROR(_xlfn.DAYS(Table2[[#This Row],[تاريخ انتهاء التأمين]],TODAY()),""))</f>
        <v>133</v>
      </c>
      <c r="X198" s="42" t="s">
        <v>27</v>
      </c>
      <c r="Y198" s="42" t="s">
        <v>28</v>
      </c>
      <c r="Z198" s="45">
        <v>1180</v>
      </c>
      <c r="AA198" s="46" t="s">
        <v>1138</v>
      </c>
      <c r="AB198" s="46" t="s">
        <v>1138</v>
      </c>
      <c r="AC198" s="46" t="s">
        <v>1138</v>
      </c>
      <c r="AD198" s="46" t="s">
        <v>1138</v>
      </c>
      <c r="AE198" s="46" t="s">
        <v>1138</v>
      </c>
      <c r="AF198" s="48" t="s">
        <v>1138</v>
      </c>
      <c r="AG198" s="48" t="s">
        <v>1138</v>
      </c>
      <c r="AH198" s="48" t="s">
        <v>1138</v>
      </c>
      <c r="AI198" s="48" t="s">
        <v>1138</v>
      </c>
      <c r="AJ198" s="89" t="s">
        <v>1138</v>
      </c>
      <c r="AK198" s="89" t="s">
        <v>1138</v>
      </c>
      <c r="AL198" s="49" t="s">
        <v>1138</v>
      </c>
      <c r="AM198" s="50" t="s">
        <v>1138</v>
      </c>
      <c r="AN198" s="50" t="s">
        <v>1138</v>
      </c>
      <c r="AO198" s="80">
        <v>46403</v>
      </c>
      <c r="AP198" s="52">
        <f>Table2[[#This Row],[تاريخ انتهاء رخصة السير هجري]]</f>
        <v>46403</v>
      </c>
      <c r="AQ198" s="53">
        <f ca="1">IF(Table2[[#This Row],[تاريخ انتهاء رخصة السير ميلادي]]="","",IFERROR(_xlfn.DAYS(Table2[[#This Row],[تاريخ انتهاء رخصة السير ميلادي]],TODAY()),""))</f>
        <v>143</v>
      </c>
      <c r="AR198" s="131" t="s">
        <v>1137</v>
      </c>
      <c r="AS198" s="133" t="s">
        <v>1137</v>
      </c>
      <c r="AT198" s="133" t="s">
        <v>1137</v>
      </c>
      <c r="AU198" s="54" t="s">
        <v>1503</v>
      </c>
      <c r="AV198" s="1"/>
      <c r="BE198" s="3"/>
      <c r="BH198" s="1"/>
    </row>
    <row r="199" spans="1:60" x14ac:dyDescent="0.3">
      <c r="A199" s="39" t="s">
        <v>19</v>
      </c>
      <c r="B199" s="39" t="s">
        <v>1183</v>
      </c>
      <c r="C199" s="39" t="s">
        <v>2004</v>
      </c>
      <c r="D199" s="39" t="s">
        <v>17</v>
      </c>
      <c r="E199" s="39" t="s">
        <v>819</v>
      </c>
      <c r="F199" s="40">
        <v>7025667531</v>
      </c>
      <c r="G199" s="41" t="s">
        <v>428</v>
      </c>
      <c r="H199" s="39" t="s">
        <v>429</v>
      </c>
      <c r="I199" s="58">
        <v>624915020</v>
      </c>
      <c r="J199" s="39" t="s">
        <v>424</v>
      </c>
      <c r="K199" s="39" t="s">
        <v>425</v>
      </c>
      <c r="L199" s="39" t="s">
        <v>426</v>
      </c>
      <c r="M199" s="58">
        <v>2023</v>
      </c>
      <c r="N199" s="39" t="s">
        <v>427</v>
      </c>
      <c r="O199" s="39" t="s">
        <v>1921</v>
      </c>
      <c r="P199" s="58">
        <v>2559188558</v>
      </c>
      <c r="Q199" s="39" t="s">
        <v>1717</v>
      </c>
      <c r="R199" s="124">
        <v>45994</v>
      </c>
      <c r="S199" s="124">
        <v>46327</v>
      </c>
      <c r="T199" s="58">
        <f ca="1">IF(Table2[[#This Row],[تاريخ نهاية التفويض]]="","",IFERROR(_xlfn.DAYS(Table2[[#This Row],[تاريخ نهاية التفويض]],TODAY()),""))</f>
        <v>67</v>
      </c>
      <c r="U199" s="42" t="s">
        <v>430</v>
      </c>
      <c r="V199" s="43">
        <v>46393</v>
      </c>
      <c r="W199" s="44">
        <f ca="1">IF(Table2[[#This Row],[تاريخ انتهاء التأمين]]="","",IFERROR(_xlfn.DAYS(Table2[[#This Row],[تاريخ انتهاء التأمين]],TODAY()),""))</f>
        <v>133</v>
      </c>
      <c r="X199" s="42" t="s">
        <v>27</v>
      </c>
      <c r="Y199" s="42" t="s">
        <v>431</v>
      </c>
      <c r="Z199" s="45">
        <v>2500</v>
      </c>
      <c r="AA199" s="46">
        <v>624918</v>
      </c>
      <c r="AB199" s="46" t="s">
        <v>1440</v>
      </c>
      <c r="AC199" s="46" t="s">
        <v>861</v>
      </c>
      <c r="AD199" s="46" t="s">
        <v>938</v>
      </c>
      <c r="AE199" s="47">
        <v>1000</v>
      </c>
      <c r="AF199" s="48" t="s">
        <v>1147</v>
      </c>
      <c r="AG199" s="48" t="s">
        <v>861</v>
      </c>
      <c r="AH199" s="48" t="s">
        <v>1149</v>
      </c>
      <c r="AI199" s="90">
        <v>867747070610207</v>
      </c>
      <c r="AJ199" s="89">
        <v>46140</v>
      </c>
      <c r="AK199" s="102">
        <f ca="1">IF(Table2[[#This Row],[تاريخ انتهاء ال GPS]]="","",IFERROR(_xlfn.DAYS(Table2[[#This Row],[تاريخ انتهاء ال GPS]],TODAY()),""))</f>
        <v>-120</v>
      </c>
      <c r="AL199" s="49" t="s">
        <v>1003</v>
      </c>
      <c r="AM199" s="50">
        <v>46438</v>
      </c>
      <c r="AN199" s="51">
        <f ca="1">IF(Table2[[#This Row],[تاريخ انتهاء بطاقة التشغيل]]="","",IFERROR(_xlfn.DAYS(Table2[[#This Row],[تاريخ انتهاء بطاقة التشغيل]],TODAY()),""))</f>
        <v>178</v>
      </c>
      <c r="AO199" s="80">
        <v>46378</v>
      </c>
      <c r="AP199" s="52">
        <f>Table2[[#This Row],[تاريخ انتهاء رخصة السير هجري]]</f>
        <v>46378</v>
      </c>
      <c r="AQ199" s="53">
        <f ca="1">IF(Table2[[#This Row],[تاريخ انتهاء رخصة السير ميلادي]]="","",IFERROR(_xlfn.DAYS(Table2[[#This Row],[تاريخ انتهاء رخصة السير ميلادي]],TODAY()),""))</f>
        <v>118</v>
      </c>
      <c r="AR199" s="55">
        <v>46558</v>
      </c>
      <c r="AS199" s="56">
        <f>Table2[[#This Row],[تاريخ انتهاء الفحص هجري]]</f>
        <v>46558</v>
      </c>
      <c r="AT199" s="106">
        <f ca="1">IF(Table2[[#This Row],[تاريخ انتهاء الفحص ميلادي]]="","",IFERROR(_xlfn.DAYS(Table2[[#This Row],[تاريخ انتهاء الفحص ميلادي]],TODAY()),""))</f>
        <v>298</v>
      </c>
      <c r="AU199" s="54"/>
      <c r="AV199" s="1"/>
      <c r="BE199" s="3"/>
      <c r="BH199" s="1"/>
    </row>
    <row r="200" spans="1:60" x14ac:dyDescent="0.3">
      <c r="A200" s="39" t="s">
        <v>19</v>
      </c>
      <c r="B200" s="39" t="s">
        <v>1183</v>
      </c>
      <c r="C200" s="39" t="s">
        <v>1187</v>
      </c>
      <c r="D200" s="39" t="s">
        <v>17</v>
      </c>
      <c r="E200" s="39" t="s">
        <v>819</v>
      </c>
      <c r="F200" s="40">
        <v>7025667531</v>
      </c>
      <c r="G200" s="41" t="s">
        <v>432</v>
      </c>
      <c r="H200" s="39" t="s">
        <v>433</v>
      </c>
      <c r="I200" s="58">
        <v>715915020</v>
      </c>
      <c r="J200" s="39" t="s">
        <v>424</v>
      </c>
      <c r="K200" s="39" t="s">
        <v>425</v>
      </c>
      <c r="L200" s="39" t="s">
        <v>426</v>
      </c>
      <c r="M200" s="58">
        <v>2023</v>
      </c>
      <c r="N200" s="39" t="s">
        <v>427</v>
      </c>
      <c r="O200" s="39" t="s">
        <v>1922</v>
      </c>
      <c r="P200" s="58">
        <v>2559189242</v>
      </c>
      <c r="Q200" s="39" t="s">
        <v>1718</v>
      </c>
      <c r="R200" s="124">
        <v>45994</v>
      </c>
      <c r="S200" s="124">
        <v>46327</v>
      </c>
      <c r="T200" s="58">
        <f ca="1">IF(Table2[[#This Row],[تاريخ نهاية التفويض]]="","",IFERROR(_xlfn.DAYS(Table2[[#This Row],[تاريخ نهاية التفويض]],TODAY()),""))</f>
        <v>67</v>
      </c>
      <c r="U200" s="42" t="s">
        <v>430</v>
      </c>
      <c r="V200" s="43">
        <v>46393</v>
      </c>
      <c r="W200" s="44">
        <f ca="1">IF(Table2[[#This Row],[تاريخ انتهاء التأمين]]="","",IFERROR(_xlfn.DAYS(Table2[[#This Row],[تاريخ انتهاء التأمين]],TODAY()),""))</f>
        <v>133</v>
      </c>
      <c r="X200" s="42" t="s">
        <v>27</v>
      </c>
      <c r="Y200" s="42" t="s">
        <v>431</v>
      </c>
      <c r="Z200" s="45">
        <v>2500</v>
      </c>
      <c r="AA200" s="46">
        <v>624913</v>
      </c>
      <c r="AB200" s="46" t="s">
        <v>1441</v>
      </c>
      <c r="AC200" s="46" t="s">
        <v>861</v>
      </c>
      <c r="AD200" s="46" t="s">
        <v>938</v>
      </c>
      <c r="AE200" s="47">
        <v>1000</v>
      </c>
      <c r="AF200" s="48" t="s">
        <v>1147</v>
      </c>
      <c r="AG200" s="48" t="s">
        <v>861</v>
      </c>
      <c r="AH200" s="48" t="s">
        <v>1149</v>
      </c>
      <c r="AI200" s="90">
        <v>867747077357950</v>
      </c>
      <c r="AJ200" s="89">
        <v>46140</v>
      </c>
      <c r="AK200" s="102">
        <f ca="1">IF(Table2[[#This Row],[تاريخ انتهاء ال GPS]]="","",IFERROR(_xlfn.DAYS(Table2[[#This Row],[تاريخ انتهاء ال GPS]],TODAY()),""))</f>
        <v>-120</v>
      </c>
      <c r="AL200" s="49" t="s">
        <v>1001</v>
      </c>
      <c r="AM200" s="50">
        <v>46438</v>
      </c>
      <c r="AN200" s="51">
        <f ca="1">IF(Table2[[#This Row],[تاريخ انتهاء بطاقة التشغيل]]="","",IFERROR(_xlfn.DAYS(Table2[[#This Row],[تاريخ انتهاء بطاقة التشغيل]],TODAY()),""))</f>
        <v>178</v>
      </c>
      <c r="AO200" s="80">
        <v>46378</v>
      </c>
      <c r="AP200" s="52">
        <f>Table2[[#This Row],[تاريخ انتهاء رخصة السير هجري]]</f>
        <v>46378</v>
      </c>
      <c r="AQ200" s="53">
        <f ca="1">IF(Table2[[#This Row],[تاريخ انتهاء رخصة السير ميلادي]]="","",IFERROR(_xlfn.DAYS(Table2[[#This Row],[تاريخ انتهاء رخصة السير ميلادي]],TODAY()),""))</f>
        <v>118</v>
      </c>
      <c r="AR200" s="55">
        <v>46555</v>
      </c>
      <c r="AS200" s="56">
        <f>Table2[[#This Row],[تاريخ انتهاء الفحص هجري]]</f>
        <v>46555</v>
      </c>
      <c r="AT200" s="106">
        <f ca="1">IF(Table2[[#This Row],[تاريخ انتهاء الفحص ميلادي]]="","",IFERROR(_xlfn.DAYS(Table2[[#This Row],[تاريخ انتهاء الفحص ميلادي]],TODAY()),""))</f>
        <v>295</v>
      </c>
      <c r="AU200" s="54"/>
      <c r="AV200" s="1"/>
      <c r="BE200" s="3"/>
      <c r="BH200" s="1"/>
    </row>
    <row r="201" spans="1:60" x14ac:dyDescent="0.3">
      <c r="A201" s="39" t="s">
        <v>19</v>
      </c>
      <c r="B201" s="39" t="s">
        <v>2000</v>
      </c>
      <c r="C201" s="39" t="s">
        <v>1187</v>
      </c>
      <c r="D201" s="39" t="s">
        <v>17</v>
      </c>
      <c r="E201" s="39" t="s">
        <v>819</v>
      </c>
      <c r="F201" s="40">
        <v>7025667531</v>
      </c>
      <c r="G201" s="41" t="s">
        <v>434</v>
      </c>
      <c r="H201" s="39" t="s">
        <v>435</v>
      </c>
      <c r="I201" s="58">
        <v>853915020</v>
      </c>
      <c r="J201" s="39" t="s">
        <v>424</v>
      </c>
      <c r="K201" s="39" t="s">
        <v>425</v>
      </c>
      <c r="L201" s="39" t="s">
        <v>426</v>
      </c>
      <c r="M201" s="58">
        <v>2023</v>
      </c>
      <c r="N201" s="39" t="s">
        <v>427</v>
      </c>
      <c r="O201" s="39" t="s">
        <v>1923</v>
      </c>
      <c r="P201" s="58">
        <v>2605532643</v>
      </c>
      <c r="Q201" s="39" t="s">
        <v>1719</v>
      </c>
      <c r="R201" s="124">
        <v>46250</v>
      </c>
      <c r="S201" s="124">
        <v>46387</v>
      </c>
      <c r="T201" s="58">
        <f ca="1">IF(Table2[[#This Row],[تاريخ نهاية التفويض]]="","",IFERROR(_xlfn.DAYS(Table2[[#This Row],[تاريخ نهاية التفويض]],TODAY()),""))</f>
        <v>127</v>
      </c>
      <c r="U201" s="42" t="s">
        <v>430</v>
      </c>
      <c r="V201" s="43">
        <v>46393</v>
      </c>
      <c r="W201" s="44">
        <f ca="1">IF(Table2[[#This Row],[تاريخ انتهاء التأمين]]="","",IFERROR(_xlfn.DAYS(Table2[[#This Row],[تاريخ انتهاء التأمين]],TODAY()),""))</f>
        <v>133</v>
      </c>
      <c r="X201" s="42" t="s">
        <v>27</v>
      </c>
      <c r="Y201" s="42" t="s">
        <v>431</v>
      </c>
      <c r="Z201" s="45">
        <v>2500</v>
      </c>
      <c r="AA201" s="46">
        <v>624912</v>
      </c>
      <c r="AB201" s="46" t="s">
        <v>1138</v>
      </c>
      <c r="AC201" s="46" t="s">
        <v>861</v>
      </c>
      <c r="AD201" s="46" t="s">
        <v>938</v>
      </c>
      <c r="AE201" s="47">
        <v>1000</v>
      </c>
      <c r="AF201" s="48" t="s">
        <v>1147</v>
      </c>
      <c r="AG201" s="48" t="s">
        <v>861</v>
      </c>
      <c r="AH201" s="48" t="s">
        <v>1149</v>
      </c>
      <c r="AI201" s="90">
        <v>867747071418683</v>
      </c>
      <c r="AJ201" s="89">
        <v>46140</v>
      </c>
      <c r="AK201" s="102">
        <f ca="1">IF(Table2[[#This Row],[تاريخ انتهاء ال GPS]]="","",IFERROR(_xlfn.DAYS(Table2[[#This Row],[تاريخ انتهاء ال GPS]],TODAY()),""))</f>
        <v>-120</v>
      </c>
      <c r="AL201" s="49" t="s">
        <v>1004</v>
      </c>
      <c r="AM201" s="50">
        <v>46438</v>
      </c>
      <c r="AN201" s="51">
        <f ca="1">IF(Table2[[#This Row],[تاريخ انتهاء بطاقة التشغيل]]="","",IFERROR(_xlfn.DAYS(Table2[[#This Row],[تاريخ انتهاء بطاقة التشغيل]],TODAY()),""))</f>
        <v>178</v>
      </c>
      <c r="AO201" s="80">
        <v>46378</v>
      </c>
      <c r="AP201" s="52">
        <f>Table2[[#This Row],[تاريخ انتهاء رخصة السير هجري]]</f>
        <v>46378</v>
      </c>
      <c r="AQ201" s="53">
        <f ca="1">IF(Table2[[#This Row],[تاريخ انتهاء رخصة السير ميلادي]]="","",IFERROR(_xlfn.DAYS(Table2[[#This Row],[تاريخ انتهاء رخصة السير ميلادي]],TODAY()),""))</f>
        <v>118</v>
      </c>
      <c r="AR201" s="55">
        <v>46553</v>
      </c>
      <c r="AS201" s="56">
        <f>Table2[[#This Row],[تاريخ انتهاء الفحص هجري]]</f>
        <v>46553</v>
      </c>
      <c r="AT201" s="106">
        <f ca="1">IF(Table2[[#This Row],[تاريخ انتهاء الفحص ميلادي]]="","",IFERROR(_xlfn.DAYS(Table2[[#This Row],[تاريخ انتهاء الفحص ميلادي]],TODAY()),""))</f>
        <v>293</v>
      </c>
      <c r="AU201" s="54"/>
      <c r="AV201" s="1"/>
      <c r="BE201" s="3"/>
      <c r="BH201" s="1"/>
    </row>
    <row r="202" spans="1:60" x14ac:dyDescent="0.3">
      <c r="A202" s="39" t="s">
        <v>19</v>
      </c>
      <c r="B202" s="39" t="s">
        <v>2000</v>
      </c>
      <c r="C202" s="39" t="s">
        <v>1187</v>
      </c>
      <c r="D202" s="39" t="s">
        <v>17</v>
      </c>
      <c r="E202" s="39" t="s">
        <v>819</v>
      </c>
      <c r="F202" s="40">
        <v>7025667531</v>
      </c>
      <c r="G202" s="41" t="s">
        <v>436</v>
      </c>
      <c r="H202" s="39" t="s">
        <v>437</v>
      </c>
      <c r="I202" s="58">
        <v>325915020</v>
      </c>
      <c r="J202" s="39" t="s">
        <v>424</v>
      </c>
      <c r="K202" s="39" t="s">
        <v>425</v>
      </c>
      <c r="L202" s="39" t="s">
        <v>426</v>
      </c>
      <c r="M202" s="58">
        <v>2023</v>
      </c>
      <c r="N202" s="39" t="s">
        <v>427</v>
      </c>
      <c r="O202" s="39" t="s">
        <v>1985</v>
      </c>
      <c r="P202" s="58">
        <v>2616746968</v>
      </c>
      <c r="Q202" s="39" t="s">
        <v>1720</v>
      </c>
      <c r="R202" s="124">
        <v>46256</v>
      </c>
      <c r="S202" s="124">
        <v>46387</v>
      </c>
      <c r="T202" s="58">
        <f ca="1">IF(Table2[[#This Row],[تاريخ نهاية التفويض]]="","",IFERROR(_xlfn.DAYS(Table2[[#This Row],[تاريخ نهاية التفويض]],TODAY()),""))</f>
        <v>127</v>
      </c>
      <c r="U202" s="42" t="s">
        <v>430</v>
      </c>
      <c r="V202" s="43">
        <v>46393</v>
      </c>
      <c r="W202" s="44">
        <f ca="1">IF(Table2[[#This Row],[تاريخ انتهاء التأمين]]="","",IFERROR(_xlfn.DAYS(Table2[[#This Row],[تاريخ انتهاء التأمين]],TODAY()),""))</f>
        <v>133</v>
      </c>
      <c r="X202" s="42" t="s">
        <v>27</v>
      </c>
      <c r="Y202" s="42" t="s">
        <v>431</v>
      </c>
      <c r="Z202" s="45">
        <v>2500</v>
      </c>
      <c r="AA202" s="46">
        <v>624915</v>
      </c>
      <c r="AB202" s="46" t="s">
        <v>1442</v>
      </c>
      <c r="AC202" s="46" t="s">
        <v>861</v>
      </c>
      <c r="AD202" s="46" t="s">
        <v>938</v>
      </c>
      <c r="AE202" s="47">
        <v>1000</v>
      </c>
      <c r="AF202" s="48" t="s">
        <v>1147</v>
      </c>
      <c r="AG202" s="48" t="s">
        <v>861</v>
      </c>
      <c r="AH202" s="48" t="s">
        <v>1149</v>
      </c>
      <c r="AI202" s="90">
        <v>867747077358107</v>
      </c>
      <c r="AJ202" s="89">
        <v>46140</v>
      </c>
      <c r="AK202" s="102">
        <f ca="1">IF(Table2[[#This Row],[تاريخ انتهاء ال GPS]]="","",IFERROR(_xlfn.DAYS(Table2[[#This Row],[تاريخ انتهاء ال GPS]],TODAY()),""))</f>
        <v>-120</v>
      </c>
      <c r="AL202" s="49" t="s">
        <v>1007</v>
      </c>
      <c r="AM202" s="50">
        <v>46438</v>
      </c>
      <c r="AN202" s="51">
        <f ca="1">IF(Table2[[#This Row],[تاريخ انتهاء بطاقة التشغيل]]="","",IFERROR(_xlfn.DAYS(Table2[[#This Row],[تاريخ انتهاء بطاقة التشغيل]],TODAY()),""))</f>
        <v>178</v>
      </c>
      <c r="AO202" s="80">
        <v>46378</v>
      </c>
      <c r="AP202" s="52">
        <f>Table2[[#This Row],[تاريخ انتهاء رخصة السير هجري]]</f>
        <v>46378</v>
      </c>
      <c r="AQ202" s="53">
        <f ca="1">IF(Table2[[#This Row],[تاريخ انتهاء رخصة السير ميلادي]]="","",IFERROR(_xlfn.DAYS(Table2[[#This Row],[تاريخ انتهاء رخصة السير ميلادي]],TODAY()),""))</f>
        <v>118</v>
      </c>
      <c r="AR202" s="55">
        <v>46586</v>
      </c>
      <c r="AS202" s="56">
        <f>Table2[[#This Row],[تاريخ انتهاء الفحص هجري]]</f>
        <v>46586</v>
      </c>
      <c r="AT202" s="106">
        <f ca="1">IF(Table2[[#This Row],[تاريخ انتهاء الفحص ميلادي]]="","",IFERROR(_xlfn.DAYS(Table2[[#This Row],[تاريخ انتهاء الفحص ميلادي]],TODAY()),""))</f>
        <v>326</v>
      </c>
      <c r="AU202" s="54"/>
      <c r="AV202" s="1"/>
      <c r="BE202" s="3"/>
      <c r="BH202" s="1"/>
    </row>
    <row r="203" spans="1:60" x14ac:dyDescent="0.3">
      <c r="A203" s="39" t="s">
        <v>19</v>
      </c>
      <c r="B203" s="39" t="s">
        <v>2002</v>
      </c>
      <c r="C203" s="39" t="s">
        <v>1187</v>
      </c>
      <c r="D203" s="39" t="s">
        <v>17</v>
      </c>
      <c r="E203" s="39" t="s">
        <v>819</v>
      </c>
      <c r="F203" s="40">
        <v>7025667531</v>
      </c>
      <c r="G203" s="41" t="s">
        <v>438</v>
      </c>
      <c r="H203" s="39" t="s">
        <v>439</v>
      </c>
      <c r="I203" s="58">
        <v>933915020</v>
      </c>
      <c r="J203" s="39" t="s">
        <v>424</v>
      </c>
      <c r="K203" s="39" t="s">
        <v>425</v>
      </c>
      <c r="L203" s="39" t="s">
        <v>426</v>
      </c>
      <c r="M203" s="58">
        <v>2023</v>
      </c>
      <c r="N203" s="39" t="s">
        <v>427</v>
      </c>
      <c r="O203" s="39" t="s">
        <v>1924</v>
      </c>
      <c r="P203" s="58">
        <v>2015321132</v>
      </c>
      <c r="Q203" s="39" t="s">
        <v>1721</v>
      </c>
      <c r="R203" s="124">
        <v>46161</v>
      </c>
      <c r="S203" s="124">
        <v>46327</v>
      </c>
      <c r="T203" s="58">
        <f ca="1">IF(Table2[[#This Row],[تاريخ نهاية التفويض]]="","",IFERROR(_xlfn.DAYS(Table2[[#This Row],[تاريخ نهاية التفويض]],TODAY()),""))</f>
        <v>67</v>
      </c>
      <c r="U203" s="42" t="s">
        <v>430</v>
      </c>
      <c r="V203" s="43">
        <v>46393</v>
      </c>
      <c r="W203" s="44">
        <f ca="1">IF(Table2[[#This Row],[تاريخ انتهاء التأمين]]="","",IFERROR(_xlfn.DAYS(Table2[[#This Row],[تاريخ انتهاء التأمين]],TODAY()),""))</f>
        <v>133</v>
      </c>
      <c r="X203" s="42" t="s">
        <v>27</v>
      </c>
      <c r="Y203" s="42" t="s">
        <v>431</v>
      </c>
      <c r="Z203" s="45">
        <v>2500</v>
      </c>
      <c r="AA203" s="46">
        <v>624911</v>
      </c>
      <c r="AB203" s="46" t="s">
        <v>1443</v>
      </c>
      <c r="AC203" s="46" t="s">
        <v>861</v>
      </c>
      <c r="AD203" s="46" t="s">
        <v>938</v>
      </c>
      <c r="AE203" s="47">
        <v>1000</v>
      </c>
      <c r="AF203" s="48" t="s">
        <v>1147</v>
      </c>
      <c r="AG203" s="48" t="s">
        <v>861</v>
      </c>
      <c r="AH203" s="48" t="s">
        <v>1149</v>
      </c>
      <c r="AI203" s="90">
        <v>867747074928902</v>
      </c>
      <c r="AJ203" s="89">
        <v>46140</v>
      </c>
      <c r="AK203" s="102">
        <f ca="1">IF(Table2[[#This Row],[تاريخ انتهاء ال GPS]]="","",IFERROR(_xlfn.DAYS(Table2[[#This Row],[تاريخ انتهاء ال GPS]],TODAY()),""))</f>
        <v>-120</v>
      </c>
      <c r="AL203" s="49" t="s">
        <v>1005</v>
      </c>
      <c r="AM203" s="50">
        <v>46438</v>
      </c>
      <c r="AN203" s="51">
        <f ca="1">IF(Table2[[#This Row],[تاريخ انتهاء بطاقة التشغيل]]="","",IFERROR(_xlfn.DAYS(Table2[[#This Row],[تاريخ انتهاء بطاقة التشغيل]],TODAY()),""))</f>
        <v>178</v>
      </c>
      <c r="AO203" s="80">
        <v>46378</v>
      </c>
      <c r="AP203" s="52">
        <f>Table2[[#This Row],[تاريخ انتهاء رخصة السير هجري]]</f>
        <v>46378</v>
      </c>
      <c r="AQ203" s="53">
        <f ca="1">IF(Table2[[#This Row],[تاريخ انتهاء رخصة السير ميلادي]]="","",IFERROR(_xlfn.DAYS(Table2[[#This Row],[تاريخ انتهاء رخصة السير ميلادي]],TODAY()),""))</f>
        <v>118</v>
      </c>
      <c r="AR203" s="55">
        <v>46561</v>
      </c>
      <c r="AS203" s="56">
        <f>Table2[[#This Row],[تاريخ انتهاء الفحص هجري]]</f>
        <v>46561</v>
      </c>
      <c r="AT203" s="106">
        <f ca="1">IF(Table2[[#This Row],[تاريخ انتهاء الفحص ميلادي]]="","",IFERROR(_xlfn.DAYS(Table2[[#This Row],[تاريخ انتهاء الفحص ميلادي]],TODAY()),""))</f>
        <v>301</v>
      </c>
      <c r="AU203" s="54"/>
      <c r="AV203" s="1"/>
      <c r="BE203" s="3"/>
      <c r="BH203" s="1"/>
    </row>
    <row r="204" spans="1:60" x14ac:dyDescent="0.3">
      <c r="A204" s="39" t="s">
        <v>19</v>
      </c>
      <c r="B204" s="39" t="s">
        <v>1183</v>
      </c>
      <c r="C204" s="39" t="s">
        <v>1187</v>
      </c>
      <c r="D204" s="39" t="s">
        <v>17</v>
      </c>
      <c r="E204" s="39" t="s">
        <v>819</v>
      </c>
      <c r="F204" s="40">
        <v>7025667531</v>
      </c>
      <c r="G204" s="41" t="s">
        <v>440</v>
      </c>
      <c r="H204" s="39" t="s">
        <v>441</v>
      </c>
      <c r="I204" s="58">
        <v>405915020</v>
      </c>
      <c r="J204" s="39" t="s">
        <v>424</v>
      </c>
      <c r="K204" s="39" t="s">
        <v>425</v>
      </c>
      <c r="L204" s="39" t="s">
        <v>426</v>
      </c>
      <c r="M204" s="58">
        <v>2023</v>
      </c>
      <c r="N204" s="39" t="s">
        <v>427</v>
      </c>
      <c r="O204" s="39" t="s">
        <v>1925</v>
      </c>
      <c r="P204" s="58">
        <v>2562205357</v>
      </c>
      <c r="Q204" s="39" t="s">
        <v>1722</v>
      </c>
      <c r="R204" s="124">
        <v>45994</v>
      </c>
      <c r="S204" s="124">
        <v>46327</v>
      </c>
      <c r="T204" s="58">
        <f ca="1">IF(Table2[[#This Row],[تاريخ نهاية التفويض]]="","",IFERROR(_xlfn.DAYS(Table2[[#This Row],[تاريخ نهاية التفويض]],TODAY()),""))</f>
        <v>67</v>
      </c>
      <c r="U204" s="42" t="s">
        <v>430</v>
      </c>
      <c r="V204" s="43">
        <v>46393</v>
      </c>
      <c r="W204" s="44">
        <f ca="1">IF(Table2[[#This Row],[تاريخ انتهاء التأمين]]="","",IFERROR(_xlfn.DAYS(Table2[[#This Row],[تاريخ انتهاء التأمين]],TODAY()),""))</f>
        <v>133</v>
      </c>
      <c r="X204" s="42" t="s">
        <v>27</v>
      </c>
      <c r="Y204" s="42" t="s">
        <v>431</v>
      </c>
      <c r="Z204" s="45">
        <v>2500</v>
      </c>
      <c r="AA204" s="46">
        <v>624914</v>
      </c>
      <c r="AB204" s="46" t="s">
        <v>1444</v>
      </c>
      <c r="AC204" s="46" t="s">
        <v>861</v>
      </c>
      <c r="AD204" s="46" t="s">
        <v>938</v>
      </c>
      <c r="AE204" s="47">
        <v>1000</v>
      </c>
      <c r="AF204" s="48" t="s">
        <v>1147</v>
      </c>
      <c r="AG204" s="48" t="s">
        <v>861</v>
      </c>
      <c r="AH204" s="48" t="s">
        <v>1149</v>
      </c>
      <c r="AI204" s="90">
        <v>867747071401143</v>
      </c>
      <c r="AJ204" s="89">
        <v>46140</v>
      </c>
      <c r="AK204" s="102">
        <f ca="1">IF(Table2[[#This Row],[تاريخ انتهاء ال GPS]]="","",IFERROR(_xlfn.DAYS(Table2[[#This Row],[تاريخ انتهاء ال GPS]],TODAY()),""))</f>
        <v>-120</v>
      </c>
      <c r="AL204" s="49" t="s">
        <v>1008</v>
      </c>
      <c r="AM204" s="50">
        <v>46438</v>
      </c>
      <c r="AN204" s="51">
        <f ca="1">IF(Table2[[#This Row],[تاريخ انتهاء بطاقة التشغيل]]="","",IFERROR(_xlfn.DAYS(Table2[[#This Row],[تاريخ انتهاء بطاقة التشغيل]],TODAY()),""))</f>
        <v>178</v>
      </c>
      <c r="AO204" s="80">
        <v>46378</v>
      </c>
      <c r="AP204" s="52">
        <f>Table2[[#This Row],[تاريخ انتهاء رخصة السير هجري]]</f>
        <v>46378</v>
      </c>
      <c r="AQ204" s="53">
        <f ca="1">IF(Table2[[#This Row],[تاريخ انتهاء رخصة السير ميلادي]]="","",IFERROR(_xlfn.DAYS(Table2[[#This Row],[تاريخ انتهاء رخصة السير ميلادي]],TODAY()),""))</f>
        <v>118</v>
      </c>
      <c r="AR204" s="55">
        <v>46584</v>
      </c>
      <c r="AS204" s="56">
        <f>Table2[[#This Row],[تاريخ انتهاء الفحص هجري]]</f>
        <v>46584</v>
      </c>
      <c r="AT204" s="106">
        <f ca="1">IF(Table2[[#This Row],[تاريخ انتهاء الفحص ميلادي]]="","",IFERROR(_xlfn.DAYS(Table2[[#This Row],[تاريخ انتهاء الفحص ميلادي]],TODAY()),""))</f>
        <v>324</v>
      </c>
      <c r="AU204" s="54"/>
      <c r="AV204" s="1"/>
      <c r="BE204" s="3"/>
      <c r="BH204" s="1"/>
    </row>
    <row r="205" spans="1:60" x14ac:dyDescent="0.3">
      <c r="A205" s="39" t="s">
        <v>19</v>
      </c>
      <c r="B205" s="39" t="s">
        <v>2000</v>
      </c>
      <c r="C205" s="39" t="s">
        <v>1187</v>
      </c>
      <c r="D205" s="39" t="s">
        <v>17</v>
      </c>
      <c r="E205" s="39" t="s">
        <v>819</v>
      </c>
      <c r="F205" s="40">
        <v>7025667531</v>
      </c>
      <c r="G205" s="41" t="s">
        <v>442</v>
      </c>
      <c r="H205" s="39" t="s">
        <v>443</v>
      </c>
      <c r="I205" s="58">
        <v>754915020</v>
      </c>
      <c r="J205" s="39" t="s">
        <v>424</v>
      </c>
      <c r="K205" s="39" t="s">
        <v>425</v>
      </c>
      <c r="L205" s="39" t="s">
        <v>426</v>
      </c>
      <c r="M205" s="58">
        <v>2023</v>
      </c>
      <c r="N205" s="39" t="s">
        <v>427</v>
      </c>
      <c r="O205" s="39" t="s">
        <v>1986</v>
      </c>
      <c r="P205" s="58">
        <v>2608015794</v>
      </c>
      <c r="Q205" s="39" t="s">
        <v>1723</v>
      </c>
      <c r="R205" s="124">
        <v>46258</v>
      </c>
      <c r="S205" s="124">
        <v>46387</v>
      </c>
      <c r="T205" s="58">
        <f ca="1">IF(Table2[[#This Row],[تاريخ نهاية التفويض]]="","",IFERROR(_xlfn.DAYS(Table2[[#This Row],[تاريخ نهاية التفويض]],TODAY()),""))</f>
        <v>127</v>
      </c>
      <c r="U205" s="42" t="s">
        <v>430</v>
      </c>
      <c r="V205" s="43">
        <v>46393</v>
      </c>
      <c r="W205" s="44">
        <f ca="1">IF(Table2[[#This Row],[تاريخ انتهاء التأمين]]="","",IFERROR(_xlfn.DAYS(Table2[[#This Row],[تاريخ انتهاء التأمين]],TODAY()),""))</f>
        <v>133</v>
      </c>
      <c r="X205" s="42" t="s">
        <v>27</v>
      </c>
      <c r="Y205" s="42" t="s">
        <v>431</v>
      </c>
      <c r="Z205" s="45">
        <v>2500</v>
      </c>
      <c r="AA205" s="46">
        <v>624916</v>
      </c>
      <c r="AB205" s="46" t="s">
        <v>1138</v>
      </c>
      <c r="AC205" s="46" t="s">
        <v>861</v>
      </c>
      <c r="AD205" s="46" t="s">
        <v>938</v>
      </c>
      <c r="AE205" s="47">
        <v>1000</v>
      </c>
      <c r="AF205" s="48" t="s">
        <v>1147</v>
      </c>
      <c r="AG205" s="48" t="s">
        <v>861</v>
      </c>
      <c r="AH205" s="48" t="s">
        <v>1149</v>
      </c>
      <c r="AI205" s="90">
        <v>867747077358115</v>
      </c>
      <c r="AJ205" s="89">
        <v>46140</v>
      </c>
      <c r="AK205" s="102">
        <f ca="1">IF(Table2[[#This Row],[تاريخ انتهاء ال GPS]]="","",IFERROR(_xlfn.DAYS(Table2[[#This Row],[تاريخ انتهاء ال GPS]],TODAY()),""))</f>
        <v>-120</v>
      </c>
      <c r="AL205" s="49" t="s">
        <v>1009</v>
      </c>
      <c r="AM205" s="50">
        <v>46438</v>
      </c>
      <c r="AN205" s="51">
        <f ca="1">IF(Table2[[#This Row],[تاريخ انتهاء بطاقة التشغيل]]="","",IFERROR(_xlfn.DAYS(Table2[[#This Row],[تاريخ انتهاء بطاقة التشغيل]],TODAY()),""))</f>
        <v>178</v>
      </c>
      <c r="AO205" s="80">
        <v>46378</v>
      </c>
      <c r="AP205" s="52">
        <f>Table2[[#This Row],[تاريخ انتهاء رخصة السير هجري]]</f>
        <v>46378</v>
      </c>
      <c r="AQ205" s="53">
        <f ca="1">IF(Table2[[#This Row],[تاريخ انتهاء رخصة السير ميلادي]]="","",IFERROR(_xlfn.DAYS(Table2[[#This Row],[تاريخ انتهاء رخصة السير ميلادي]],TODAY()),""))</f>
        <v>118</v>
      </c>
      <c r="AR205" s="55">
        <v>46569</v>
      </c>
      <c r="AS205" s="56">
        <f>Table2[[#This Row],[تاريخ انتهاء الفحص هجري]]</f>
        <v>46569</v>
      </c>
      <c r="AT205" s="106">
        <f ca="1">IF(Table2[[#This Row],[تاريخ انتهاء الفحص ميلادي]]="","",IFERROR(_xlfn.DAYS(Table2[[#This Row],[تاريخ انتهاء الفحص ميلادي]],TODAY()),""))</f>
        <v>309</v>
      </c>
      <c r="AU205" s="54"/>
      <c r="AV205" s="1"/>
      <c r="BE205" s="3"/>
      <c r="BH205" s="1"/>
    </row>
    <row r="206" spans="1:60" x14ac:dyDescent="0.3">
      <c r="A206" s="39" t="s">
        <v>19</v>
      </c>
      <c r="B206" s="39" t="s">
        <v>2005</v>
      </c>
      <c r="C206" s="39" t="s">
        <v>2004</v>
      </c>
      <c r="D206" s="39" t="s">
        <v>17</v>
      </c>
      <c r="E206" s="39" t="s">
        <v>819</v>
      </c>
      <c r="F206" s="40">
        <v>7025667531</v>
      </c>
      <c r="G206" s="41" t="s">
        <v>444</v>
      </c>
      <c r="H206" s="39" t="s">
        <v>445</v>
      </c>
      <c r="I206" s="58">
        <v>634915020</v>
      </c>
      <c r="J206" s="39" t="s">
        <v>424</v>
      </c>
      <c r="K206" s="39" t="s">
        <v>425</v>
      </c>
      <c r="L206" s="39" t="s">
        <v>426</v>
      </c>
      <c r="M206" s="58">
        <v>2023</v>
      </c>
      <c r="N206" s="39" t="s">
        <v>427</v>
      </c>
      <c r="O206" s="39" t="s">
        <v>1926</v>
      </c>
      <c r="P206" s="58">
        <v>2620891024</v>
      </c>
      <c r="Q206" s="39" t="s">
        <v>1724</v>
      </c>
      <c r="R206" s="124">
        <v>46112</v>
      </c>
      <c r="S206" s="124">
        <v>46387</v>
      </c>
      <c r="T206" s="58">
        <f ca="1">IF(Table2[[#This Row],[تاريخ نهاية التفويض]]="","",IFERROR(_xlfn.DAYS(Table2[[#This Row],[تاريخ نهاية التفويض]],TODAY()),""))</f>
        <v>127</v>
      </c>
      <c r="U206" s="42" t="s">
        <v>430</v>
      </c>
      <c r="V206" s="43">
        <v>46393</v>
      </c>
      <c r="W206" s="44">
        <f ca="1">IF(Table2[[#This Row],[تاريخ انتهاء التأمين]]="","",IFERROR(_xlfn.DAYS(Table2[[#This Row],[تاريخ انتهاء التأمين]],TODAY()),""))</f>
        <v>133</v>
      </c>
      <c r="X206" s="42" t="s">
        <v>27</v>
      </c>
      <c r="Y206" s="42" t="s">
        <v>431</v>
      </c>
      <c r="Z206" s="45">
        <v>2500</v>
      </c>
      <c r="AA206" s="46">
        <v>624917</v>
      </c>
      <c r="AB206" s="46" t="s">
        <v>1445</v>
      </c>
      <c r="AC206" s="46" t="s">
        <v>861</v>
      </c>
      <c r="AD206" s="46" t="s">
        <v>938</v>
      </c>
      <c r="AE206" s="47">
        <v>1000</v>
      </c>
      <c r="AF206" s="48" t="s">
        <v>1147</v>
      </c>
      <c r="AG206" s="48" t="s">
        <v>861</v>
      </c>
      <c r="AH206" s="48" t="s">
        <v>1149</v>
      </c>
      <c r="AI206" s="90">
        <v>864454079676205</v>
      </c>
      <c r="AJ206" s="89">
        <v>46140</v>
      </c>
      <c r="AK206" s="102">
        <f ca="1">IF(Table2[[#This Row],[تاريخ انتهاء ال GPS]]="","",IFERROR(_xlfn.DAYS(Table2[[#This Row],[تاريخ انتهاء ال GPS]],TODAY()),""))</f>
        <v>-120</v>
      </c>
      <c r="AL206" s="49" t="s">
        <v>1002</v>
      </c>
      <c r="AM206" s="50">
        <v>46438</v>
      </c>
      <c r="AN206" s="51">
        <f ca="1">IF(Table2[[#This Row],[تاريخ انتهاء بطاقة التشغيل]]="","",IFERROR(_xlfn.DAYS(Table2[[#This Row],[تاريخ انتهاء بطاقة التشغيل]],TODAY()),""))</f>
        <v>178</v>
      </c>
      <c r="AO206" s="80">
        <v>46378</v>
      </c>
      <c r="AP206" s="52">
        <f>Table2[[#This Row],[تاريخ انتهاء رخصة السير هجري]]</f>
        <v>46378</v>
      </c>
      <c r="AQ206" s="53">
        <f ca="1">IF(Table2[[#This Row],[تاريخ انتهاء رخصة السير ميلادي]]="","",IFERROR(_xlfn.DAYS(Table2[[#This Row],[تاريخ انتهاء رخصة السير ميلادي]],TODAY()),""))</f>
        <v>118</v>
      </c>
      <c r="AR206" s="55">
        <v>46552</v>
      </c>
      <c r="AS206" s="56">
        <f>Table2[[#This Row],[تاريخ انتهاء الفحص هجري]]</f>
        <v>46552</v>
      </c>
      <c r="AT206" s="106">
        <f ca="1">IF(Table2[[#This Row],[تاريخ انتهاء الفحص ميلادي]]="","",IFERROR(_xlfn.DAYS(Table2[[#This Row],[تاريخ انتهاء الفحص ميلادي]],TODAY()),""))</f>
        <v>292</v>
      </c>
      <c r="AU206" s="54"/>
      <c r="AV206" s="1"/>
      <c r="BE206" s="3"/>
      <c r="BH206" s="1"/>
    </row>
    <row r="207" spans="1:60" x14ac:dyDescent="0.3">
      <c r="A207" s="39" t="s">
        <v>19</v>
      </c>
      <c r="B207" s="39" t="s">
        <v>2000</v>
      </c>
      <c r="C207" s="39" t="s">
        <v>1187</v>
      </c>
      <c r="D207" s="39" t="s">
        <v>17</v>
      </c>
      <c r="E207" s="39" t="s">
        <v>819</v>
      </c>
      <c r="F207" s="40">
        <v>7025667531</v>
      </c>
      <c r="G207" s="41" t="s">
        <v>446</v>
      </c>
      <c r="H207" s="39" t="s">
        <v>447</v>
      </c>
      <c r="I207" s="58">
        <v>643915020</v>
      </c>
      <c r="J207" s="39" t="s">
        <v>424</v>
      </c>
      <c r="K207" s="39" t="s">
        <v>425</v>
      </c>
      <c r="L207" s="39" t="s">
        <v>426</v>
      </c>
      <c r="M207" s="58">
        <v>2023</v>
      </c>
      <c r="N207" s="39" t="s">
        <v>427</v>
      </c>
      <c r="O207" s="39" t="s">
        <v>1987</v>
      </c>
      <c r="P207" s="58">
        <v>2532063233</v>
      </c>
      <c r="Q207" s="39" t="s">
        <v>1725</v>
      </c>
      <c r="R207" s="124">
        <v>46255</v>
      </c>
      <c r="S207" s="124">
        <v>46387</v>
      </c>
      <c r="T207" s="58">
        <f ca="1">IF(Table2[[#This Row],[تاريخ نهاية التفويض]]="","",IFERROR(_xlfn.DAYS(Table2[[#This Row],[تاريخ نهاية التفويض]],TODAY()),""))</f>
        <v>127</v>
      </c>
      <c r="U207" s="42" t="s">
        <v>430</v>
      </c>
      <c r="V207" s="43">
        <v>46393</v>
      </c>
      <c r="W207" s="44">
        <f ca="1">IF(Table2[[#This Row],[تاريخ انتهاء التأمين]]="","",IFERROR(_xlfn.DAYS(Table2[[#This Row],[تاريخ انتهاء التأمين]],TODAY()),""))</f>
        <v>133</v>
      </c>
      <c r="X207" s="42" t="s">
        <v>27</v>
      </c>
      <c r="Y207" s="42" t="s">
        <v>431</v>
      </c>
      <c r="Z207" s="45">
        <v>2500</v>
      </c>
      <c r="AA207" s="46">
        <v>624919</v>
      </c>
      <c r="AB207" s="46" t="s">
        <v>1446</v>
      </c>
      <c r="AC207" s="46" t="s">
        <v>861</v>
      </c>
      <c r="AD207" s="46" t="s">
        <v>938</v>
      </c>
      <c r="AE207" s="47">
        <v>1000</v>
      </c>
      <c r="AF207" s="48" t="s">
        <v>1147</v>
      </c>
      <c r="AG207" s="48" t="s">
        <v>861</v>
      </c>
      <c r="AH207" s="48" t="s">
        <v>1149</v>
      </c>
      <c r="AI207" s="90">
        <v>867747071418709</v>
      </c>
      <c r="AJ207" s="89">
        <v>46140</v>
      </c>
      <c r="AK207" s="102">
        <f ca="1">IF(Table2[[#This Row],[تاريخ انتهاء ال GPS]]="","",IFERROR(_xlfn.DAYS(Table2[[#This Row],[تاريخ انتهاء ال GPS]],TODAY()),""))</f>
        <v>-120</v>
      </c>
      <c r="AL207" s="49" t="s">
        <v>1006</v>
      </c>
      <c r="AM207" s="50">
        <v>46438</v>
      </c>
      <c r="AN207" s="51">
        <f ca="1">IF(Table2[[#This Row],[تاريخ انتهاء بطاقة التشغيل]]="","",IFERROR(_xlfn.DAYS(Table2[[#This Row],[تاريخ انتهاء بطاقة التشغيل]],TODAY()),""))</f>
        <v>178</v>
      </c>
      <c r="AO207" s="80">
        <v>46378</v>
      </c>
      <c r="AP207" s="52">
        <f>Table2[[#This Row],[تاريخ انتهاء رخصة السير هجري]]</f>
        <v>46378</v>
      </c>
      <c r="AQ207" s="53">
        <f ca="1">IF(Table2[[#This Row],[تاريخ انتهاء رخصة السير ميلادي]]="","",IFERROR(_xlfn.DAYS(Table2[[#This Row],[تاريخ انتهاء رخصة السير ميلادي]],TODAY()),""))</f>
        <v>118</v>
      </c>
      <c r="AR207" s="55">
        <v>46562</v>
      </c>
      <c r="AS207" s="56">
        <f>Table2[[#This Row],[تاريخ انتهاء الفحص هجري]]</f>
        <v>46562</v>
      </c>
      <c r="AT207" s="106">
        <f ca="1">IF(Table2[[#This Row],[تاريخ انتهاء الفحص ميلادي]]="","",IFERROR(_xlfn.DAYS(Table2[[#This Row],[تاريخ انتهاء الفحص ميلادي]],TODAY()),""))</f>
        <v>302</v>
      </c>
      <c r="AU207" s="54"/>
      <c r="AV207" s="1"/>
      <c r="BE207" s="3"/>
      <c r="BH207" s="1"/>
    </row>
    <row r="208" spans="1:60" x14ac:dyDescent="0.3">
      <c r="A208" s="39" t="s">
        <v>19</v>
      </c>
      <c r="B208" s="39" t="s">
        <v>2000</v>
      </c>
      <c r="C208" s="39" t="s">
        <v>1187</v>
      </c>
      <c r="D208" s="39" t="s">
        <v>17</v>
      </c>
      <c r="E208" s="39" t="s">
        <v>819</v>
      </c>
      <c r="F208" s="40">
        <v>7025667531</v>
      </c>
      <c r="G208" s="41" t="s">
        <v>448</v>
      </c>
      <c r="H208" s="39" t="s">
        <v>449</v>
      </c>
      <c r="I208" s="58">
        <v>133915020</v>
      </c>
      <c r="J208" s="39" t="s">
        <v>424</v>
      </c>
      <c r="K208" s="39" t="s">
        <v>425</v>
      </c>
      <c r="L208" s="39" t="s">
        <v>426</v>
      </c>
      <c r="M208" s="58">
        <v>2023</v>
      </c>
      <c r="N208" s="39" t="s">
        <v>427</v>
      </c>
      <c r="O208" s="39" t="s">
        <v>1988</v>
      </c>
      <c r="P208" s="58">
        <v>2636257749</v>
      </c>
      <c r="Q208" s="39" t="s">
        <v>1726</v>
      </c>
      <c r="R208" s="124">
        <v>46246</v>
      </c>
      <c r="S208" s="124">
        <v>46387</v>
      </c>
      <c r="T208" s="58">
        <f ca="1">IF(Table2[[#This Row],[تاريخ نهاية التفويض]]="","",IFERROR(_xlfn.DAYS(Table2[[#This Row],[تاريخ نهاية التفويض]],TODAY()),""))</f>
        <v>127</v>
      </c>
      <c r="U208" s="42" t="s">
        <v>430</v>
      </c>
      <c r="V208" s="43">
        <v>46393</v>
      </c>
      <c r="W208" s="44">
        <f ca="1">IF(Table2[[#This Row],[تاريخ انتهاء التأمين]]="","",IFERROR(_xlfn.DAYS(Table2[[#This Row],[تاريخ انتهاء التأمين]],TODAY()),""))</f>
        <v>133</v>
      </c>
      <c r="X208" s="42" t="s">
        <v>27</v>
      </c>
      <c r="Y208" s="42" t="s">
        <v>431</v>
      </c>
      <c r="Z208" s="45">
        <v>2500</v>
      </c>
      <c r="AA208" s="46">
        <v>624910</v>
      </c>
      <c r="AB208" s="46" t="s">
        <v>1138</v>
      </c>
      <c r="AC208" s="46" t="s">
        <v>861</v>
      </c>
      <c r="AD208" s="46" t="s">
        <v>938</v>
      </c>
      <c r="AE208" s="47">
        <v>1000</v>
      </c>
      <c r="AF208" s="48" t="s">
        <v>1147</v>
      </c>
      <c r="AG208" s="48" t="s">
        <v>861</v>
      </c>
      <c r="AH208" s="48" t="s">
        <v>1149</v>
      </c>
      <c r="AI208" s="90">
        <v>867747071418360</v>
      </c>
      <c r="AJ208" s="89">
        <v>46140</v>
      </c>
      <c r="AK208" s="102">
        <f ca="1">IF(Table2[[#This Row],[تاريخ انتهاء ال GPS]]="","",IFERROR(_xlfn.DAYS(Table2[[#This Row],[تاريخ انتهاء ال GPS]],TODAY()),""))</f>
        <v>-120</v>
      </c>
      <c r="AL208" s="49" t="s">
        <v>1010</v>
      </c>
      <c r="AM208" s="50">
        <v>46438</v>
      </c>
      <c r="AN208" s="51">
        <f ca="1">IF(Table2[[#This Row],[تاريخ انتهاء بطاقة التشغيل]]="","",IFERROR(_xlfn.DAYS(Table2[[#This Row],[تاريخ انتهاء بطاقة التشغيل]],TODAY()),""))</f>
        <v>178</v>
      </c>
      <c r="AO208" s="80">
        <v>46378</v>
      </c>
      <c r="AP208" s="52">
        <f>Table2[[#This Row],[تاريخ انتهاء رخصة السير هجري]]</f>
        <v>46378</v>
      </c>
      <c r="AQ208" s="53">
        <f ca="1">IF(Table2[[#This Row],[تاريخ انتهاء رخصة السير ميلادي]]="","",IFERROR(_xlfn.DAYS(Table2[[#This Row],[تاريخ انتهاء رخصة السير ميلادي]],TODAY()),""))</f>
        <v>118</v>
      </c>
      <c r="AR208" s="55">
        <v>46568</v>
      </c>
      <c r="AS208" s="56">
        <f>Table2[[#This Row],[تاريخ انتهاء الفحص هجري]]</f>
        <v>46568</v>
      </c>
      <c r="AT208" s="106">
        <f ca="1">IF(Table2[[#This Row],[تاريخ انتهاء الفحص ميلادي]]="","",IFERROR(_xlfn.DAYS(Table2[[#This Row],[تاريخ انتهاء الفحص ميلادي]],TODAY()),""))</f>
        <v>308</v>
      </c>
      <c r="AU208" s="54"/>
      <c r="AV208" s="1"/>
      <c r="BE208" s="3"/>
      <c r="BH208" s="1"/>
    </row>
    <row r="209" spans="1:60" x14ac:dyDescent="0.3">
      <c r="A209" s="39" t="s">
        <v>450</v>
      </c>
      <c r="B209" s="39" t="s">
        <v>450</v>
      </c>
      <c r="C209" s="39" t="s">
        <v>1187</v>
      </c>
      <c r="D209" s="39" t="s">
        <v>457</v>
      </c>
      <c r="E209" s="39" t="s">
        <v>820</v>
      </c>
      <c r="F209" s="54">
        <v>7025667531</v>
      </c>
      <c r="G209" s="41" t="s">
        <v>453</v>
      </c>
      <c r="H209" s="39" t="s">
        <v>454</v>
      </c>
      <c r="I209" s="58">
        <v>264427020</v>
      </c>
      <c r="J209" s="39" t="s">
        <v>424</v>
      </c>
      <c r="K209" s="39" t="s">
        <v>451</v>
      </c>
      <c r="L209" s="39" t="s">
        <v>452</v>
      </c>
      <c r="M209" s="39">
        <v>2024</v>
      </c>
      <c r="N209" s="39" t="s">
        <v>427</v>
      </c>
      <c r="O209" s="39" t="s">
        <v>1927</v>
      </c>
      <c r="P209" s="58">
        <v>2348634250</v>
      </c>
      <c r="Q209" s="39" t="s">
        <v>1727</v>
      </c>
      <c r="R209" s="124">
        <v>46204</v>
      </c>
      <c r="S209" s="124">
        <v>46387</v>
      </c>
      <c r="T209" s="58">
        <f ca="1">IF(Table2[[#This Row],[تاريخ نهاية التفويض]]="","",IFERROR(_xlfn.DAYS(Table2[[#This Row],[تاريخ نهاية التفويض]],TODAY()),""))</f>
        <v>127</v>
      </c>
      <c r="U209" s="42" t="s">
        <v>733</v>
      </c>
      <c r="V209" s="43">
        <v>46480</v>
      </c>
      <c r="W209" s="44">
        <f ca="1">IF(Table2[[#This Row],[تاريخ انتهاء التأمين]]="","",IFERROR(_xlfn.DAYS(Table2[[#This Row],[تاريخ انتهاء التأمين]],TODAY()),""))</f>
        <v>220</v>
      </c>
      <c r="X209" s="42" t="s">
        <v>456</v>
      </c>
      <c r="Y209" s="42" t="s">
        <v>431</v>
      </c>
      <c r="Z209" s="45" t="s">
        <v>1545</v>
      </c>
      <c r="AA209" s="46">
        <v>647236</v>
      </c>
      <c r="AB209" s="46" t="s">
        <v>1198</v>
      </c>
      <c r="AC209" s="46" t="s">
        <v>861</v>
      </c>
      <c r="AD209" s="46" t="s">
        <v>939</v>
      </c>
      <c r="AE209" s="47">
        <v>13000</v>
      </c>
      <c r="AF209" s="48" t="s">
        <v>1145</v>
      </c>
      <c r="AG209" s="48" t="s">
        <v>861</v>
      </c>
      <c r="AH209" s="48" t="s">
        <v>1144</v>
      </c>
      <c r="AI209" s="90">
        <v>863514053100661</v>
      </c>
      <c r="AJ209" s="89">
        <v>46576</v>
      </c>
      <c r="AK209" s="48">
        <f ca="1">IF(Table2[[#This Row],[تاريخ انتهاء ال GPS]]="","",IFERROR(_xlfn.DAYS(Table2[[#This Row],[تاريخ انتهاء ال GPS]],TODAY()),""))</f>
        <v>316</v>
      </c>
      <c r="AL209" s="49" t="s">
        <v>951</v>
      </c>
      <c r="AM209" s="50">
        <v>46617</v>
      </c>
      <c r="AN209" s="51">
        <f ca="1">IF(Table2[[#This Row],[تاريخ انتهاء بطاقة التشغيل]]="","",IFERROR(_xlfn.DAYS(Table2[[#This Row],[تاريخ انتهاء بطاقة التشغيل]],TODAY()),""))</f>
        <v>357</v>
      </c>
      <c r="AO209" s="80">
        <v>46462</v>
      </c>
      <c r="AP209" s="52">
        <f>Table2[[#This Row],[تاريخ انتهاء رخصة السير هجري]]</f>
        <v>46462</v>
      </c>
      <c r="AQ209" s="53">
        <f ca="1">IF(Table2[[#This Row],[تاريخ انتهاء رخصة السير ميلادي]]="","",IFERROR(_xlfn.DAYS(Table2[[#This Row],[تاريخ انتهاء رخصة السير ميلادي]],TODAY()),""))</f>
        <v>202</v>
      </c>
      <c r="AR209" s="131" t="s">
        <v>1137</v>
      </c>
      <c r="AS209" s="133" t="s">
        <v>1137</v>
      </c>
      <c r="AT209" s="133" t="s">
        <v>1137</v>
      </c>
      <c r="AU209" s="54" t="s">
        <v>1581</v>
      </c>
      <c r="AV209" s="1"/>
      <c r="BE209" s="3"/>
      <c r="BH209" s="1"/>
    </row>
    <row r="210" spans="1:60" x14ac:dyDescent="0.3">
      <c r="A210" s="39" t="s">
        <v>450</v>
      </c>
      <c r="B210" s="39" t="s">
        <v>450</v>
      </c>
      <c r="C210" s="39" t="s">
        <v>1187</v>
      </c>
      <c r="D210" s="39" t="s">
        <v>457</v>
      </c>
      <c r="E210" s="39" t="s">
        <v>820</v>
      </c>
      <c r="F210" s="54">
        <v>7025667531</v>
      </c>
      <c r="G210" s="41" t="s">
        <v>458</v>
      </c>
      <c r="H210" s="39" t="s">
        <v>459</v>
      </c>
      <c r="I210" s="58">
        <v>694427020</v>
      </c>
      <c r="J210" s="39" t="s">
        <v>424</v>
      </c>
      <c r="K210" s="39" t="s">
        <v>451</v>
      </c>
      <c r="L210" s="39" t="s">
        <v>452</v>
      </c>
      <c r="M210" s="39">
        <v>2024</v>
      </c>
      <c r="N210" s="39" t="s">
        <v>427</v>
      </c>
      <c r="O210" s="39" t="s">
        <v>1928</v>
      </c>
      <c r="P210" s="58">
        <v>2605874870</v>
      </c>
      <c r="Q210" s="39" t="s">
        <v>1728</v>
      </c>
      <c r="R210" s="124">
        <v>46002</v>
      </c>
      <c r="S210" s="124">
        <v>46327</v>
      </c>
      <c r="T210" s="58">
        <f ca="1">IF(Table2[[#This Row],[تاريخ نهاية التفويض]]="","",IFERROR(_xlfn.DAYS(Table2[[#This Row],[تاريخ نهاية التفويض]],TODAY()),""))</f>
        <v>67</v>
      </c>
      <c r="U210" s="42" t="s">
        <v>729</v>
      </c>
      <c r="V210" s="43">
        <v>46480</v>
      </c>
      <c r="W210" s="44">
        <f ca="1">IF(Table2[[#This Row],[تاريخ انتهاء التأمين]]="","",IFERROR(_xlfn.DAYS(Table2[[#This Row],[تاريخ انتهاء التأمين]],TODAY()),""))</f>
        <v>220</v>
      </c>
      <c r="X210" s="42" t="s">
        <v>456</v>
      </c>
      <c r="Y210" s="42" t="s">
        <v>431</v>
      </c>
      <c r="Z210" s="45" t="s">
        <v>1545</v>
      </c>
      <c r="AA210" s="46">
        <v>647238</v>
      </c>
      <c r="AB210" s="46" t="s">
        <v>1199</v>
      </c>
      <c r="AC210" s="46" t="s">
        <v>861</v>
      </c>
      <c r="AD210" s="46" t="s">
        <v>939</v>
      </c>
      <c r="AE210" s="47">
        <v>13000</v>
      </c>
      <c r="AF210" s="48" t="s">
        <v>1145</v>
      </c>
      <c r="AG210" s="48" t="s">
        <v>861</v>
      </c>
      <c r="AH210" s="48" t="s">
        <v>1144</v>
      </c>
      <c r="AI210" s="90">
        <v>863514053239774</v>
      </c>
      <c r="AJ210" s="89">
        <v>46576</v>
      </c>
      <c r="AK210" s="48">
        <f ca="1">IF(Table2[[#This Row],[تاريخ انتهاء ال GPS]]="","",IFERROR(_xlfn.DAYS(Table2[[#This Row],[تاريخ انتهاء ال GPS]],TODAY()),""))</f>
        <v>316</v>
      </c>
      <c r="AL210" s="49" t="s">
        <v>953</v>
      </c>
      <c r="AM210" s="50">
        <v>46617</v>
      </c>
      <c r="AN210" s="51">
        <f ca="1">IF(Table2[[#This Row],[تاريخ انتهاء بطاقة التشغيل]]="","",IFERROR(_xlfn.DAYS(Table2[[#This Row],[تاريخ انتهاء بطاقة التشغيل]],TODAY()),""))</f>
        <v>357</v>
      </c>
      <c r="AO210" s="80">
        <v>46462</v>
      </c>
      <c r="AP210" s="52">
        <f>Table2[[#This Row],[تاريخ انتهاء رخصة السير هجري]]</f>
        <v>46462</v>
      </c>
      <c r="AQ210" s="53">
        <f ca="1">IF(Table2[[#This Row],[تاريخ انتهاء رخصة السير ميلادي]]="","",IFERROR(_xlfn.DAYS(Table2[[#This Row],[تاريخ انتهاء رخصة السير ميلادي]],TODAY()),""))</f>
        <v>202</v>
      </c>
      <c r="AR210" s="131" t="s">
        <v>1137</v>
      </c>
      <c r="AS210" s="133" t="s">
        <v>1137</v>
      </c>
      <c r="AT210" s="133" t="s">
        <v>1137</v>
      </c>
      <c r="AU210" s="54" t="s">
        <v>1581</v>
      </c>
      <c r="AV210" s="1"/>
      <c r="BE210" s="3"/>
      <c r="BH210" s="1"/>
    </row>
    <row r="211" spans="1:60" x14ac:dyDescent="0.3">
      <c r="A211" s="39" t="s">
        <v>450</v>
      </c>
      <c r="B211" s="39" t="s">
        <v>450</v>
      </c>
      <c r="C211" s="39" t="s">
        <v>1187</v>
      </c>
      <c r="D211" s="39" t="s">
        <v>457</v>
      </c>
      <c r="E211" s="39" t="s">
        <v>820</v>
      </c>
      <c r="F211" s="54">
        <v>7025667531</v>
      </c>
      <c r="G211" s="41" t="s">
        <v>460</v>
      </c>
      <c r="H211" s="39" t="s">
        <v>461</v>
      </c>
      <c r="I211" s="58">
        <v>974427020</v>
      </c>
      <c r="J211" s="39" t="s">
        <v>424</v>
      </c>
      <c r="K211" s="39" t="s">
        <v>451</v>
      </c>
      <c r="L211" s="39" t="s">
        <v>452</v>
      </c>
      <c r="M211" s="39">
        <v>2024</v>
      </c>
      <c r="N211" s="39" t="s">
        <v>427</v>
      </c>
      <c r="O211" s="39" t="s">
        <v>1929</v>
      </c>
      <c r="P211" s="58">
        <v>2553484540</v>
      </c>
      <c r="Q211" s="39" t="s">
        <v>1729</v>
      </c>
      <c r="R211" s="124">
        <v>46002</v>
      </c>
      <c r="S211" s="124">
        <v>46327</v>
      </c>
      <c r="T211" s="58">
        <f ca="1">IF(Table2[[#This Row],[تاريخ نهاية التفويض]]="","",IFERROR(_xlfn.DAYS(Table2[[#This Row],[تاريخ نهاية التفويض]],TODAY()),""))</f>
        <v>67</v>
      </c>
      <c r="U211" s="42" t="s">
        <v>734</v>
      </c>
      <c r="V211" s="43">
        <v>46480</v>
      </c>
      <c r="W211" s="44">
        <f ca="1">IF(Table2[[#This Row],[تاريخ انتهاء التأمين]]="","",IFERROR(_xlfn.DAYS(Table2[[#This Row],[تاريخ انتهاء التأمين]],TODAY()),""))</f>
        <v>220</v>
      </c>
      <c r="X211" s="42" t="s">
        <v>456</v>
      </c>
      <c r="Y211" s="42" t="s">
        <v>431</v>
      </c>
      <c r="Z211" s="45" t="s">
        <v>1545</v>
      </c>
      <c r="AA211" s="46">
        <v>647234</v>
      </c>
      <c r="AB211" s="46" t="s">
        <v>1200</v>
      </c>
      <c r="AC211" s="46" t="s">
        <v>861</v>
      </c>
      <c r="AD211" s="46" t="s">
        <v>939</v>
      </c>
      <c r="AE211" s="47">
        <v>13000</v>
      </c>
      <c r="AF211" s="48" t="s">
        <v>1145</v>
      </c>
      <c r="AG211" s="48" t="s">
        <v>861</v>
      </c>
      <c r="AH211" s="48" t="s">
        <v>1144</v>
      </c>
      <c r="AI211" s="90">
        <v>863514053803009</v>
      </c>
      <c r="AJ211" s="89">
        <v>46576</v>
      </c>
      <c r="AK211" s="48">
        <f ca="1">IF(Table2[[#This Row],[تاريخ انتهاء ال GPS]]="","",IFERROR(_xlfn.DAYS(Table2[[#This Row],[تاريخ انتهاء ال GPS]],TODAY()),""))</f>
        <v>316</v>
      </c>
      <c r="AL211" s="49" t="s">
        <v>949</v>
      </c>
      <c r="AM211" s="50">
        <v>46618</v>
      </c>
      <c r="AN211" s="51">
        <f ca="1">IF(Table2[[#This Row],[تاريخ انتهاء بطاقة التشغيل]]="","",IFERROR(_xlfn.DAYS(Table2[[#This Row],[تاريخ انتهاء بطاقة التشغيل]],TODAY()),""))</f>
        <v>358</v>
      </c>
      <c r="AO211" s="80">
        <v>46462</v>
      </c>
      <c r="AP211" s="52">
        <f>Table2[[#This Row],[تاريخ انتهاء رخصة السير هجري]]</f>
        <v>46462</v>
      </c>
      <c r="AQ211" s="53">
        <f ca="1">IF(Table2[[#This Row],[تاريخ انتهاء رخصة السير ميلادي]]="","",IFERROR(_xlfn.DAYS(Table2[[#This Row],[تاريخ انتهاء رخصة السير ميلادي]],TODAY()),""))</f>
        <v>202</v>
      </c>
      <c r="AR211" s="131" t="s">
        <v>1137</v>
      </c>
      <c r="AS211" s="133" t="s">
        <v>1137</v>
      </c>
      <c r="AT211" s="133" t="s">
        <v>1137</v>
      </c>
      <c r="AU211" s="54" t="s">
        <v>1581</v>
      </c>
      <c r="AV211" s="1"/>
      <c r="BE211" s="3"/>
      <c r="BH211" s="1"/>
    </row>
    <row r="212" spans="1:60" x14ac:dyDescent="0.3">
      <c r="A212" s="39" t="s">
        <v>450</v>
      </c>
      <c r="B212" s="39" t="s">
        <v>450</v>
      </c>
      <c r="C212" s="39" t="s">
        <v>1187</v>
      </c>
      <c r="D212" s="39" t="s">
        <v>457</v>
      </c>
      <c r="E212" s="39" t="s">
        <v>820</v>
      </c>
      <c r="F212" s="54">
        <v>7025667531</v>
      </c>
      <c r="G212" s="41" t="s">
        <v>462</v>
      </c>
      <c r="H212" s="39" t="s">
        <v>463</v>
      </c>
      <c r="I212" s="58">
        <v>105427020</v>
      </c>
      <c r="J212" s="39" t="s">
        <v>424</v>
      </c>
      <c r="K212" s="39" t="s">
        <v>451</v>
      </c>
      <c r="L212" s="39" t="s">
        <v>452</v>
      </c>
      <c r="M212" s="39">
        <v>2024</v>
      </c>
      <c r="N212" s="39" t="s">
        <v>427</v>
      </c>
      <c r="O212" s="39" t="s">
        <v>1930</v>
      </c>
      <c r="P212" s="58">
        <v>2587272325</v>
      </c>
      <c r="Q212" s="39" t="s">
        <v>1730</v>
      </c>
      <c r="R212" s="124">
        <v>46097</v>
      </c>
      <c r="S212" s="124">
        <v>46387</v>
      </c>
      <c r="T212" s="58">
        <f ca="1">IF(Table2[[#This Row],[تاريخ نهاية التفويض]]="","",IFERROR(_xlfn.DAYS(Table2[[#This Row],[تاريخ نهاية التفويض]],TODAY()),""))</f>
        <v>127</v>
      </c>
      <c r="U212" s="42" t="s">
        <v>726</v>
      </c>
      <c r="V212" s="43">
        <v>46480</v>
      </c>
      <c r="W212" s="44">
        <f ca="1">IF(Table2[[#This Row],[تاريخ انتهاء التأمين]]="","",IFERROR(_xlfn.DAYS(Table2[[#This Row],[تاريخ انتهاء التأمين]],TODAY()),""))</f>
        <v>220</v>
      </c>
      <c r="X212" s="42" t="s">
        <v>456</v>
      </c>
      <c r="Y212" s="42" t="s">
        <v>431</v>
      </c>
      <c r="Z212" s="45" t="s">
        <v>1545</v>
      </c>
      <c r="AA212" s="46">
        <v>647242</v>
      </c>
      <c r="AB212" s="46" t="s">
        <v>1201</v>
      </c>
      <c r="AC212" s="46" t="s">
        <v>861</v>
      </c>
      <c r="AD212" s="46" t="s">
        <v>939</v>
      </c>
      <c r="AE212" s="47">
        <v>13000</v>
      </c>
      <c r="AF212" s="48" t="s">
        <v>1145</v>
      </c>
      <c r="AG212" s="48" t="s">
        <v>861</v>
      </c>
      <c r="AH212" s="48" t="s">
        <v>1144</v>
      </c>
      <c r="AI212" s="90">
        <v>863514053224024</v>
      </c>
      <c r="AJ212" s="89">
        <v>46576</v>
      </c>
      <c r="AK212" s="48">
        <f ca="1">IF(Table2[[#This Row],[تاريخ انتهاء ال GPS]]="","",IFERROR(_xlfn.DAYS(Table2[[#This Row],[تاريخ انتهاء ال GPS]],TODAY()),""))</f>
        <v>316</v>
      </c>
      <c r="AL212" s="49" t="s">
        <v>957</v>
      </c>
      <c r="AM212" s="50">
        <v>46617</v>
      </c>
      <c r="AN212" s="51">
        <f ca="1">IF(Table2[[#This Row],[تاريخ انتهاء بطاقة التشغيل]]="","",IFERROR(_xlfn.DAYS(Table2[[#This Row],[تاريخ انتهاء بطاقة التشغيل]],TODAY()),""))</f>
        <v>357</v>
      </c>
      <c r="AO212" s="80">
        <v>46462</v>
      </c>
      <c r="AP212" s="52">
        <f>Table2[[#This Row],[تاريخ انتهاء رخصة السير هجري]]</f>
        <v>46462</v>
      </c>
      <c r="AQ212" s="53">
        <f ca="1">IF(Table2[[#This Row],[تاريخ انتهاء رخصة السير ميلادي]]="","",IFERROR(_xlfn.DAYS(Table2[[#This Row],[تاريخ انتهاء رخصة السير ميلادي]],TODAY()),""))</f>
        <v>202</v>
      </c>
      <c r="AR212" s="131" t="s">
        <v>1137</v>
      </c>
      <c r="AS212" s="133" t="s">
        <v>1137</v>
      </c>
      <c r="AT212" s="133" t="s">
        <v>1137</v>
      </c>
      <c r="AU212" s="54" t="s">
        <v>1581</v>
      </c>
      <c r="AV212" s="1"/>
      <c r="BE212" s="3"/>
      <c r="BH212" s="1"/>
    </row>
    <row r="213" spans="1:60" x14ac:dyDescent="0.3">
      <c r="A213" s="39" t="s">
        <v>450</v>
      </c>
      <c r="B213" s="39" t="s">
        <v>450</v>
      </c>
      <c r="C213" s="39" t="s">
        <v>1187</v>
      </c>
      <c r="D213" s="39" t="s">
        <v>457</v>
      </c>
      <c r="E213" s="39" t="s">
        <v>820</v>
      </c>
      <c r="F213" s="54">
        <v>7025667531</v>
      </c>
      <c r="G213" s="41" t="s">
        <v>464</v>
      </c>
      <c r="H213" s="39" t="s">
        <v>465</v>
      </c>
      <c r="I213" s="58">
        <v>454427020</v>
      </c>
      <c r="J213" s="39" t="s">
        <v>424</v>
      </c>
      <c r="K213" s="39" t="s">
        <v>451</v>
      </c>
      <c r="L213" s="39" t="s">
        <v>452</v>
      </c>
      <c r="M213" s="39">
        <v>2024</v>
      </c>
      <c r="N213" s="39" t="s">
        <v>427</v>
      </c>
      <c r="O213" s="39" t="s">
        <v>1931</v>
      </c>
      <c r="P213" s="58">
        <v>2583024472</v>
      </c>
      <c r="Q213" s="39" t="s">
        <v>1731</v>
      </c>
      <c r="R213" s="124">
        <v>46097</v>
      </c>
      <c r="S213" s="124">
        <v>46387</v>
      </c>
      <c r="T213" s="58">
        <f ca="1">IF(Table2[[#This Row],[تاريخ نهاية التفويض]]="","",IFERROR(_xlfn.DAYS(Table2[[#This Row],[تاريخ نهاية التفويض]],TODAY()),""))</f>
        <v>127</v>
      </c>
      <c r="U213" s="42" t="s">
        <v>730</v>
      </c>
      <c r="V213" s="43">
        <v>46480</v>
      </c>
      <c r="W213" s="44">
        <f ca="1">IF(Table2[[#This Row],[تاريخ انتهاء التأمين]]="","",IFERROR(_xlfn.DAYS(Table2[[#This Row],[تاريخ انتهاء التأمين]],TODAY()),""))</f>
        <v>220</v>
      </c>
      <c r="X213" s="42" t="s">
        <v>456</v>
      </c>
      <c r="Y213" s="42" t="s">
        <v>431</v>
      </c>
      <c r="Z213" s="45" t="s">
        <v>1545</v>
      </c>
      <c r="AA213" s="46">
        <v>647237</v>
      </c>
      <c r="AB213" s="46" t="s">
        <v>1202</v>
      </c>
      <c r="AC213" s="46" t="s">
        <v>861</v>
      </c>
      <c r="AD213" s="46" t="s">
        <v>939</v>
      </c>
      <c r="AE213" s="47">
        <v>13000</v>
      </c>
      <c r="AF213" s="48" t="s">
        <v>1145</v>
      </c>
      <c r="AG213" s="48" t="s">
        <v>861</v>
      </c>
      <c r="AH213" s="48" t="s">
        <v>1144</v>
      </c>
      <c r="AI213" s="90">
        <v>863514053156754</v>
      </c>
      <c r="AJ213" s="89">
        <v>46576</v>
      </c>
      <c r="AK213" s="48">
        <f ca="1">IF(Table2[[#This Row],[تاريخ انتهاء ال GPS]]="","",IFERROR(_xlfn.DAYS(Table2[[#This Row],[تاريخ انتهاء ال GPS]],TODAY()),""))</f>
        <v>316</v>
      </c>
      <c r="AL213" s="49" t="s">
        <v>952</v>
      </c>
      <c r="AM213" s="50">
        <v>46617</v>
      </c>
      <c r="AN213" s="51">
        <f ca="1">IF(Table2[[#This Row],[تاريخ انتهاء بطاقة التشغيل]]="","",IFERROR(_xlfn.DAYS(Table2[[#This Row],[تاريخ انتهاء بطاقة التشغيل]],TODAY()),""))</f>
        <v>357</v>
      </c>
      <c r="AO213" s="80">
        <v>46462</v>
      </c>
      <c r="AP213" s="52">
        <f>Table2[[#This Row],[تاريخ انتهاء رخصة السير هجري]]</f>
        <v>46462</v>
      </c>
      <c r="AQ213" s="53">
        <f ca="1">IF(Table2[[#This Row],[تاريخ انتهاء رخصة السير ميلادي]]="","",IFERROR(_xlfn.DAYS(Table2[[#This Row],[تاريخ انتهاء رخصة السير ميلادي]],TODAY()),""))</f>
        <v>202</v>
      </c>
      <c r="AR213" s="131" t="s">
        <v>1137</v>
      </c>
      <c r="AS213" s="133" t="s">
        <v>1137</v>
      </c>
      <c r="AT213" s="133" t="s">
        <v>1137</v>
      </c>
      <c r="AU213" s="54" t="s">
        <v>1581</v>
      </c>
      <c r="AV213" s="1"/>
      <c r="BE213" s="3"/>
      <c r="BH213" s="1"/>
    </row>
    <row r="214" spans="1:60" x14ac:dyDescent="0.3">
      <c r="A214" s="39" t="s">
        <v>450</v>
      </c>
      <c r="B214" s="39" t="s">
        <v>450</v>
      </c>
      <c r="C214" s="39" t="s">
        <v>1187</v>
      </c>
      <c r="D214" s="39" t="s">
        <v>457</v>
      </c>
      <c r="E214" s="39" t="s">
        <v>820</v>
      </c>
      <c r="F214" s="54">
        <v>7025667531</v>
      </c>
      <c r="G214" s="41" t="s">
        <v>466</v>
      </c>
      <c r="H214" s="39" t="s">
        <v>467</v>
      </c>
      <c r="I214" s="58">
        <v>764427020</v>
      </c>
      <c r="J214" s="39" t="s">
        <v>424</v>
      </c>
      <c r="K214" s="39" t="s">
        <v>451</v>
      </c>
      <c r="L214" s="39" t="s">
        <v>452</v>
      </c>
      <c r="M214" s="39">
        <v>2024</v>
      </c>
      <c r="N214" s="39" t="s">
        <v>427</v>
      </c>
      <c r="O214" s="39" t="s">
        <v>1932</v>
      </c>
      <c r="P214" s="58">
        <v>2386300707</v>
      </c>
      <c r="Q214" s="39" t="s">
        <v>1732</v>
      </c>
      <c r="R214" s="124">
        <v>46002</v>
      </c>
      <c r="S214" s="124">
        <v>46327</v>
      </c>
      <c r="T214" s="58">
        <f ca="1">IF(Table2[[#This Row],[تاريخ نهاية التفويض]]="","",IFERROR(_xlfn.DAYS(Table2[[#This Row],[تاريخ نهاية التفويض]],TODAY()),""))</f>
        <v>67</v>
      </c>
      <c r="U214" s="42" t="s">
        <v>727</v>
      </c>
      <c r="V214" s="43">
        <v>46480</v>
      </c>
      <c r="W214" s="44">
        <f ca="1">IF(Table2[[#This Row],[تاريخ انتهاء التأمين]]="","",IFERROR(_xlfn.DAYS(Table2[[#This Row],[تاريخ انتهاء التأمين]],TODAY()),""))</f>
        <v>220</v>
      </c>
      <c r="X214" s="42" t="s">
        <v>456</v>
      </c>
      <c r="Y214" s="42" t="s">
        <v>431</v>
      </c>
      <c r="Z214" s="45" t="s">
        <v>1545</v>
      </c>
      <c r="AA214" s="46">
        <v>647235</v>
      </c>
      <c r="AB214" s="46" t="s">
        <v>1203</v>
      </c>
      <c r="AC214" s="46" t="s">
        <v>861</v>
      </c>
      <c r="AD214" s="46" t="s">
        <v>939</v>
      </c>
      <c r="AE214" s="47">
        <v>13000</v>
      </c>
      <c r="AF214" s="48" t="s">
        <v>1145</v>
      </c>
      <c r="AG214" s="48" t="s">
        <v>861</v>
      </c>
      <c r="AH214" s="48" t="s">
        <v>1144</v>
      </c>
      <c r="AI214" s="90">
        <v>863514053101081</v>
      </c>
      <c r="AJ214" s="89">
        <v>46576</v>
      </c>
      <c r="AK214" s="48">
        <f ca="1">IF(Table2[[#This Row],[تاريخ انتهاء ال GPS]]="","",IFERROR(_xlfn.DAYS(Table2[[#This Row],[تاريخ انتهاء ال GPS]],TODAY()),""))</f>
        <v>316</v>
      </c>
      <c r="AL214" s="49" t="s">
        <v>950</v>
      </c>
      <c r="AM214" s="50">
        <v>46617</v>
      </c>
      <c r="AN214" s="51">
        <f ca="1">IF(Table2[[#This Row],[تاريخ انتهاء بطاقة التشغيل]]="","",IFERROR(_xlfn.DAYS(Table2[[#This Row],[تاريخ انتهاء بطاقة التشغيل]],TODAY()),""))</f>
        <v>357</v>
      </c>
      <c r="AO214" s="80">
        <v>46462</v>
      </c>
      <c r="AP214" s="52">
        <f>Table2[[#This Row],[تاريخ انتهاء رخصة السير هجري]]</f>
        <v>46462</v>
      </c>
      <c r="AQ214" s="53">
        <f ca="1">IF(Table2[[#This Row],[تاريخ انتهاء رخصة السير ميلادي]]="","",IFERROR(_xlfn.DAYS(Table2[[#This Row],[تاريخ انتهاء رخصة السير ميلادي]],TODAY()),""))</f>
        <v>202</v>
      </c>
      <c r="AR214" s="131" t="s">
        <v>1137</v>
      </c>
      <c r="AS214" s="133" t="s">
        <v>1137</v>
      </c>
      <c r="AT214" s="133" t="s">
        <v>1137</v>
      </c>
      <c r="AU214" s="54" t="s">
        <v>1581</v>
      </c>
      <c r="AV214" s="1"/>
      <c r="BE214" s="3"/>
      <c r="BH214" s="1"/>
    </row>
    <row r="215" spans="1:60" x14ac:dyDescent="0.3">
      <c r="A215" s="39" t="s">
        <v>450</v>
      </c>
      <c r="B215" s="39" t="s">
        <v>450</v>
      </c>
      <c r="C215" s="39" t="s">
        <v>1187</v>
      </c>
      <c r="D215" s="39" t="s">
        <v>457</v>
      </c>
      <c r="E215" s="39" t="s">
        <v>820</v>
      </c>
      <c r="F215" s="54">
        <v>7025667531</v>
      </c>
      <c r="G215" s="41" t="s">
        <v>468</v>
      </c>
      <c r="H215" s="39" t="s">
        <v>469</v>
      </c>
      <c r="I215" s="58">
        <v>415427020</v>
      </c>
      <c r="J215" s="39" t="s">
        <v>424</v>
      </c>
      <c r="K215" s="39" t="s">
        <v>451</v>
      </c>
      <c r="L215" s="39" t="s">
        <v>452</v>
      </c>
      <c r="M215" s="39">
        <v>2024</v>
      </c>
      <c r="N215" s="39" t="s">
        <v>427</v>
      </c>
      <c r="O215" s="39" t="s">
        <v>1933</v>
      </c>
      <c r="P215" s="58">
        <v>2620064499</v>
      </c>
      <c r="Q215" s="39" t="s">
        <v>1733</v>
      </c>
      <c r="R215" s="124">
        <v>46037</v>
      </c>
      <c r="S215" s="124">
        <v>46387</v>
      </c>
      <c r="T215" s="58">
        <f ca="1">IF(Table2[[#This Row],[تاريخ نهاية التفويض]]="","",IFERROR(_xlfn.DAYS(Table2[[#This Row],[تاريخ نهاية التفويض]],TODAY()),""))</f>
        <v>127</v>
      </c>
      <c r="U215" s="42" t="s">
        <v>731</v>
      </c>
      <c r="V215" s="43">
        <v>46480</v>
      </c>
      <c r="W215" s="44">
        <f ca="1">IF(Table2[[#This Row],[تاريخ انتهاء التأمين]]="","",IFERROR(_xlfn.DAYS(Table2[[#This Row],[تاريخ انتهاء التأمين]],TODAY()),""))</f>
        <v>220</v>
      </c>
      <c r="X215" s="42" t="s">
        <v>456</v>
      </c>
      <c r="Y215" s="42" t="s">
        <v>431</v>
      </c>
      <c r="Z215" s="45" t="s">
        <v>1545</v>
      </c>
      <c r="AA215" s="46">
        <v>647241</v>
      </c>
      <c r="AB215" s="46" t="s">
        <v>1204</v>
      </c>
      <c r="AC215" s="46" t="s">
        <v>861</v>
      </c>
      <c r="AD215" s="46" t="s">
        <v>939</v>
      </c>
      <c r="AE215" s="47">
        <v>13000</v>
      </c>
      <c r="AF215" s="48" t="s">
        <v>1145</v>
      </c>
      <c r="AG215" s="48" t="s">
        <v>861</v>
      </c>
      <c r="AH215" s="48" t="s">
        <v>1144</v>
      </c>
      <c r="AI215" s="90">
        <v>863514053106296</v>
      </c>
      <c r="AJ215" s="89">
        <v>46576</v>
      </c>
      <c r="AK215" s="48">
        <f ca="1">IF(Table2[[#This Row],[تاريخ انتهاء ال GPS]]="","",IFERROR(_xlfn.DAYS(Table2[[#This Row],[تاريخ انتهاء ال GPS]],TODAY()),""))</f>
        <v>316</v>
      </c>
      <c r="AL215" s="49" t="s">
        <v>956</v>
      </c>
      <c r="AM215" s="50">
        <v>46617</v>
      </c>
      <c r="AN215" s="51">
        <f ca="1">IF(Table2[[#This Row],[تاريخ انتهاء بطاقة التشغيل]]="","",IFERROR(_xlfn.DAYS(Table2[[#This Row],[تاريخ انتهاء بطاقة التشغيل]],TODAY()),""))</f>
        <v>357</v>
      </c>
      <c r="AO215" s="80">
        <v>46462</v>
      </c>
      <c r="AP215" s="52">
        <f>Table2[[#This Row],[تاريخ انتهاء رخصة السير هجري]]</f>
        <v>46462</v>
      </c>
      <c r="AQ215" s="53">
        <f ca="1">IF(Table2[[#This Row],[تاريخ انتهاء رخصة السير ميلادي]]="","",IFERROR(_xlfn.DAYS(Table2[[#This Row],[تاريخ انتهاء رخصة السير ميلادي]],TODAY()),""))</f>
        <v>202</v>
      </c>
      <c r="AR215" s="131" t="s">
        <v>1137</v>
      </c>
      <c r="AS215" s="133" t="s">
        <v>1137</v>
      </c>
      <c r="AT215" s="133" t="s">
        <v>1137</v>
      </c>
      <c r="AU215" s="54" t="s">
        <v>1581</v>
      </c>
      <c r="AV215" s="1"/>
      <c r="BE215" s="3"/>
      <c r="BH215" s="1"/>
    </row>
    <row r="216" spans="1:60" x14ac:dyDescent="0.3">
      <c r="A216" s="39" t="s">
        <v>450</v>
      </c>
      <c r="B216" s="39" t="s">
        <v>450</v>
      </c>
      <c r="C216" s="39" t="s">
        <v>1187</v>
      </c>
      <c r="D216" s="39" t="s">
        <v>457</v>
      </c>
      <c r="E216" s="39" t="s">
        <v>820</v>
      </c>
      <c r="F216" s="54">
        <v>7025667531</v>
      </c>
      <c r="G216" s="41" t="s">
        <v>470</v>
      </c>
      <c r="H216" s="39" t="s">
        <v>471</v>
      </c>
      <c r="I216" s="58">
        <v>325427020</v>
      </c>
      <c r="J216" s="39" t="s">
        <v>424</v>
      </c>
      <c r="K216" s="39" t="s">
        <v>451</v>
      </c>
      <c r="L216" s="39" t="s">
        <v>452</v>
      </c>
      <c r="M216" s="39">
        <v>2024</v>
      </c>
      <c r="N216" s="39" t="s">
        <v>427</v>
      </c>
      <c r="O216" s="39" t="s">
        <v>1934</v>
      </c>
      <c r="P216" s="58">
        <v>2564446751</v>
      </c>
      <c r="Q216" s="39" t="s">
        <v>1734</v>
      </c>
      <c r="R216" s="124">
        <v>46002</v>
      </c>
      <c r="S216" s="124">
        <v>46327</v>
      </c>
      <c r="T216" s="58">
        <f ca="1">IF(Table2[[#This Row],[تاريخ نهاية التفويض]]="","",IFERROR(_xlfn.DAYS(Table2[[#This Row],[تاريخ نهاية التفويض]],TODAY()),""))</f>
        <v>67</v>
      </c>
      <c r="U216" s="42" t="s">
        <v>732</v>
      </c>
      <c r="V216" s="43">
        <v>46480</v>
      </c>
      <c r="W216" s="44">
        <f ca="1">IF(Table2[[#This Row],[تاريخ انتهاء التأمين]]="","",IFERROR(_xlfn.DAYS(Table2[[#This Row],[تاريخ انتهاء التأمين]],TODAY()),""))</f>
        <v>220</v>
      </c>
      <c r="X216" s="42" t="s">
        <v>456</v>
      </c>
      <c r="Y216" s="42" t="s">
        <v>431</v>
      </c>
      <c r="Z216" s="45" t="s">
        <v>1545</v>
      </c>
      <c r="AA216" s="46">
        <v>647239</v>
      </c>
      <c r="AB216" s="46" t="s">
        <v>1205</v>
      </c>
      <c r="AC216" s="46" t="s">
        <v>861</v>
      </c>
      <c r="AD216" s="46" t="s">
        <v>939</v>
      </c>
      <c r="AE216" s="47">
        <v>13000</v>
      </c>
      <c r="AF216" s="48" t="s">
        <v>1145</v>
      </c>
      <c r="AG216" s="48" t="s">
        <v>861</v>
      </c>
      <c r="AH216" s="48" t="s">
        <v>1144</v>
      </c>
      <c r="AI216" s="90">
        <v>863514053233728</v>
      </c>
      <c r="AJ216" s="89">
        <v>46576</v>
      </c>
      <c r="AK216" s="48">
        <f ca="1">IF(Table2[[#This Row],[تاريخ انتهاء ال GPS]]="","",IFERROR(_xlfn.DAYS(Table2[[#This Row],[تاريخ انتهاء ال GPS]],TODAY()),""))</f>
        <v>316</v>
      </c>
      <c r="AL216" s="49" t="s">
        <v>954</v>
      </c>
      <c r="AM216" s="50">
        <v>46617</v>
      </c>
      <c r="AN216" s="51">
        <f ca="1">IF(Table2[[#This Row],[تاريخ انتهاء بطاقة التشغيل]]="","",IFERROR(_xlfn.DAYS(Table2[[#This Row],[تاريخ انتهاء بطاقة التشغيل]],TODAY()),""))</f>
        <v>357</v>
      </c>
      <c r="AO216" s="80">
        <v>46462</v>
      </c>
      <c r="AP216" s="52">
        <f>Table2[[#This Row],[تاريخ انتهاء رخصة السير هجري]]</f>
        <v>46462</v>
      </c>
      <c r="AQ216" s="53">
        <f ca="1">IF(Table2[[#This Row],[تاريخ انتهاء رخصة السير ميلادي]]="","",IFERROR(_xlfn.DAYS(Table2[[#This Row],[تاريخ انتهاء رخصة السير ميلادي]],TODAY()),""))</f>
        <v>202</v>
      </c>
      <c r="AR216" s="131" t="s">
        <v>1137</v>
      </c>
      <c r="AS216" s="133" t="s">
        <v>1137</v>
      </c>
      <c r="AT216" s="133" t="s">
        <v>1137</v>
      </c>
      <c r="AU216" s="54" t="s">
        <v>1581</v>
      </c>
      <c r="AV216" s="1"/>
      <c r="BE216" s="3"/>
      <c r="BH216" s="1"/>
    </row>
    <row r="217" spans="1:60" x14ac:dyDescent="0.3">
      <c r="A217" s="39" t="s">
        <v>450</v>
      </c>
      <c r="B217" s="39" t="s">
        <v>450</v>
      </c>
      <c r="C217" s="39" t="s">
        <v>1187</v>
      </c>
      <c r="D217" s="39" t="s">
        <v>457</v>
      </c>
      <c r="E217" s="39" t="s">
        <v>820</v>
      </c>
      <c r="F217" s="54">
        <v>7025667531</v>
      </c>
      <c r="G217" s="41" t="s">
        <v>472</v>
      </c>
      <c r="H217" s="39" t="s">
        <v>473</v>
      </c>
      <c r="I217" s="58">
        <v>704427020</v>
      </c>
      <c r="J217" s="39" t="s">
        <v>424</v>
      </c>
      <c r="K217" s="39" t="s">
        <v>451</v>
      </c>
      <c r="L217" s="39" t="s">
        <v>452</v>
      </c>
      <c r="M217" s="39">
        <v>2024</v>
      </c>
      <c r="N217" s="39" t="s">
        <v>427</v>
      </c>
      <c r="O217" s="39" t="s">
        <v>1935</v>
      </c>
      <c r="P217" s="58">
        <v>2468312547</v>
      </c>
      <c r="Q217" s="39" t="s">
        <v>1735</v>
      </c>
      <c r="R217" s="124">
        <v>46174</v>
      </c>
      <c r="S217" s="124">
        <v>46387</v>
      </c>
      <c r="T217" s="58">
        <f ca="1">IF(Table2[[#This Row],[تاريخ نهاية التفويض]]="","",IFERROR(_xlfn.DAYS(Table2[[#This Row],[تاريخ نهاية التفويض]],TODAY()),""))</f>
        <v>127</v>
      </c>
      <c r="U217" s="42" t="s">
        <v>455</v>
      </c>
      <c r="V217" s="43">
        <v>46480</v>
      </c>
      <c r="W217" s="44">
        <f ca="1">IF(Table2[[#This Row],[تاريخ انتهاء التأمين]]="","",IFERROR(_xlfn.DAYS(Table2[[#This Row],[تاريخ انتهاء التأمين]],TODAY()),""))</f>
        <v>220</v>
      </c>
      <c r="X217" s="42" t="s">
        <v>456</v>
      </c>
      <c r="Y217" s="42" t="s">
        <v>431</v>
      </c>
      <c r="Z217" s="45" t="s">
        <v>1545</v>
      </c>
      <c r="AA217" s="46">
        <v>647243</v>
      </c>
      <c r="AB217" s="46" t="s">
        <v>1206</v>
      </c>
      <c r="AC217" s="46" t="s">
        <v>861</v>
      </c>
      <c r="AD217" s="46" t="s">
        <v>939</v>
      </c>
      <c r="AE217" s="47">
        <v>13000</v>
      </c>
      <c r="AF217" s="48" t="s">
        <v>1145</v>
      </c>
      <c r="AG217" s="48" t="s">
        <v>861</v>
      </c>
      <c r="AH217" s="48" t="s">
        <v>1144</v>
      </c>
      <c r="AI217" s="90">
        <v>863514053187866</v>
      </c>
      <c r="AJ217" s="89">
        <v>46576</v>
      </c>
      <c r="AK217" s="48">
        <f ca="1">IF(Table2[[#This Row],[تاريخ انتهاء ال GPS]]="","",IFERROR(_xlfn.DAYS(Table2[[#This Row],[تاريخ انتهاء ال GPS]],TODAY()),""))</f>
        <v>316</v>
      </c>
      <c r="AL217" s="49" t="s">
        <v>958</v>
      </c>
      <c r="AM217" s="50">
        <v>46617</v>
      </c>
      <c r="AN217" s="51">
        <f ca="1">IF(Table2[[#This Row],[تاريخ انتهاء بطاقة التشغيل]]="","",IFERROR(_xlfn.DAYS(Table2[[#This Row],[تاريخ انتهاء بطاقة التشغيل]],TODAY()),""))</f>
        <v>357</v>
      </c>
      <c r="AO217" s="80">
        <v>46462</v>
      </c>
      <c r="AP217" s="52">
        <f>Table2[[#This Row],[تاريخ انتهاء رخصة السير هجري]]</f>
        <v>46462</v>
      </c>
      <c r="AQ217" s="53">
        <f ca="1">IF(Table2[[#This Row],[تاريخ انتهاء رخصة السير ميلادي]]="","",IFERROR(_xlfn.DAYS(Table2[[#This Row],[تاريخ انتهاء رخصة السير ميلادي]],TODAY()),""))</f>
        <v>202</v>
      </c>
      <c r="AR217" s="131" t="s">
        <v>1137</v>
      </c>
      <c r="AS217" s="133" t="s">
        <v>1137</v>
      </c>
      <c r="AT217" s="133" t="s">
        <v>1137</v>
      </c>
      <c r="AU217" s="54" t="s">
        <v>1581</v>
      </c>
      <c r="AV217" s="1"/>
      <c r="BE217" s="3"/>
      <c r="BH217" s="1"/>
    </row>
    <row r="218" spans="1:60" x14ac:dyDescent="0.3">
      <c r="A218" s="39" t="s">
        <v>450</v>
      </c>
      <c r="B218" s="39" t="s">
        <v>450</v>
      </c>
      <c r="C218" s="39" t="s">
        <v>1187</v>
      </c>
      <c r="D218" s="39" t="s">
        <v>457</v>
      </c>
      <c r="E218" s="39" t="s">
        <v>820</v>
      </c>
      <c r="F218" s="54">
        <v>7025667531</v>
      </c>
      <c r="G218" s="41" t="s">
        <v>474</v>
      </c>
      <c r="H218" s="39" t="s">
        <v>475</v>
      </c>
      <c r="I218" s="58">
        <v>715427020</v>
      </c>
      <c r="J218" s="39" t="s">
        <v>424</v>
      </c>
      <c r="K218" s="39" t="s">
        <v>451</v>
      </c>
      <c r="L218" s="39" t="s">
        <v>452</v>
      </c>
      <c r="M218" s="39">
        <v>2024</v>
      </c>
      <c r="N218" s="39" t="s">
        <v>427</v>
      </c>
      <c r="O218" s="39" t="s">
        <v>1936</v>
      </c>
      <c r="P218" s="58">
        <v>2593522820</v>
      </c>
      <c r="Q218" s="39" t="s">
        <v>1736</v>
      </c>
      <c r="R218" s="124">
        <v>46155</v>
      </c>
      <c r="S218" s="124">
        <v>46387</v>
      </c>
      <c r="T218" s="58">
        <f ca="1">IF(Table2[[#This Row],[تاريخ نهاية التفويض]]="","",IFERROR(_xlfn.DAYS(Table2[[#This Row],[تاريخ نهاية التفويض]],TODAY()),""))</f>
        <v>127</v>
      </c>
      <c r="U218" s="42" t="s">
        <v>728</v>
      </c>
      <c r="V218" s="43">
        <v>46480</v>
      </c>
      <c r="W218" s="44">
        <f ca="1">IF(Table2[[#This Row],[تاريخ انتهاء التأمين]]="","",IFERROR(_xlfn.DAYS(Table2[[#This Row],[تاريخ انتهاء التأمين]],TODAY()),""))</f>
        <v>220</v>
      </c>
      <c r="X218" s="42" t="s">
        <v>456</v>
      </c>
      <c r="Y218" s="42" t="s">
        <v>431</v>
      </c>
      <c r="Z218" s="45" t="s">
        <v>1545</v>
      </c>
      <c r="AA218" s="46">
        <v>647240</v>
      </c>
      <c r="AB218" s="46" t="s">
        <v>1207</v>
      </c>
      <c r="AC218" s="46" t="s">
        <v>861</v>
      </c>
      <c r="AD218" s="46" t="s">
        <v>939</v>
      </c>
      <c r="AE218" s="47">
        <v>13000</v>
      </c>
      <c r="AF218" s="48" t="s">
        <v>1145</v>
      </c>
      <c r="AG218" s="48" t="s">
        <v>861</v>
      </c>
      <c r="AH218" s="48" t="s">
        <v>1144</v>
      </c>
      <c r="AI218" s="90">
        <v>863514053223463</v>
      </c>
      <c r="AJ218" s="89">
        <v>46576</v>
      </c>
      <c r="AK218" s="48">
        <f ca="1">IF(Table2[[#This Row],[تاريخ انتهاء ال GPS]]="","",IFERROR(_xlfn.DAYS(Table2[[#This Row],[تاريخ انتهاء ال GPS]],TODAY()),""))</f>
        <v>316</v>
      </c>
      <c r="AL218" s="49" t="s">
        <v>955</v>
      </c>
      <c r="AM218" s="50">
        <v>46617</v>
      </c>
      <c r="AN218" s="51">
        <f ca="1">IF(Table2[[#This Row],[تاريخ انتهاء بطاقة التشغيل]]="","",IFERROR(_xlfn.DAYS(Table2[[#This Row],[تاريخ انتهاء بطاقة التشغيل]],TODAY()),""))</f>
        <v>357</v>
      </c>
      <c r="AO218" s="80">
        <v>46462</v>
      </c>
      <c r="AP218" s="52">
        <f>Table2[[#This Row],[تاريخ انتهاء رخصة السير هجري]]</f>
        <v>46462</v>
      </c>
      <c r="AQ218" s="53">
        <f ca="1">IF(Table2[[#This Row],[تاريخ انتهاء رخصة السير ميلادي]]="","",IFERROR(_xlfn.DAYS(Table2[[#This Row],[تاريخ انتهاء رخصة السير ميلادي]],TODAY()),""))</f>
        <v>202</v>
      </c>
      <c r="AR218" s="131" t="s">
        <v>1137</v>
      </c>
      <c r="AS218" s="133" t="s">
        <v>1137</v>
      </c>
      <c r="AT218" s="133" t="s">
        <v>1137</v>
      </c>
      <c r="AU218" s="54" t="s">
        <v>1581</v>
      </c>
      <c r="AV218" s="1"/>
      <c r="BE218" s="3"/>
      <c r="BH218" s="1"/>
    </row>
    <row r="219" spans="1:60" x14ac:dyDescent="0.3">
      <c r="A219" s="39" t="s">
        <v>450</v>
      </c>
      <c r="B219" s="39" t="s">
        <v>450</v>
      </c>
      <c r="C219" s="39" t="s">
        <v>1187</v>
      </c>
      <c r="D219" s="39" t="s">
        <v>17</v>
      </c>
      <c r="E219" s="39" t="s">
        <v>819</v>
      </c>
      <c r="F219" s="40">
        <v>7025667531</v>
      </c>
      <c r="G219" s="41" t="s">
        <v>478</v>
      </c>
      <c r="H219" s="39" t="s">
        <v>479</v>
      </c>
      <c r="I219" s="58">
        <v>672861220</v>
      </c>
      <c r="J219" s="39" t="s">
        <v>424</v>
      </c>
      <c r="K219" s="39" t="s">
        <v>476</v>
      </c>
      <c r="L219" s="39" t="s">
        <v>477</v>
      </c>
      <c r="M219" s="39">
        <v>2025</v>
      </c>
      <c r="N219" s="39" t="s">
        <v>427</v>
      </c>
      <c r="O219" s="39" t="s">
        <v>1989</v>
      </c>
      <c r="P219" s="58">
        <v>2249015393</v>
      </c>
      <c r="Q219" s="39" t="s">
        <v>1737</v>
      </c>
      <c r="R219" s="124">
        <v>46253</v>
      </c>
      <c r="S219" s="124">
        <v>46387</v>
      </c>
      <c r="T219" s="58">
        <f ca="1">IF(Table2[[#This Row],[تاريخ نهاية التفويض]]="","",IFERROR(_xlfn.DAYS(Table2[[#This Row],[تاريخ نهاية التفويض]],TODAY()),""))</f>
        <v>127</v>
      </c>
      <c r="U219" s="42" t="s">
        <v>480</v>
      </c>
      <c r="V219" s="43">
        <v>46596</v>
      </c>
      <c r="W219" s="44">
        <f ca="1">IF(Table2[[#This Row],[تاريخ انتهاء التأمين]]="","",IFERROR(_xlfn.DAYS(Table2[[#This Row],[تاريخ انتهاء التأمين]],TODAY()),""))</f>
        <v>336</v>
      </c>
      <c r="X219" s="42" t="s">
        <v>16</v>
      </c>
      <c r="Y219" s="42" t="s">
        <v>431</v>
      </c>
      <c r="Z219" s="45">
        <v>4500</v>
      </c>
      <c r="AA219" s="46">
        <v>860182</v>
      </c>
      <c r="AB219" s="46" t="s">
        <v>1208</v>
      </c>
      <c r="AC219" s="46" t="s">
        <v>861</v>
      </c>
      <c r="AD219" s="46" t="s">
        <v>939</v>
      </c>
      <c r="AE219" s="47">
        <v>13000</v>
      </c>
      <c r="AF219" s="48" t="s">
        <v>1145</v>
      </c>
      <c r="AG219" s="48" t="s">
        <v>861</v>
      </c>
      <c r="AH219" s="48" t="s">
        <v>1144</v>
      </c>
      <c r="AI219" s="90">
        <v>863514053171001</v>
      </c>
      <c r="AJ219" s="89">
        <v>46576</v>
      </c>
      <c r="AK219" s="48">
        <f ca="1">IF(Table2[[#This Row],[تاريخ انتهاء ال GPS]]="","",IFERROR(_xlfn.DAYS(Table2[[#This Row],[تاريخ انتهاء ال GPS]],TODAY()),""))</f>
        <v>316</v>
      </c>
      <c r="AL219" s="49" t="s">
        <v>947</v>
      </c>
      <c r="AM219" s="50">
        <v>46618</v>
      </c>
      <c r="AN219" s="51">
        <f ca="1">IF(Table2[[#This Row],[تاريخ انتهاء بطاقة التشغيل]]="","",IFERROR(_xlfn.DAYS(Table2[[#This Row],[تاريخ انتهاء بطاقة التشغيل]],TODAY()),""))</f>
        <v>358</v>
      </c>
      <c r="AO219" s="80">
        <v>46945</v>
      </c>
      <c r="AP219" s="52">
        <f>Table2[[#This Row],[تاريخ انتهاء رخصة السير هجري]]</f>
        <v>46945</v>
      </c>
      <c r="AQ219" s="53">
        <f ca="1">IF(Table2[[#This Row],[تاريخ انتهاء رخصة السير ميلادي]]="","",IFERROR(_xlfn.DAYS(Table2[[#This Row],[تاريخ انتهاء رخصة السير ميلادي]],TODAY()),""))</f>
        <v>685</v>
      </c>
      <c r="AR219" s="55">
        <f>Table2[[#This Row],[تاريخ انتهاء الفحص ميلادي]]</f>
        <v>46387</v>
      </c>
      <c r="AS219" s="56">
        <v>46387</v>
      </c>
      <c r="AT219" s="106">
        <f ca="1">IF(Table2[[#This Row],[تاريخ انتهاء الفحص ميلادي]]="","",IFERROR(_xlfn.DAYS(Table2[[#This Row],[تاريخ انتهاء الفحص ميلادي]],TODAY()),""))</f>
        <v>127</v>
      </c>
      <c r="AU219" s="54"/>
      <c r="AV219" s="1"/>
      <c r="BE219" s="3"/>
      <c r="BH219" s="1"/>
    </row>
    <row r="220" spans="1:60" x14ac:dyDescent="0.3">
      <c r="A220" s="39" t="s">
        <v>450</v>
      </c>
      <c r="B220" s="39" t="s">
        <v>450</v>
      </c>
      <c r="C220" s="39" t="s">
        <v>1187</v>
      </c>
      <c r="D220" s="39" t="s">
        <v>17</v>
      </c>
      <c r="E220" s="39" t="s">
        <v>819</v>
      </c>
      <c r="F220" s="40">
        <v>7025667531</v>
      </c>
      <c r="G220" s="41" t="s">
        <v>482</v>
      </c>
      <c r="H220" s="39" t="s">
        <v>483</v>
      </c>
      <c r="I220" s="58">
        <v>929470120</v>
      </c>
      <c r="J220" s="39" t="s">
        <v>424</v>
      </c>
      <c r="K220" s="39" t="s">
        <v>476</v>
      </c>
      <c r="L220" s="39" t="s">
        <v>481</v>
      </c>
      <c r="M220" s="39">
        <v>2024</v>
      </c>
      <c r="N220" s="39" t="s">
        <v>427</v>
      </c>
      <c r="O220" s="39" t="s">
        <v>1937</v>
      </c>
      <c r="P220" s="58">
        <v>2367689433</v>
      </c>
      <c r="Q220" s="39" t="s">
        <v>1738</v>
      </c>
      <c r="R220" s="124">
        <v>46039</v>
      </c>
      <c r="S220" s="124">
        <v>46387</v>
      </c>
      <c r="T220" s="58">
        <f ca="1">IF(Table2[[#This Row],[تاريخ نهاية التفويض]]="","",IFERROR(_xlfn.DAYS(Table2[[#This Row],[تاريخ نهاية التفويض]],TODAY()),""))</f>
        <v>127</v>
      </c>
      <c r="U220" s="42" t="s">
        <v>480</v>
      </c>
      <c r="V220" s="43">
        <v>46596</v>
      </c>
      <c r="W220" s="44">
        <f ca="1">IF(Table2[[#This Row],[تاريخ انتهاء التأمين]]="","",IFERROR(_xlfn.DAYS(Table2[[#This Row],[تاريخ انتهاء التأمين]],TODAY()),""))</f>
        <v>336</v>
      </c>
      <c r="X220" s="42" t="s">
        <v>16</v>
      </c>
      <c r="Y220" s="42" t="s">
        <v>431</v>
      </c>
      <c r="Z220" s="45">
        <v>4500</v>
      </c>
      <c r="AA220" s="46">
        <v>684724</v>
      </c>
      <c r="AB220" s="46" t="s">
        <v>1209</v>
      </c>
      <c r="AC220" s="46" t="s">
        <v>861</v>
      </c>
      <c r="AD220" s="46" t="s">
        <v>939</v>
      </c>
      <c r="AE220" s="47">
        <v>13000</v>
      </c>
      <c r="AF220" s="48" t="s">
        <v>1145</v>
      </c>
      <c r="AG220" s="48" t="s">
        <v>861</v>
      </c>
      <c r="AH220" s="48" t="s">
        <v>1144</v>
      </c>
      <c r="AI220" s="90">
        <v>863514053169112</v>
      </c>
      <c r="AJ220" s="89">
        <v>46576</v>
      </c>
      <c r="AK220" s="48">
        <f ca="1">IF(Table2[[#This Row],[تاريخ انتهاء ال GPS]]="","",IFERROR(_xlfn.DAYS(Table2[[#This Row],[تاريخ انتهاء ال GPS]],TODAY()),""))</f>
        <v>316</v>
      </c>
      <c r="AL220" s="49" t="s">
        <v>960</v>
      </c>
      <c r="AM220" s="50">
        <v>46616</v>
      </c>
      <c r="AN220" s="51">
        <f ca="1">IF(Table2[[#This Row],[تاريخ انتهاء بطاقة التشغيل]]="","",IFERROR(_xlfn.DAYS(Table2[[#This Row],[تاريخ انتهاء بطاقة التشغيل]],TODAY()),""))</f>
        <v>356</v>
      </c>
      <c r="AO220" s="80">
        <v>46576</v>
      </c>
      <c r="AP220" s="52">
        <f>Table2[[#This Row],[تاريخ انتهاء رخصة السير هجري]]</f>
        <v>46576</v>
      </c>
      <c r="AQ220" s="53">
        <f ca="1">IF(Table2[[#This Row],[تاريخ انتهاء رخصة السير ميلادي]]="","",IFERROR(_xlfn.DAYS(Table2[[#This Row],[تاريخ انتهاء رخصة السير ميلادي]],TODAY()),""))</f>
        <v>316</v>
      </c>
      <c r="AR220" s="55">
        <f>Table2[[#This Row],[تاريخ انتهاء الفحص ميلادي]]</f>
        <v>46022</v>
      </c>
      <c r="AS220" s="56">
        <v>46022</v>
      </c>
      <c r="AT220" s="106">
        <f ca="1">IF(Table2[[#This Row],[تاريخ انتهاء الفحص ميلادي]]="","",IFERROR(_xlfn.DAYS(Table2[[#This Row],[تاريخ انتهاء الفحص ميلادي]],TODAY()),""))</f>
        <v>-238</v>
      </c>
      <c r="AU220" s="54"/>
      <c r="AV220" s="1"/>
      <c r="BE220" s="3"/>
      <c r="BH220" s="1"/>
    </row>
    <row r="221" spans="1:60" x14ac:dyDescent="0.3">
      <c r="A221" s="39" t="s">
        <v>450</v>
      </c>
      <c r="B221" s="39" t="s">
        <v>450</v>
      </c>
      <c r="C221" s="39" t="s">
        <v>1187</v>
      </c>
      <c r="D221" s="39" t="s">
        <v>17</v>
      </c>
      <c r="E221" s="39" t="s">
        <v>819</v>
      </c>
      <c r="F221" s="40">
        <v>7025667531</v>
      </c>
      <c r="G221" s="41" t="s">
        <v>484</v>
      </c>
      <c r="H221" s="39" t="s">
        <v>485</v>
      </c>
      <c r="I221" s="58">
        <v>309470120</v>
      </c>
      <c r="J221" s="39" t="s">
        <v>424</v>
      </c>
      <c r="K221" s="39" t="s">
        <v>476</v>
      </c>
      <c r="L221" s="39" t="s">
        <v>481</v>
      </c>
      <c r="M221" s="39">
        <v>2024</v>
      </c>
      <c r="N221" s="39" t="s">
        <v>427</v>
      </c>
      <c r="O221" s="39" t="s">
        <v>1938</v>
      </c>
      <c r="P221" s="58">
        <v>2419343096</v>
      </c>
      <c r="Q221" s="39" t="s">
        <v>1739</v>
      </c>
      <c r="R221" s="124">
        <v>46184</v>
      </c>
      <c r="S221" s="124">
        <v>46387</v>
      </c>
      <c r="T221" s="58">
        <f ca="1">IF(Table2[[#This Row],[تاريخ نهاية التفويض]]="","",IFERROR(_xlfn.DAYS(Table2[[#This Row],[تاريخ نهاية التفويض]],TODAY()),""))</f>
        <v>127</v>
      </c>
      <c r="U221" s="42" t="s">
        <v>480</v>
      </c>
      <c r="V221" s="43">
        <v>46596</v>
      </c>
      <c r="W221" s="44">
        <f ca="1">IF(Table2[[#This Row],[تاريخ انتهاء التأمين]]="","",IFERROR(_xlfn.DAYS(Table2[[#This Row],[تاريخ انتهاء التأمين]],TODAY()),""))</f>
        <v>336</v>
      </c>
      <c r="X221" s="42" t="s">
        <v>16</v>
      </c>
      <c r="Y221" s="42" t="s">
        <v>431</v>
      </c>
      <c r="Z221" s="45">
        <v>4500</v>
      </c>
      <c r="AA221" s="46">
        <v>684722</v>
      </c>
      <c r="AB221" s="46" t="s">
        <v>1210</v>
      </c>
      <c r="AC221" s="46" t="s">
        <v>861</v>
      </c>
      <c r="AD221" s="46" t="s">
        <v>939</v>
      </c>
      <c r="AE221" s="47">
        <v>13000</v>
      </c>
      <c r="AF221" s="48" t="s">
        <v>1145</v>
      </c>
      <c r="AG221" s="48" t="s">
        <v>861</v>
      </c>
      <c r="AH221" s="48" t="s">
        <v>1144</v>
      </c>
      <c r="AI221" s="90">
        <v>863514053234718</v>
      </c>
      <c r="AJ221" s="89">
        <v>46576</v>
      </c>
      <c r="AK221" s="48">
        <f ca="1">IF(Table2[[#This Row],[تاريخ انتهاء ال GPS]]="","",IFERROR(_xlfn.DAYS(Table2[[#This Row],[تاريخ انتهاء ال GPS]],TODAY()),""))</f>
        <v>316</v>
      </c>
      <c r="AL221" s="49" t="s">
        <v>962</v>
      </c>
      <c r="AM221" s="50">
        <v>46616</v>
      </c>
      <c r="AN221" s="51">
        <f ca="1">IF(Table2[[#This Row],[تاريخ انتهاء بطاقة التشغيل]]="","",IFERROR(_xlfn.DAYS(Table2[[#This Row],[تاريخ انتهاء بطاقة التشغيل]],TODAY()),""))</f>
        <v>356</v>
      </c>
      <c r="AO221" s="80">
        <v>46576</v>
      </c>
      <c r="AP221" s="52">
        <f>Table2[[#This Row],[تاريخ انتهاء رخصة السير هجري]]</f>
        <v>46576</v>
      </c>
      <c r="AQ221" s="53">
        <f ca="1">IF(Table2[[#This Row],[تاريخ انتهاء رخصة السير ميلادي]]="","",IFERROR(_xlfn.DAYS(Table2[[#This Row],[تاريخ انتهاء رخصة السير ميلادي]],TODAY()),""))</f>
        <v>316</v>
      </c>
      <c r="AR221" s="55">
        <f>Table2[[#This Row],[تاريخ انتهاء الفحص ميلادي]]</f>
        <v>46022</v>
      </c>
      <c r="AS221" s="56">
        <v>46022</v>
      </c>
      <c r="AT221" s="106">
        <f ca="1">IF(Table2[[#This Row],[تاريخ انتهاء الفحص ميلادي]]="","",IFERROR(_xlfn.DAYS(Table2[[#This Row],[تاريخ انتهاء الفحص ميلادي]],TODAY()),""))</f>
        <v>-238</v>
      </c>
      <c r="AU221" s="54"/>
      <c r="AV221" s="1"/>
      <c r="BE221" s="3"/>
      <c r="BH221" s="1"/>
    </row>
    <row r="222" spans="1:60" x14ac:dyDescent="0.3">
      <c r="A222" s="39" t="s">
        <v>450</v>
      </c>
      <c r="B222" s="39" t="s">
        <v>450</v>
      </c>
      <c r="C222" s="39" t="s">
        <v>1187</v>
      </c>
      <c r="D222" s="39" t="s">
        <v>17</v>
      </c>
      <c r="E222" s="39" t="s">
        <v>819</v>
      </c>
      <c r="F222" s="40">
        <v>7025667531</v>
      </c>
      <c r="G222" s="41" t="s">
        <v>486</v>
      </c>
      <c r="H222" s="39" t="s">
        <v>487</v>
      </c>
      <c r="I222" s="58">
        <v>639742120</v>
      </c>
      <c r="J222" s="39" t="s">
        <v>424</v>
      </c>
      <c r="K222" s="39" t="s">
        <v>476</v>
      </c>
      <c r="L222" s="39" t="s">
        <v>481</v>
      </c>
      <c r="M222" s="39">
        <v>2024</v>
      </c>
      <c r="N222" s="39" t="s">
        <v>427</v>
      </c>
      <c r="O222" s="39" t="s">
        <v>1939</v>
      </c>
      <c r="P222" s="58">
        <v>2575060708</v>
      </c>
      <c r="Q222" s="39" t="s">
        <v>1740</v>
      </c>
      <c r="R222" s="124">
        <v>46037</v>
      </c>
      <c r="S222" s="124">
        <v>46387</v>
      </c>
      <c r="T222" s="58">
        <f ca="1">IF(Table2[[#This Row],[تاريخ نهاية التفويض]]="","",IFERROR(_xlfn.DAYS(Table2[[#This Row],[تاريخ نهاية التفويض]],TODAY()),""))</f>
        <v>127</v>
      </c>
      <c r="U222" s="42" t="s">
        <v>480</v>
      </c>
      <c r="V222" s="43">
        <v>46596</v>
      </c>
      <c r="W222" s="44">
        <f ca="1">IF(Table2[[#This Row],[تاريخ انتهاء التأمين]]="","",IFERROR(_xlfn.DAYS(Table2[[#This Row],[تاريخ انتهاء التأمين]],TODAY()),""))</f>
        <v>336</v>
      </c>
      <c r="X222" s="42" t="s">
        <v>16</v>
      </c>
      <c r="Y222" s="42" t="s">
        <v>431</v>
      </c>
      <c r="Z222" s="45">
        <v>4500</v>
      </c>
      <c r="AA222" s="46">
        <v>724503</v>
      </c>
      <c r="AB222" s="46" t="s">
        <v>1211</v>
      </c>
      <c r="AC222" s="46" t="s">
        <v>861</v>
      </c>
      <c r="AD222" s="46" t="s">
        <v>939</v>
      </c>
      <c r="AE222" s="47">
        <v>13000</v>
      </c>
      <c r="AF222" s="48" t="s">
        <v>1145</v>
      </c>
      <c r="AG222" s="48" t="s">
        <v>861</v>
      </c>
      <c r="AH222" s="48" t="s">
        <v>1144</v>
      </c>
      <c r="AI222" s="90">
        <v>863514053248304</v>
      </c>
      <c r="AJ222" s="89">
        <v>46576</v>
      </c>
      <c r="AK222" s="48">
        <f ca="1">IF(Table2[[#This Row],[تاريخ انتهاء ال GPS]]="","",IFERROR(_xlfn.DAYS(Table2[[#This Row],[تاريخ انتهاء ال GPS]],TODAY()),""))</f>
        <v>316</v>
      </c>
      <c r="AL222" s="49" t="s">
        <v>942</v>
      </c>
      <c r="AM222" s="50">
        <v>46291</v>
      </c>
      <c r="AN222" s="51">
        <f ca="1">IF(Table2[[#This Row],[تاريخ انتهاء بطاقة التشغيل]]="","",IFERROR(_xlfn.DAYS(Table2[[#This Row],[تاريخ انتهاء بطاقة التشغيل]],TODAY()),""))</f>
        <v>31</v>
      </c>
      <c r="AO222" s="80">
        <v>46630</v>
      </c>
      <c r="AP222" s="52">
        <f>Table2[[#This Row],[تاريخ انتهاء رخصة السير هجري]]</f>
        <v>46630</v>
      </c>
      <c r="AQ222" s="53">
        <f ca="1">IF(Table2[[#This Row],[تاريخ انتهاء رخصة السير ميلادي]]="","",IFERROR(_xlfn.DAYS(Table2[[#This Row],[تاريخ انتهاء رخصة السير ميلادي]],TODAY()),""))</f>
        <v>370</v>
      </c>
      <c r="AR222" s="55">
        <f>Table2[[#This Row],[تاريخ انتهاء الفحص ميلادي]]</f>
        <v>46022</v>
      </c>
      <c r="AS222" s="56">
        <v>46022</v>
      </c>
      <c r="AT222" s="106">
        <f ca="1">IF(Table2[[#This Row],[تاريخ انتهاء الفحص ميلادي]]="","",IFERROR(_xlfn.DAYS(Table2[[#This Row],[تاريخ انتهاء الفحص ميلادي]],TODAY()),""))</f>
        <v>-238</v>
      </c>
      <c r="AU222" s="54"/>
      <c r="AV222" s="1"/>
      <c r="BE222" s="3"/>
      <c r="BH222" s="1"/>
    </row>
    <row r="223" spans="1:60" x14ac:dyDescent="0.3">
      <c r="A223" s="39" t="s">
        <v>450</v>
      </c>
      <c r="B223" s="39" t="s">
        <v>450</v>
      </c>
      <c r="C223" s="39" t="s">
        <v>1187</v>
      </c>
      <c r="D223" s="39" t="s">
        <v>17</v>
      </c>
      <c r="E223" s="39" t="s">
        <v>819</v>
      </c>
      <c r="F223" s="40">
        <v>7025667531</v>
      </c>
      <c r="G223" s="41" t="s">
        <v>488</v>
      </c>
      <c r="H223" s="39" t="s">
        <v>489</v>
      </c>
      <c r="I223" s="58">
        <v>963842120</v>
      </c>
      <c r="J223" s="39" t="s">
        <v>424</v>
      </c>
      <c r="K223" s="39" t="s">
        <v>476</v>
      </c>
      <c r="L223" s="39" t="s">
        <v>481</v>
      </c>
      <c r="M223" s="39">
        <v>2024</v>
      </c>
      <c r="N223" s="39" t="s">
        <v>427</v>
      </c>
      <c r="O223" s="39" t="s">
        <v>1935</v>
      </c>
      <c r="P223" s="58">
        <v>2468312547</v>
      </c>
      <c r="Q223" s="39" t="s">
        <v>1741</v>
      </c>
      <c r="R223" s="124">
        <v>46204</v>
      </c>
      <c r="S223" s="124">
        <v>46387</v>
      </c>
      <c r="T223" s="58">
        <f ca="1">IF(Table2[[#This Row],[تاريخ نهاية التفويض]]="","",IFERROR(_xlfn.DAYS(Table2[[#This Row],[تاريخ نهاية التفويض]],TODAY()),""))</f>
        <v>127</v>
      </c>
      <c r="U223" s="42" t="s">
        <v>480</v>
      </c>
      <c r="V223" s="43">
        <v>46596</v>
      </c>
      <c r="W223" s="44">
        <f ca="1">IF(Table2[[#This Row],[تاريخ انتهاء التأمين]]="","",IFERROR(_xlfn.DAYS(Table2[[#This Row],[تاريخ انتهاء التأمين]],TODAY()),""))</f>
        <v>336</v>
      </c>
      <c r="X223" s="42" t="s">
        <v>16</v>
      </c>
      <c r="Y223" s="42" t="s">
        <v>431</v>
      </c>
      <c r="Z223" s="45">
        <v>4500</v>
      </c>
      <c r="AA223" s="46">
        <v>724508</v>
      </c>
      <c r="AB223" s="46" t="s">
        <v>1212</v>
      </c>
      <c r="AC223" s="46" t="s">
        <v>861</v>
      </c>
      <c r="AD223" s="46" t="s">
        <v>939</v>
      </c>
      <c r="AE223" s="47">
        <v>13000</v>
      </c>
      <c r="AF223" s="48" t="s">
        <v>1145</v>
      </c>
      <c r="AG223" s="48" t="s">
        <v>861</v>
      </c>
      <c r="AH223" s="48" t="s">
        <v>1144</v>
      </c>
      <c r="AI223" s="90">
        <v>863514053230443</v>
      </c>
      <c r="AJ223" s="89">
        <v>46576</v>
      </c>
      <c r="AK223" s="48">
        <f ca="1">IF(Table2[[#This Row],[تاريخ انتهاء ال GPS]]="","",IFERROR(_xlfn.DAYS(Table2[[#This Row],[تاريخ انتهاء ال GPS]],TODAY()),""))</f>
        <v>316</v>
      </c>
      <c r="AL223" s="49" t="s">
        <v>945</v>
      </c>
      <c r="AM223" s="50">
        <v>46291</v>
      </c>
      <c r="AN223" s="51">
        <f ca="1">IF(Table2[[#This Row],[تاريخ انتهاء بطاقة التشغيل]]="","",IFERROR(_xlfn.DAYS(Table2[[#This Row],[تاريخ انتهاء بطاقة التشغيل]],TODAY()),""))</f>
        <v>31</v>
      </c>
      <c r="AO223" s="80">
        <v>46630</v>
      </c>
      <c r="AP223" s="52">
        <f>Table2[[#This Row],[تاريخ انتهاء رخصة السير هجري]]</f>
        <v>46630</v>
      </c>
      <c r="AQ223" s="53">
        <f ca="1">IF(Table2[[#This Row],[تاريخ انتهاء رخصة السير ميلادي]]="","",IFERROR(_xlfn.DAYS(Table2[[#This Row],[تاريخ انتهاء رخصة السير ميلادي]],TODAY()),""))</f>
        <v>370</v>
      </c>
      <c r="AR223" s="55">
        <f>Table2[[#This Row],[تاريخ انتهاء الفحص ميلادي]]</f>
        <v>46022</v>
      </c>
      <c r="AS223" s="56">
        <v>46022</v>
      </c>
      <c r="AT223" s="106">
        <f ca="1">IF(Table2[[#This Row],[تاريخ انتهاء الفحص ميلادي]]="","",IFERROR(_xlfn.DAYS(Table2[[#This Row],[تاريخ انتهاء الفحص ميلادي]],TODAY()),""))</f>
        <v>-238</v>
      </c>
      <c r="AU223" s="54"/>
      <c r="AV223" s="1"/>
      <c r="BE223" s="3"/>
      <c r="BH223" s="1"/>
    </row>
    <row r="224" spans="1:60" x14ac:dyDescent="0.3">
      <c r="A224" s="39" t="s">
        <v>450</v>
      </c>
      <c r="B224" s="39" t="s">
        <v>450</v>
      </c>
      <c r="C224" s="39" t="s">
        <v>1187</v>
      </c>
      <c r="D224" s="39" t="s">
        <v>17</v>
      </c>
      <c r="E224" s="39" t="s">
        <v>819</v>
      </c>
      <c r="F224" s="40">
        <v>7025667531</v>
      </c>
      <c r="G224" s="41" t="s">
        <v>490</v>
      </c>
      <c r="H224" s="39" t="s">
        <v>491</v>
      </c>
      <c r="I224" s="58">
        <v>488470120</v>
      </c>
      <c r="J224" s="39" t="s">
        <v>424</v>
      </c>
      <c r="K224" s="39" t="s">
        <v>476</v>
      </c>
      <c r="L224" s="39" t="s">
        <v>481</v>
      </c>
      <c r="M224" s="39">
        <v>2024</v>
      </c>
      <c r="N224" s="39" t="s">
        <v>427</v>
      </c>
      <c r="O224" s="39" t="s">
        <v>1940</v>
      </c>
      <c r="P224" s="58">
        <v>2607295744</v>
      </c>
      <c r="Q224" s="39" t="s">
        <v>1742</v>
      </c>
      <c r="R224" s="124">
        <v>46002</v>
      </c>
      <c r="S224" s="124">
        <v>46327</v>
      </c>
      <c r="T224" s="58">
        <f ca="1">IF(Table2[[#This Row],[تاريخ نهاية التفويض]]="","",IFERROR(_xlfn.DAYS(Table2[[#This Row],[تاريخ نهاية التفويض]],TODAY()),""))</f>
        <v>67</v>
      </c>
      <c r="U224" s="42" t="s">
        <v>480</v>
      </c>
      <c r="V224" s="43">
        <v>46596</v>
      </c>
      <c r="W224" s="44">
        <f ca="1">IF(Table2[[#This Row],[تاريخ انتهاء التأمين]]="","",IFERROR(_xlfn.DAYS(Table2[[#This Row],[تاريخ انتهاء التأمين]],TODAY()),""))</f>
        <v>336</v>
      </c>
      <c r="X224" s="42" t="s">
        <v>16</v>
      </c>
      <c r="Y224" s="42" t="s">
        <v>431</v>
      </c>
      <c r="Z224" s="45">
        <v>4500</v>
      </c>
      <c r="AA224" s="46">
        <v>684854</v>
      </c>
      <c r="AB224" s="46" t="s">
        <v>1213</v>
      </c>
      <c r="AC224" s="46" t="s">
        <v>861</v>
      </c>
      <c r="AD224" s="46" t="s">
        <v>939</v>
      </c>
      <c r="AE224" s="47">
        <v>13000</v>
      </c>
      <c r="AF224" s="48" t="s">
        <v>1145</v>
      </c>
      <c r="AG224" s="48" t="s">
        <v>861</v>
      </c>
      <c r="AH224" s="48" t="s">
        <v>1144</v>
      </c>
      <c r="AI224" s="90">
        <v>863514053156804</v>
      </c>
      <c r="AJ224" s="89">
        <v>46576</v>
      </c>
      <c r="AK224" s="48">
        <f ca="1">IF(Table2[[#This Row],[تاريخ انتهاء ال GPS]]="","",IFERROR(_xlfn.DAYS(Table2[[#This Row],[تاريخ انتهاء ال GPS]],TODAY()),""))</f>
        <v>316</v>
      </c>
      <c r="AL224" s="49" t="s">
        <v>959</v>
      </c>
      <c r="AM224" s="50">
        <v>46617</v>
      </c>
      <c r="AN224" s="51">
        <f ca="1">IF(Table2[[#This Row],[تاريخ انتهاء بطاقة التشغيل]]="","",IFERROR(_xlfn.DAYS(Table2[[#This Row],[تاريخ انتهاء بطاقة التشغيل]],TODAY()),""))</f>
        <v>357</v>
      </c>
      <c r="AO224" s="80">
        <v>46576</v>
      </c>
      <c r="AP224" s="52">
        <f>Table2[[#This Row],[تاريخ انتهاء رخصة السير هجري]]</f>
        <v>46576</v>
      </c>
      <c r="AQ224" s="53">
        <f ca="1">IF(Table2[[#This Row],[تاريخ انتهاء رخصة السير ميلادي]]="","",IFERROR(_xlfn.DAYS(Table2[[#This Row],[تاريخ انتهاء رخصة السير ميلادي]],TODAY()),""))</f>
        <v>316</v>
      </c>
      <c r="AR224" s="55">
        <f>Table2[[#This Row],[تاريخ انتهاء الفحص ميلادي]]</f>
        <v>46022</v>
      </c>
      <c r="AS224" s="56">
        <v>46022</v>
      </c>
      <c r="AT224" s="106">
        <f ca="1">IF(Table2[[#This Row],[تاريخ انتهاء الفحص ميلادي]]="","",IFERROR(_xlfn.DAYS(Table2[[#This Row],[تاريخ انتهاء الفحص ميلادي]],TODAY()),""))</f>
        <v>-238</v>
      </c>
      <c r="AU224" s="54"/>
      <c r="AV224" s="1"/>
      <c r="BE224" s="3"/>
      <c r="BH224" s="1"/>
    </row>
    <row r="225" spans="1:60" x14ac:dyDescent="0.3">
      <c r="A225" s="39" t="s">
        <v>450</v>
      </c>
      <c r="B225" s="39" t="s">
        <v>450</v>
      </c>
      <c r="C225" s="39" t="s">
        <v>1187</v>
      </c>
      <c r="D225" s="39" t="s">
        <v>17</v>
      </c>
      <c r="E225" s="39" t="s">
        <v>819</v>
      </c>
      <c r="F225" s="40">
        <v>7025667531</v>
      </c>
      <c r="G225" s="41" t="s">
        <v>492</v>
      </c>
      <c r="H225" s="39" t="s">
        <v>493</v>
      </c>
      <c r="I225" s="58">
        <v>309742120</v>
      </c>
      <c r="J225" s="39" t="s">
        <v>424</v>
      </c>
      <c r="K225" s="39" t="s">
        <v>476</v>
      </c>
      <c r="L225" s="39" t="s">
        <v>481</v>
      </c>
      <c r="M225" s="39">
        <v>2024</v>
      </c>
      <c r="N225" s="39" t="s">
        <v>427</v>
      </c>
      <c r="O225" s="39" t="s">
        <v>1941</v>
      </c>
      <c r="P225" s="58">
        <v>2588493870</v>
      </c>
      <c r="Q225" s="39" t="s">
        <v>1743</v>
      </c>
      <c r="R225" s="124">
        <v>46189</v>
      </c>
      <c r="S225" s="124">
        <v>46387</v>
      </c>
      <c r="T225" s="58">
        <f ca="1">IF(Table2[[#This Row],[تاريخ نهاية التفويض]]="","",IFERROR(_xlfn.DAYS(Table2[[#This Row],[تاريخ نهاية التفويض]],TODAY()),""))</f>
        <v>127</v>
      </c>
      <c r="U225" s="42" t="s">
        <v>480</v>
      </c>
      <c r="V225" s="43">
        <v>46596</v>
      </c>
      <c r="W225" s="44">
        <f ca="1">IF(Table2[[#This Row],[تاريخ انتهاء التأمين]]="","",IFERROR(_xlfn.DAYS(Table2[[#This Row],[تاريخ انتهاء التأمين]],TODAY()),""))</f>
        <v>336</v>
      </c>
      <c r="X225" s="42" t="s">
        <v>16</v>
      </c>
      <c r="Y225" s="42" t="s">
        <v>431</v>
      </c>
      <c r="Z225" s="45">
        <v>4500</v>
      </c>
      <c r="AA225" s="46">
        <v>724507</v>
      </c>
      <c r="AB225" s="46" t="s">
        <v>1214</v>
      </c>
      <c r="AC225" s="46" t="s">
        <v>861</v>
      </c>
      <c r="AD225" s="46" t="s">
        <v>939</v>
      </c>
      <c r="AE225" s="47">
        <v>13000</v>
      </c>
      <c r="AF225" s="48" t="s">
        <v>1145</v>
      </c>
      <c r="AG225" s="48" t="s">
        <v>861</v>
      </c>
      <c r="AH225" s="48" t="s">
        <v>1144</v>
      </c>
      <c r="AI225" s="90">
        <v>863514053158602</v>
      </c>
      <c r="AJ225" s="89">
        <v>46576</v>
      </c>
      <c r="AK225" s="48">
        <f ca="1">IF(Table2[[#This Row],[تاريخ انتهاء ال GPS]]="","",IFERROR(_xlfn.DAYS(Table2[[#This Row],[تاريخ انتهاء ال GPS]],TODAY()),""))</f>
        <v>316</v>
      </c>
      <c r="AL225" s="49" t="s">
        <v>944</v>
      </c>
      <c r="AM225" s="50">
        <v>46291</v>
      </c>
      <c r="AN225" s="51">
        <f ca="1">IF(Table2[[#This Row],[تاريخ انتهاء بطاقة التشغيل]]="","",IFERROR(_xlfn.DAYS(Table2[[#This Row],[تاريخ انتهاء بطاقة التشغيل]],TODAY()),""))</f>
        <v>31</v>
      </c>
      <c r="AO225" s="80">
        <v>46630</v>
      </c>
      <c r="AP225" s="52">
        <f>Table2[[#This Row],[تاريخ انتهاء رخصة السير هجري]]</f>
        <v>46630</v>
      </c>
      <c r="AQ225" s="53">
        <f ca="1">IF(Table2[[#This Row],[تاريخ انتهاء رخصة السير ميلادي]]="","",IFERROR(_xlfn.DAYS(Table2[[#This Row],[تاريخ انتهاء رخصة السير ميلادي]],TODAY()),""))</f>
        <v>370</v>
      </c>
      <c r="AR225" s="55">
        <f>Table2[[#This Row],[تاريخ انتهاء الفحص ميلادي]]</f>
        <v>46022</v>
      </c>
      <c r="AS225" s="56">
        <v>46022</v>
      </c>
      <c r="AT225" s="106">
        <f ca="1">IF(Table2[[#This Row],[تاريخ انتهاء الفحص ميلادي]]="","",IFERROR(_xlfn.DAYS(Table2[[#This Row],[تاريخ انتهاء الفحص ميلادي]],TODAY()),""))</f>
        <v>-238</v>
      </c>
      <c r="AU225" s="54"/>
      <c r="AV225" s="1"/>
      <c r="BE225" s="3"/>
      <c r="BH225" s="1"/>
    </row>
    <row r="226" spans="1:60" x14ac:dyDescent="0.3">
      <c r="A226" s="39" t="s">
        <v>450</v>
      </c>
      <c r="B226" s="39" t="s">
        <v>450</v>
      </c>
      <c r="C226" s="39" t="s">
        <v>1187</v>
      </c>
      <c r="D226" s="39" t="s">
        <v>17</v>
      </c>
      <c r="E226" s="39" t="s">
        <v>819</v>
      </c>
      <c r="F226" s="40">
        <v>7025667531</v>
      </c>
      <c r="G226" s="41" t="s">
        <v>494</v>
      </c>
      <c r="H226" s="39" t="s">
        <v>495</v>
      </c>
      <c r="I226" s="58">
        <v>682861220</v>
      </c>
      <c r="J226" s="39" t="s">
        <v>424</v>
      </c>
      <c r="K226" s="39" t="s">
        <v>476</v>
      </c>
      <c r="L226" s="39" t="s">
        <v>477</v>
      </c>
      <c r="M226" s="39">
        <v>2025</v>
      </c>
      <c r="N226" s="39" t="s">
        <v>427</v>
      </c>
      <c r="O226" s="39" t="s">
        <v>1942</v>
      </c>
      <c r="P226" s="58">
        <v>2557688427</v>
      </c>
      <c r="Q226" s="39" t="s">
        <v>1744</v>
      </c>
      <c r="R226" s="124">
        <v>46068</v>
      </c>
      <c r="S226" s="124">
        <v>46387</v>
      </c>
      <c r="T226" s="58">
        <f ca="1">IF(Table2[[#This Row],[تاريخ نهاية التفويض]]="","",IFERROR(_xlfn.DAYS(Table2[[#This Row],[تاريخ نهاية التفويض]],TODAY()),""))</f>
        <v>127</v>
      </c>
      <c r="U226" s="42" t="s">
        <v>480</v>
      </c>
      <c r="V226" s="43">
        <v>46596</v>
      </c>
      <c r="W226" s="44">
        <f ca="1">IF(Table2[[#This Row],[تاريخ انتهاء التأمين]]="","",IFERROR(_xlfn.DAYS(Table2[[#This Row],[تاريخ انتهاء التأمين]],TODAY()),""))</f>
        <v>336</v>
      </c>
      <c r="X226" s="42" t="s">
        <v>16</v>
      </c>
      <c r="Y226" s="42" t="s">
        <v>431</v>
      </c>
      <c r="Z226" s="45">
        <v>4500</v>
      </c>
      <c r="AA226" s="46">
        <v>860179</v>
      </c>
      <c r="AB226" s="46" t="s">
        <v>1215</v>
      </c>
      <c r="AC226" s="46" t="s">
        <v>861</v>
      </c>
      <c r="AD226" s="46" t="s">
        <v>939</v>
      </c>
      <c r="AE226" s="47">
        <v>13000</v>
      </c>
      <c r="AF226" s="48" t="s">
        <v>1145</v>
      </c>
      <c r="AG226" s="48" t="s">
        <v>861</v>
      </c>
      <c r="AH226" s="48" t="s">
        <v>1144</v>
      </c>
      <c r="AI226" s="90">
        <v>863514053187551</v>
      </c>
      <c r="AJ226" s="89">
        <v>46576</v>
      </c>
      <c r="AK226" s="48">
        <f ca="1">IF(Table2[[#This Row],[تاريخ انتهاء ال GPS]]="","",IFERROR(_xlfn.DAYS(Table2[[#This Row],[تاريخ انتهاء ال GPS]],TODAY()),""))</f>
        <v>316</v>
      </c>
      <c r="AL226" s="49" t="s">
        <v>946</v>
      </c>
      <c r="AM226" s="50">
        <v>46618</v>
      </c>
      <c r="AN226" s="51">
        <f ca="1">IF(Table2[[#This Row],[تاريخ انتهاء بطاقة التشغيل]]="","",IFERROR(_xlfn.DAYS(Table2[[#This Row],[تاريخ انتهاء بطاقة التشغيل]],TODAY()),""))</f>
        <v>358</v>
      </c>
      <c r="AO226" s="80">
        <v>46945</v>
      </c>
      <c r="AP226" s="52">
        <f>Table2[[#This Row],[تاريخ انتهاء رخصة السير هجري]]</f>
        <v>46945</v>
      </c>
      <c r="AQ226" s="53">
        <f ca="1">IF(Table2[[#This Row],[تاريخ انتهاء رخصة السير ميلادي]]="","",IFERROR(_xlfn.DAYS(Table2[[#This Row],[تاريخ انتهاء رخصة السير ميلادي]],TODAY()),""))</f>
        <v>685</v>
      </c>
      <c r="AR226" s="55">
        <f>Table2[[#This Row],[تاريخ انتهاء الفحص ميلادي]]</f>
        <v>46387</v>
      </c>
      <c r="AS226" s="56">
        <v>46387</v>
      </c>
      <c r="AT226" s="106">
        <f ca="1">IF(Table2[[#This Row],[تاريخ انتهاء الفحص ميلادي]]="","",IFERROR(_xlfn.DAYS(Table2[[#This Row],[تاريخ انتهاء الفحص ميلادي]],TODAY()),""))</f>
        <v>127</v>
      </c>
      <c r="AU226" s="54"/>
      <c r="AV226" s="1"/>
      <c r="BE226" s="3"/>
      <c r="BH226" s="1"/>
    </row>
    <row r="227" spans="1:60" x14ac:dyDescent="0.3">
      <c r="A227" s="39" t="s">
        <v>450</v>
      </c>
      <c r="B227" s="39" t="s">
        <v>450</v>
      </c>
      <c r="C227" s="39" t="s">
        <v>1187</v>
      </c>
      <c r="D227" s="39" t="s">
        <v>17</v>
      </c>
      <c r="E227" s="39" t="s">
        <v>819</v>
      </c>
      <c r="F227" s="40">
        <v>7025667531</v>
      </c>
      <c r="G227" s="41" t="s">
        <v>496</v>
      </c>
      <c r="H227" s="39" t="s">
        <v>497</v>
      </c>
      <c r="I227" s="58">
        <v>819470120</v>
      </c>
      <c r="J227" s="39" t="s">
        <v>424</v>
      </c>
      <c r="K227" s="39" t="s">
        <v>476</v>
      </c>
      <c r="L227" s="39" t="s">
        <v>481</v>
      </c>
      <c r="M227" s="39">
        <v>2024</v>
      </c>
      <c r="N227" s="39" t="s">
        <v>427</v>
      </c>
      <c r="O227" s="39" t="s">
        <v>1943</v>
      </c>
      <c r="P227" s="58">
        <v>2308978341</v>
      </c>
      <c r="Q227" s="39" t="s">
        <v>1745</v>
      </c>
      <c r="R227" s="124">
        <v>46002</v>
      </c>
      <c r="S227" s="124">
        <v>46327</v>
      </c>
      <c r="T227" s="58">
        <f ca="1">IF(Table2[[#This Row],[تاريخ نهاية التفويض]]="","",IFERROR(_xlfn.DAYS(Table2[[#This Row],[تاريخ نهاية التفويض]],TODAY()),""))</f>
        <v>67</v>
      </c>
      <c r="U227" s="42" t="s">
        <v>480</v>
      </c>
      <c r="V227" s="43">
        <v>46596</v>
      </c>
      <c r="W227" s="44">
        <f ca="1">IF(Table2[[#This Row],[تاريخ انتهاء التأمين]]="","",IFERROR(_xlfn.DAYS(Table2[[#This Row],[تاريخ انتهاء التأمين]],TODAY()),""))</f>
        <v>336</v>
      </c>
      <c r="X227" s="42" t="s">
        <v>16</v>
      </c>
      <c r="Y227" s="42" t="s">
        <v>431</v>
      </c>
      <c r="Z227" s="45">
        <v>4500</v>
      </c>
      <c r="AA227" s="46">
        <v>684725</v>
      </c>
      <c r="AB227" s="46" t="s">
        <v>1216</v>
      </c>
      <c r="AC227" s="46" t="s">
        <v>861</v>
      </c>
      <c r="AD227" s="46" t="s">
        <v>939</v>
      </c>
      <c r="AE227" s="47">
        <v>13000</v>
      </c>
      <c r="AF227" s="48" t="s">
        <v>1145</v>
      </c>
      <c r="AG227" s="48" t="s">
        <v>861</v>
      </c>
      <c r="AH227" s="48" t="s">
        <v>1144</v>
      </c>
      <c r="AI227" s="90">
        <v>863514053101107</v>
      </c>
      <c r="AJ227" s="89">
        <v>46576</v>
      </c>
      <c r="AK227" s="48">
        <f ca="1">IF(Table2[[#This Row],[تاريخ انتهاء ال GPS]]="","",IFERROR(_xlfn.DAYS(Table2[[#This Row],[تاريخ انتهاء ال GPS]],TODAY()),""))</f>
        <v>316</v>
      </c>
      <c r="AL227" s="49" t="s">
        <v>961</v>
      </c>
      <c r="AM227" s="50">
        <v>46616</v>
      </c>
      <c r="AN227" s="51">
        <f ca="1">IF(Table2[[#This Row],[تاريخ انتهاء بطاقة التشغيل]]="","",IFERROR(_xlfn.DAYS(Table2[[#This Row],[تاريخ انتهاء بطاقة التشغيل]],TODAY()),""))</f>
        <v>356</v>
      </c>
      <c r="AO227" s="80">
        <v>46576</v>
      </c>
      <c r="AP227" s="52">
        <f>Table2[[#This Row],[تاريخ انتهاء رخصة السير هجري]]</f>
        <v>46576</v>
      </c>
      <c r="AQ227" s="53">
        <f ca="1">IF(Table2[[#This Row],[تاريخ انتهاء رخصة السير ميلادي]]="","",IFERROR(_xlfn.DAYS(Table2[[#This Row],[تاريخ انتهاء رخصة السير ميلادي]],TODAY()),""))</f>
        <v>316</v>
      </c>
      <c r="AR227" s="55">
        <f>Table2[[#This Row],[تاريخ انتهاء الفحص ميلادي]]</f>
        <v>46022</v>
      </c>
      <c r="AS227" s="56">
        <v>46022</v>
      </c>
      <c r="AT227" s="106">
        <f ca="1">IF(Table2[[#This Row],[تاريخ انتهاء الفحص ميلادي]]="","",IFERROR(_xlfn.DAYS(Table2[[#This Row],[تاريخ انتهاء الفحص ميلادي]],TODAY()),""))</f>
        <v>-238</v>
      </c>
      <c r="AU227" s="54"/>
      <c r="AV227" s="1"/>
      <c r="BE227" s="3"/>
      <c r="BH227" s="1"/>
    </row>
    <row r="228" spans="1:60" x14ac:dyDescent="0.3">
      <c r="A228" s="39" t="s">
        <v>450</v>
      </c>
      <c r="B228" s="39" t="s">
        <v>450</v>
      </c>
      <c r="C228" s="39" t="s">
        <v>1187</v>
      </c>
      <c r="D228" s="39" t="s">
        <v>17</v>
      </c>
      <c r="E228" s="39" t="s">
        <v>819</v>
      </c>
      <c r="F228" s="40">
        <v>7025667531</v>
      </c>
      <c r="G228" s="41" t="s">
        <v>498</v>
      </c>
      <c r="H228" s="39" t="s">
        <v>499</v>
      </c>
      <c r="I228" s="58">
        <v>598470120</v>
      </c>
      <c r="J228" s="39" t="s">
        <v>424</v>
      </c>
      <c r="K228" s="39" t="s">
        <v>476</v>
      </c>
      <c r="L228" s="39" t="s">
        <v>481</v>
      </c>
      <c r="M228" s="39">
        <v>2024</v>
      </c>
      <c r="N228" s="39" t="s">
        <v>427</v>
      </c>
      <c r="O228" s="39" t="s">
        <v>1944</v>
      </c>
      <c r="P228" s="58">
        <v>2425065808</v>
      </c>
      <c r="Q228" s="39" t="s">
        <v>1746</v>
      </c>
      <c r="R228" s="124">
        <v>46166</v>
      </c>
      <c r="S228" s="124">
        <v>46296</v>
      </c>
      <c r="T228" s="58">
        <f ca="1">IF(Table2[[#This Row],[تاريخ نهاية التفويض]]="","",IFERROR(_xlfn.DAYS(Table2[[#This Row],[تاريخ نهاية التفويض]],TODAY()),""))</f>
        <v>36</v>
      </c>
      <c r="U228" s="42" t="s">
        <v>480</v>
      </c>
      <c r="V228" s="43">
        <v>46596</v>
      </c>
      <c r="W228" s="44">
        <f ca="1">IF(Table2[[#This Row],[تاريخ انتهاء التأمين]]="","",IFERROR(_xlfn.DAYS(Table2[[#This Row],[تاريخ انتهاء التأمين]],TODAY()),""))</f>
        <v>336</v>
      </c>
      <c r="X228" s="42" t="s">
        <v>16</v>
      </c>
      <c r="Y228" s="42" t="s">
        <v>431</v>
      </c>
      <c r="Z228" s="45">
        <v>4500</v>
      </c>
      <c r="AA228" s="46">
        <v>684720</v>
      </c>
      <c r="AB228" s="46" t="s">
        <v>1217</v>
      </c>
      <c r="AC228" s="46" t="s">
        <v>861</v>
      </c>
      <c r="AD228" s="46" t="s">
        <v>939</v>
      </c>
      <c r="AE228" s="47">
        <v>13000</v>
      </c>
      <c r="AF228" s="48" t="s">
        <v>1145</v>
      </c>
      <c r="AG228" s="48" t="s">
        <v>861</v>
      </c>
      <c r="AH228" s="48" t="s">
        <v>1144</v>
      </c>
      <c r="AI228" s="90">
        <v>863514053156747</v>
      </c>
      <c r="AJ228" s="89">
        <v>46576</v>
      </c>
      <c r="AK228" s="48">
        <f ca="1">IF(Table2[[#This Row],[تاريخ انتهاء ال GPS]]="","",IFERROR(_xlfn.DAYS(Table2[[#This Row],[تاريخ انتهاء ال GPS]],TODAY()),""))</f>
        <v>316</v>
      </c>
      <c r="AL228" s="49" t="s">
        <v>964</v>
      </c>
      <c r="AM228" s="50">
        <v>46616</v>
      </c>
      <c r="AN228" s="51">
        <f ca="1">IF(Table2[[#This Row],[تاريخ انتهاء بطاقة التشغيل]]="","",IFERROR(_xlfn.DAYS(Table2[[#This Row],[تاريخ انتهاء بطاقة التشغيل]],TODAY()),""))</f>
        <v>356</v>
      </c>
      <c r="AO228" s="80">
        <v>46576</v>
      </c>
      <c r="AP228" s="52">
        <f>Table2[[#This Row],[تاريخ انتهاء رخصة السير هجري]]</f>
        <v>46576</v>
      </c>
      <c r="AQ228" s="53">
        <f ca="1">IF(Table2[[#This Row],[تاريخ انتهاء رخصة السير ميلادي]]="","",IFERROR(_xlfn.DAYS(Table2[[#This Row],[تاريخ انتهاء رخصة السير ميلادي]],TODAY()),""))</f>
        <v>316</v>
      </c>
      <c r="AR228" s="55">
        <f>Table2[[#This Row],[تاريخ انتهاء الفحص ميلادي]]</f>
        <v>46022</v>
      </c>
      <c r="AS228" s="56">
        <v>46022</v>
      </c>
      <c r="AT228" s="106">
        <f ca="1">IF(Table2[[#This Row],[تاريخ انتهاء الفحص ميلادي]]="","",IFERROR(_xlfn.DAYS(Table2[[#This Row],[تاريخ انتهاء الفحص ميلادي]],TODAY()),""))</f>
        <v>-238</v>
      </c>
      <c r="AU228" s="54"/>
      <c r="AV228" s="1"/>
      <c r="BE228" s="3"/>
      <c r="BH228" s="1"/>
    </row>
    <row r="229" spans="1:60" x14ac:dyDescent="0.3">
      <c r="A229" s="39" t="s">
        <v>450</v>
      </c>
      <c r="B229" s="39" t="s">
        <v>450</v>
      </c>
      <c r="C229" s="39" t="s">
        <v>1187</v>
      </c>
      <c r="D229" s="39" t="s">
        <v>17</v>
      </c>
      <c r="E229" s="39" t="s">
        <v>819</v>
      </c>
      <c r="F229" s="40">
        <v>7025667531</v>
      </c>
      <c r="G229" s="41" t="s">
        <v>500</v>
      </c>
      <c r="H229" s="39" t="s">
        <v>501</v>
      </c>
      <c r="I229" s="58">
        <v>98470120</v>
      </c>
      <c r="J229" s="39" t="s">
        <v>424</v>
      </c>
      <c r="K229" s="39" t="s">
        <v>476</v>
      </c>
      <c r="L229" s="39" t="s">
        <v>481</v>
      </c>
      <c r="M229" s="39">
        <v>2024</v>
      </c>
      <c r="N229" s="39" t="s">
        <v>427</v>
      </c>
      <c r="O229" s="39" t="s">
        <v>1945</v>
      </c>
      <c r="P229" s="58">
        <v>2572965479</v>
      </c>
      <c r="Q229" s="39" t="s">
        <v>1747</v>
      </c>
      <c r="R229" s="124">
        <v>46189</v>
      </c>
      <c r="S229" s="124">
        <v>46387</v>
      </c>
      <c r="T229" s="58">
        <f ca="1">IF(Table2[[#This Row],[تاريخ نهاية التفويض]]="","",IFERROR(_xlfn.DAYS(Table2[[#This Row],[تاريخ نهاية التفويض]],TODAY()),""))</f>
        <v>127</v>
      </c>
      <c r="U229" s="42" t="s">
        <v>480</v>
      </c>
      <c r="V229" s="43">
        <v>46596</v>
      </c>
      <c r="W229" s="44">
        <f ca="1">IF(Table2[[#This Row],[تاريخ انتهاء التأمين]]="","",IFERROR(_xlfn.DAYS(Table2[[#This Row],[تاريخ انتهاء التأمين]],TODAY()),""))</f>
        <v>336</v>
      </c>
      <c r="X229" s="42" t="s">
        <v>16</v>
      </c>
      <c r="Y229" s="42" t="s">
        <v>431</v>
      </c>
      <c r="Z229" s="45">
        <v>4500</v>
      </c>
      <c r="AA229" s="46">
        <v>684728</v>
      </c>
      <c r="AB229" s="46" t="s">
        <v>1218</v>
      </c>
      <c r="AC229" s="46" t="s">
        <v>861</v>
      </c>
      <c r="AD229" s="46" t="s">
        <v>939</v>
      </c>
      <c r="AE229" s="47">
        <v>13000</v>
      </c>
      <c r="AF229" s="48" t="s">
        <v>1145</v>
      </c>
      <c r="AG229" s="48" t="s">
        <v>861</v>
      </c>
      <c r="AH229" s="48" t="s">
        <v>1144</v>
      </c>
      <c r="AI229" s="90">
        <v>863514053224180</v>
      </c>
      <c r="AJ229" s="89">
        <v>46576</v>
      </c>
      <c r="AK229" s="48">
        <f ca="1">IF(Table2[[#This Row],[تاريخ انتهاء ال GPS]]="","",IFERROR(_xlfn.DAYS(Table2[[#This Row],[تاريخ انتهاء ال GPS]],TODAY()),""))</f>
        <v>316</v>
      </c>
      <c r="AL229" s="49" t="s">
        <v>963</v>
      </c>
      <c r="AM229" s="50">
        <v>46616</v>
      </c>
      <c r="AN229" s="51">
        <f ca="1">IF(Table2[[#This Row],[تاريخ انتهاء بطاقة التشغيل]]="","",IFERROR(_xlfn.DAYS(Table2[[#This Row],[تاريخ انتهاء بطاقة التشغيل]],TODAY()),""))</f>
        <v>356</v>
      </c>
      <c r="AO229" s="80">
        <v>46576</v>
      </c>
      <c r="AP229" s="52">
        <f>Table2[[#This Row],[تاريخ انتهاء رخصة السير هجري]]</f>
        <v>46576</v>
      </c>
      <c r="AQ229" s="53">
        <f ca="1">IF(Table2[[#This Row],[تاريخ انتهاء رخصة السير ميلادي]]="","",IFERROR(_xlfn.DAYS(Table2[[#This Row],[تاريخ انتهاء رخصة السير ميلادي]],TODAY()),""))</f>
        <v>316</v>
      </c>
      <c r="AR229" s="55">
        <f>Table2[[#This Row],[تاريخ انتهاء الفحص ميلادي]]</f>
        <v>46022</v>
      </c>
      <c r="AS229" s="56">
        <v>46022</v>
      </c>
      <c r="AT229" s="106">
        <f ca="1">IF(Table2[[#This Row],[تاريخ انتهاء الفحص ميلادي]]="","",IFERROR(_xlfn.DAYS(Table2[[#This Row],[تاريخ انتهاء الفحص ميلادي]],TODAY()),""))</f>
        <v>-238</v>
      </c>
      <c r="AU229" s="54"/>
      <c r="AV229" s="1"/>
      <c r="BE229" s="3"/>
      <c r="BH229" s="1"/>
    </row>
    <row r="230" spans="1:60" x14ac:dyDescent="0.3">
      <c r="A230" s="39" t="s">
        <v>450</v>
      </c>
      <c r="B230" s="39" t="s">
        <v>450</v>
      </c>
      <c r="C230" s="39" t="s">
        <v>1187</v>
      </c>
      <c r="D230" s="39" t="s">
        <v>17</v>
      </c>
      <c r="E230" s="39" t="s">
        <v>819</v>
      </c>
      <c r="F230" s="40">
        <v>7025667531</v>
      </c>
      <c r="G230" s="41" t="s">
        <v>502</v>
      </c>
      <c r="H230" s="39" t="s">
        <v>503</v>
      </c>
      <c r="I230" s="58">
        <v>652861220</v>
      </c>
      <c r="J230" s="39" t="s">
        <v>424</v>
      </c>
      <c r="K230" s="39" t="s">
        <v>476</v>
      </c>
      <c r="L230" s="39" t="s">
        <v>477</v>
      </c>
      <c r="M230" s="39">
        <v>2025</v>
      </c>
      <c r="N230" s="39" t="s">
        <v>427</v>
      </c>
      <c r="O230" s="39" t="s">
        <v>1946</v>
      </c>
      <c r="P230" s="58">
        <v>2571648183</v>
      </c>
      <c r="Q230" s="39" t="s">
        <v>1748</v>
      </c>
      <c r="R230" s="124">
        <v>46016</v>
      </c>
      <c r="S230" s="124">
        <v>46356</v>
      </c>
      <c r="T230" s="58">
        <f ca="1">IF(Table2[[#This Row],[تاريخ نهاية التفويض]]="","",IFERROR(_xlfn.DAYS(Table2[[#This Row],[تاريخ نهاية التفويض]],TODAY()),""))</f>
        <v>96</v>
      </c>
      <c r="U230" s="42" t="s">
        <v>480</v>
      </c>
      <c r="V230" s="43">
        <v>46596</v>
      </c>
      <c r="W230" s="44">
        <f ca="1">IF(Table2[[#This Row],[تاريخ انتهاء التأمين]]="","",IFERROR(_xlfn.DAYS(Table2[[#This Row],[تاريخ انتهاء التأمين]],TODAY()),""))</f>
        <v>336</v>
      </c>
      <c r="X230" s="42" t="s">
        <v>16</v>
      </c>
      <c r="Y230" s="42" t="s">
        <v>431</v>
      </c>
      <c r="Z230" s="45">
        <v>4500</v>
      </c>
      <c r="AA230" s="46">
        <v>860174</v>
      </c>
      <c r="AB230" s="46" t="s">
        <v>1219</v>
      </c>
      <c r="AC230" s="46" t="s">
        <v>861</v>
      </c>
      <c r="AD230" s="46" t="s">
        <v>939</v>
      </c>
      <c r="AE230" s="47">
        <v>13000</v>
      </c>
      <c r="AF230" s="48" t="s">
        <v>1145</v>
      </c>
      <c r="AG230" s="48" t="s">
        <v>861</v>
      </c>
      <c r="AH230" s="48" t="s">
        <v>1144</v>
      </c>
      <c r="AI230" s="90">
        <v>863514053231144</v>
      </c>
      <c r="AJ230" s="89">
        <v>46576</v>
      </c>
      <c r="AK230" s="48">
        <f ca="1">IF(Table2[[#This Row],[تاريخ انتهاء ال GPS]]="","",IFERROR(_xlfn.DAYS(Table2[[#This Row],[تاريخ انتهاء ال GPS]],TODAY()),""))</f>
        <v>316</v>
      </c>
      <c r="AL230" s="49" t="s">
        <v>948</v>
      </c>
      <c r="AM230" s="50">
        <v>46618</v>
      </c>
      <c r="AN230" s="51">
        <f ca="1">IF(Table2[[#This Row],[تاريخ انتهاء بطاقة التشغيل]]="","",IFERROR(_xlfn.DAYS(Table2[[#This Row],[تاريخ انتهاء بطاقة التشغيل]],TODAY()),""))</f>
        <v>358</v>
      </c>
      <c r="AO230" s="80">
        <v>46945</v>
      </c>
      <c r="AP230" s="52">
        <f>Table2[[#This Row],[تاريخ انتهاء رخصة السير هجري]]</f>
        <v>46945</v>
      </c>
      <c r="AQ230" s="53">
        <f ca="1">IF(Table2[[#This Row],[تاريخ انتهاء رخصة السير ميلادي]]="","",IFERROR(_xlfn.DAYS(Table2[[#This Row],[تاريخ انتهاء رخصة السير ميلادي]],TODAY()),""))</f>
        <v>685</v>
      </c>
      <c r="AR230" s="55">
        <f>Table2[[#This Row],[تاريخ انتهاء الفحص ميلادي]]</f>
        <v>46387</v>
      </c>
      <c r="AS230" s="56">
        <v>46387</v>
      </c>
      <c r="AT230" s="106">
        <f ca="1">IF(Table2[[#This Row],[تاريخ انتهاء الفحص ميلادي]]="","",IFERROR(_xlfn.DAYS(Table2[[#This Row],[تاريخ انتهاء الفحص ميلادي]],TODAY()),""))</f>
        <v>127</v>
      </c>
      <c r="AU230" s="54"/>
      <c r="AV230" s="1"/>
      <c r="BE230" s="3"/>
      <c r="BH230" s="1"/>
    </row>
    <row r="231" spans="1:60" x14ac:dyDescent="0.3">
      <c r="A231" s="39" t="s">
        <v>450</v>
      </c>
      <c r="B231" s="39" t="s">
        <v>450</v>
      </c>
      <c r="C231" s="39" t="s">
        <v>1187</v>
      </c>
      <c r="D231" s="39" t="s">
        <v>17</v>
      </c>
      <c r="E231" s="39" t="s">
        <v>819</v>
      </c>
      <c r="F231" s="40">
        <v>7025667531</v>
      </c>
      <c r="G231" s="41" t="s">
        <v>504</v>
      </c>
      <c r="H231" s="39" t="s">
        <v>505</v>
      </c>
      <c r="I231" s="58">
        <v>409742120</v>
      </c>
      <c r="J231" s="39" t="s">
        <v>424</v>
      </c>
      <c r="K231" s="39" t="s">
        <v>476</v>
      </c>
      <c r="L231" s="39" t="s">
        <v>481</v>
      </c>
      <c r="M231" s="39">
        <v>2024</v>
      </c>
      <c r="N231" s="39" t="s">
        <v>427</v>
      </c>
      <c r="O231" s="39" t="s">
        <v>1947</v>
      </c>
      <c r="P231" s="58">
        <v>2558094252</v>
      </c>
      <c r="Q231" s="39" t="s">
        <v>1749</v>
      </c>
      <c r="R231" s="124">
        <v>46226</v>
      </c>
      <c r="S231" s="124">
        <v>46387</v>
      </c>
      <c r="T231" s="58">
        <f ca="1">IF(Table2[[#This Row],[تاريخ نهاية التفويض]]="","",IFERROR(_xlfn.DAYS(Table2[[#This Row],[تاريخ نهاية التفويض]],TODAY()),""))</f>
        <v>127</v>
      </c>
      <c r="U231" s="42" t="s">
        <v>480</v>
      </c>
      <c r="V231" s="43">
        <v>46596</v>
      </c>
      <c r="W231" s="44">
        <f ca="1">IF(Table2[[#This Row],[تاريخ انتهاء التأمين]]="","",IFERROR(_xlfn.DAYS(Table2[[#This Row],[تاريخ انتهاء التأمين]],TODAY()),""))</f>
        <v>336</v>
      </c>
      <c r="X231" s="42" t="s">
        <v>16</v>
      </c>
      <c r="Y231" s="42" t="s">
        <v>431</v>
      </c>
      <c r="Z231" s="45">
        <v>4500</v>
      </c>
      <c r="AA231" s="46">
        <v>724504</v>
      </c>
      <c r="AB231" s="46" t="s">
        <v>1220</v>
      </c>
      <c r="AC231" s="46" t="s">
        <v>861</v>
      </c>
      <c r="AD231" s="46" t="s">
        <v>939</v>
      </c>
      <c r="AE231" s="47">
        <v>13000</v>
      </c>
      <c r="AF231" s="48" t="s">
        <v>1145</v>
      </c>
      <c r="AG231" s="48" t="s">
        <v>861</v>
      </c>
      <c r="AH231" s="48" t="s">
        <v>1144</v>
      </c>
      <c r="AI231" s="90">
        <v>863514053223406</v>
      </c>
      <c r="AJ231" s="89">
        <v>46576</v>
      </c>
      <c r="AK231" s="48">
        <f ca="1">IF(Table2[[#This Row],[تاريخ انتهاء ال GPS]]="","",IFERROR(_xlfn.DAYS(Table2[[#This Row],[تاريخ انتهاء ال GPS]],TODAY()),""))</f>
        <v>316</v>
      </c>
      <c r="AL231" s="49" t="s">
        <v>943</v>
      </c>
      <c r="AM231" s="50">
        <v>46291</v>
      </c>
      <c r="AN231" s="51">
        <f ca="1">IF(Table2[[#This Row],[تاريخ انتهاء بطاقة التشغيل]]="","",IFERROR(_xlfn.DAYS(Table2[[#This Row],[تاريخ انتهاء بطاقة التشغيل]],TODAY()),""))</f>
        <v>31</v>
      </c>
      <c r="AO231" s="80">
        <v>46630</v>
      </c>
      <c r="AP231" s="52">
        <f>Table2[[#This Row],[تاريخ انتهاء رخصة السير هجري]]</f>
        <v>46630</v>
      </c>
      <c r="AQ231" s="53">
        <f ca="1">IF(Table2[[#This Row],[تاريخ انتهاء رخصة السير ميلادي]]="","",IFERROR(_xlfn.DAYS(Table2[[#This Row],[تاريخ انتهاء رخصة السير ميلادي]],TODAY()),""))</f>
        <v>370</v>
      </c>
      <c r="AR231" s="55">
        <f>Table2[[#This Row],[تاريخ انتهاء الفحص ميلادي]]</f>
        <v>46022</v>
      </c>
      <c r="AS231" s="56">
        <v>46022</v>
      </c>
      <c r="AT231" s="106">
        <f ca="1">IF(Table2[[#This Row],[تاريخ انتهاء الفحص ميلادي]]="","",IFERROR(_xlfn.DAYS(Table2[[#This Row],[تاريخ انتهاء الفحص ميلادي]],TODAY()),""))</f>
        <v>-238</v>
      </c>
      <c r="AU231" s="54"/>
      <c r="AV231" s="1"/>
      <c r="BE231" s="3"/>
      <c r="BH231" s="1"/>
    </row>
    <row r="232" spans="1:60" x14ac:dyDescent="0.3">
      <c r="A232" s="39" t="s">
        <v>450</v>
      </c>
      <c r="B232" s="39" t="s">
        <v>450</v>
      </c>
      <c r="C232" s="39" t="s">
        <v>1187</v>
      </c>
      <c r="D232" s="39" t="s">
        <v>510</v>
      </c>
      <c r="E232" s="39" t="s">
        <v>820</v>
      </c>
      <c r="F232" s="40">
        <v>4031310161</v>
      </c>
      <c r="G232" s="41" t="s">
        <v>506</v>
      </c>
      <c r="H232" s="39" t="s">
        <v>507</v>
      </c>
      <c r="I232" s="58">
        <v>419408120</v>
      </c>
      <c r="J232" s="39" t="s">
        <v>424</v>
      </c>
      <c r="K232" s="39" t="s">
        <v>476</v>
      </c>
      <c r="L232" s="39" t="s">
        <v>477</v>
      </c>
      <c r="M232" s="39">
        <v>2025</v>
      </c>
      <c r="N232" s="39" t="s">
        <v>427</v>
      </c>
      <c r="O232" s="39" t="s">
        <v>1998</v>
      </c>
      <c r="P232" s="58">
        <v>2455453619</v>
      </c>
      <c r="Q232" s="58">
        <v>101448002408963</v>
      </c>
      <c r="R232" s="124">
        <v>46259</v>
      </c>
      <c r="S232" s="124">
        <v>46387</v>
      </c>
      <c r="T232" s="58">
        <f ca="1">IF(Table2[[#This Row],[تاريخ نهاية التفويض]]="","",IFERROR(_xlfn.DAYS(Table2[[#This Row],[تاريخ نهاية التفويض]],TODAY()),""))</f>
        <v>127</v>
      </c>
      <c r="U232" s="42" t="s">
        <v>508</v>
      </c>
      <c r="V232" s="43">
        <v>46463</v>
      </c>
      <c r="W232" s="44">
        <f ca="1">IF(Table2[[#This Row],[تاريخ انتهاء التأمين]]="","",IFERROR(_xlfn.DAYS(Table2[[#This Row],[تاريخ انتهاء التأمين]],TODAY()),""))</f>
        <v>203</v>
      </c>
      <c r="X232" s="42" t="s">
        <v>509</v>
      </c>
      <c r="Y232" s="42" t="s">
        <v>431</v>
      </c>
      <c r="Z232" s="45">
        <v>3230</v>
      </c>
      <c r="AA232" s="46">
        <v>806651</v>
      </c>
      <c r="AB232" s="46" t="s">
        <v>1221</v>
      </c>
      <c r="AC232" s="46" t="s">
        <v>861</v>
      </c>
      <c r="AD232" s="46" t="s">
        <v>939</v>
      </c>
      <c r="AE232" s="47">
        <v>13000</v>
      </c>
      <c r="AF232" s="48" t="s">
        <v>1145</v>
      </c>
      <c r="AG232" s="48" t="s">
        <v>861</v>
      </c>
      <c r="AH232" s="48" t="s">
        <v>1144</v>
      </c>
      <c r="AI232" s="90">
        <v>863514053820573</v>
      </c>
      <c r="AJ232" s="89">
        <v>46576</v>
      </c>
      <c r="AK232" s="48">
        <f ca="1">IF(Table2[[#This Row],[تاريخ انتهاء ال GPS]]="","",IFERROR(_xlfn.DAYS(Table2[[#This Row],[تاريخ انتهاء ال GPS]],TODAY()),""))</f>
        <v>316</v>
      </c>
      <c r="AL232" s="49" t="s">
        <v>983</v>
      </c>
      <c r="AM232" s="50">
        <v>46521</v>
      </c>
      <c r="AN232" s="51">
        <f ca="1">IF(Table2[[#This Row],[تاريخ انتهاء بطاقة التشغيل]]="","",IFERROR(_xlfn.DAYS(Table2[[#This Row],[تاريخ انتهاء بطاقة التشغيل]],TODAY()),""))</f>
        <v>261</v>
      </c>
      <c r="AO232" s="80">
        <v>46817</v>
      </c>
      <c r="AP232" s="52">
        <f>Table2[[#This Row],[تاريخ انتهاء رخصة السير هجري]]</f>
        <v>46817</v>
      </c>
      <c r="AQ232" s="53">
        <f ca="1">IF(Table2[[#This Row],[تاريخ انتهاء رخصة السير ميلادي]]="","",IFERROR(_xlfn.DAYS(Table2[[#This Row],[تاريخ انتهاء رخصة السير ميلادي]],TODAY()),""))</f>
        <v>557</v>
      </c>
      <c r="AR232" s="55">
        <f>Table2[[#This Row],[تاريخ انتهاء الفحص ميلادي]]</f>
        <v>46387</v>
      </c>
      <c r="AS232" s="56">
        <v>46387</v>
      </c>
      <c r="AT232" s="106">
        <f ca="1">IF(Table2[[#This Row],[تاريخ انتهاء الفحص ميلادي]]="","",IFERROR(_xlfn.DAYS(Table2[[#This Row],[تاريخ انتهاء الفحص ميلادي]],TODAY()),""))</f>
        <v>127</v>
      </c>
      <c r="AU232" s="54"/>
      <c r="AV232" s="1"/>
      <c r="BE232" s="3"/>
      <c r="BH232" s="1"/>
    </row>
    <row r="233" spans="1:60" x14ac:dyDescent="0.3">
      <c r="A233" s="39" t="s">
        <v>450</v>
      </c>
      <c r="B233" s="39" t="s">
        <v>450</v>
      </c>
      <c r="C233" s="39" t="s">
        <v>1187</v>
      </c>
      <c r="D233" s="39" t="s">
        <v>510</v>
      </c>
      <c r="E233" s="39" t="s">
        <v>820</v>
      </c>
      <c r="F233" s="40">
        <v>4031310161</v>
      </c>
      <c r="G233" s="41" t="s">
        <v>511</v>
      </c>
      <c r="H233" s="39" t="s">
        <v>512</v>
      </c>
      <c r="I233" s="58">
        <v>669408120</v>
      </c>
      <c r="J233" s="39" t="s">
        <v>424</v>
      </c>
      <c r="K233" s="39" t="s">
        <v>476</v>
      </c>
      <c r="L233" s="39" t="s">
        <v>477</v>
      </c>
      <c r="M233" s="39">
        <v>2025</v>
      </c>
      <c r="N233" s="39" t="s">
        <v>427</v>
      </c>
      <c r="O233" s="39" t="s">
        <v>1990</v>
      </c>
      <c r="P233" s="58">
        <v>2554127460</v>
      </c>
      <c r="Q233" s="39" t="s">
        <v>1750</v>
      </c>
      <c r="R233" s="124">
        <v>46253</v>
      </c>
      <c r="S233" s="124">
        <v>46387</v>
      </c>
      <c r="T233" s="58">
        <f ca="1">IF(Table2[[#This Row],[تاريخ نهاية التفويض]]="","",IFERROR(_xlfn.DAYS(Table2[[#This Row],[تاريخ نهاية التفويض]],TODAY()),""))</f>
        <v>127</v>
      </c>
      <c r="U233" s="42" t="s">
        <v>513</v>
      </c>
      <c r="V233" s="43">
        <v>46463</v>
      </c>
      <c r="W233" s="44">
        <f ca="1">IF(Table2[[#This Row],[تاريخ انتهاء التأمين]]="","",IFERROR(_xlfn.DAYS(Table2[[#This Row],[تاريخ انتهاء التأمين]],TODAY()),""))</f>
        <v>203</v>
      </c>
      <c r="X233" s="42" t="s">
        <v>509</v>
      </c>
      <c r="Y233" s="42" t="s">
        <v>431</v>
      </c>
      <c r="Z233" s="45">
        <v>3230</v>
      </c>
      <c r="AA233" s="46">
        <v>806648</v>
      </c>
      <c r="AB233" s="46" t="s">
        <v>1222</v>
      </c>
      <c r="AC233" s="46" t="s">
        <v>861</v>
      </c>
      <c r="AD233" s="46" t="s">
        <v>939</v>
      </c>
      <c r="AE233" s="47">
        <v>13000</v>
      </c>
      <c r="AF233" s="48" t="s">
        <v>1145</v>
      </c>
      <c r="AG233" s="48" t="s">
        <v>861</v>
      </c>
      <c r="AH233" s="48" t="s">
        <v>1144</v>
      </c>
      <c r="AI233" s="90">
        <v>863514053160970</v>
      </c>
      <c r="AJ233" s="89">
        <v>46576</v>
      </c>
      <c r="AK233" s="48">
        <f ca="1">IF(Table2[[#This Row],[تاريخ انتهاء ال GPS]]="","",IFERROR(_xlfn.DAYS(Table2[[#This Row],[تاريخ انتهاء ال GPS]],TODAY()),""))</f>
        <v>316</v>
      </c>
      <c r="AL233" s="49" t="s">
        <v>965</v>
      </c>
      <c r="AM233" s="50">
        <v>46521</v>
      </c>
      <c r="AN233" s="51">
        <f ca="1">IF(Table2[[#This Row],[تاريخ انتهاء بطاقة التشغيل]]="","",IFERROR(_xlfn.DAYS(Table2[[#This Row],[تاريخ انتهاء بطاقة التشغيل]],TODAY()),""))</f>
        <v>261</v>
      </c>
      <c r="AO233" s="80">
        <v>46817</v>
      </c>
      <c r="AP233" s="52">
        <f>Table2[[#This Row],[تاريخ انتهاء رخصة السير هجري]]</f>
        <v>46817</v>
      </c>
      <c r="AQ233" s="53">
        <f ca="1">IF(Table2[[#This Row],[تاريخ انتهاء رخصة السير ميلادي]]="","",IFERROR(_xlfn.DAYS(Table2[[#This Row],[تاريخ انتهاء رخصة السير ميلادي]],TODAY()),""))</f>
        <v>557</v>
      </c>
      <c r="AR233" s="55">
        <f>Table2[[#This Row],[تاريخ انتهاء الفحص ميلادي]]</f>
        <v>46387</v>
      </c>
      <c r="AS233" s="56">
        <v>46387</v>
      </c>
      <c r="AT233" s="106">
        <f ca="1">IF(Table2[[#This Row],[تاريخ انتهاء الفحص ميلادي]]="","",IFERROR(_xlfn.DAYS(Table2[[#This Row],[تاريخ انتهاء الفحص ميلادي]],TODAY()),""))</f>
        <v>127</v>
      </c>
      <c r="AU233" s="54"/>
      <c r="AV233" s="1"/>
      <c r="BE233" s="3"/>
      <c r="BH233" s="1"/>
    </row>
    <row r="234" spans="1:60" x14ac:dyDescent="0.3">
      <c r="A234" s="39" t="s">
        <v>450</v>
      </c>
      <c r="B234" s="39" t="s">
        <v>450</v>
      </c>
      <c r="C234" s="39" t="s">
        <v>1187</v>
      </c>
      <c r="D234" s="39" t="s">
        <v>510</v>
      </c>
      <c r="E234" s="39" t="s">
        <v>820</v>
      </c>
      <c r="F234" s="40">
        <v>4031310161</v>
      </c>
      <c r="G234" s="41" t="s">
        <v>514</v>
      </c>
      <c r="H234" s="39" t="s">
        <v>515</v>
      </c>
      <c r="I234" s="58">
        <v>579408120</v>
      </c>
      <c r="J234" s="39" t="s">
        <v>424</v>
      </c>
      <c r="K234" s="39" t="s">
        <v>476</v>
      </c>
      <c r="L234" s="39" t="s">
        <v>477</v>
      </c>
      <c r="M234" s="39">
        <v>2025</v>
      </c>
      <c r="N234" s="39" t="s">
        <v>427</v>
      </c>
      <c r="O234" s="39" t="s">
        <v>1948</v>
      </c>
      <c r="P234" s="58">
        <v>2578741379</v>
      </c>
      <c r="Q234" s="39" t="s">
        <v>1751</v>
      </c>
      <c r="R234" s="124">
        <v>46006</v>
      </c>
      <c r="S234" s="124">
        <v>46327</v>
      </c>
      <c r="T234" s="58">
        <f ca="1">IF(Table2[[#This Row],[تاريخ نهاية التفويض]]="","",IFERROR(_xlfn.DAYS(Table2[[#This Row],[تاريخ نهاية التفويض]],TODAY()),""))</f>
        <v>67</v>
      </c>
      <c r="U234" s="42" t="s">
        <v>516</v>
      </c>
      <c r="V234" s="43">
        <v>46463</v>
      </c>
      <c r="W234" s="44">
        <f ca="1">IF(Table2[[#This Row],[تاريخ انتهاء التأمين]]="","",IFERROR(_xlfn.DAYS(Table2[[#This Row],[تاريخ انتهاء التأمين]],TODAY()),""))</f>
        <v>203</v>
      </c>
      <c r="X234" s="42" t="s">
        <v>509</v>
      </c>
      <c r="Y234" s="42" t="s">
        <v>431</v>
      </c>
      <c r="Z234" s="45">
        <v>3230</v>
      </c>
      <c r="AA234" s="46">
        <v>806647</v>
      </c>
      <c r="AB234" s="46" t="s">
        <v>1223</v>
      </c>
      <c r="AC234" s="46" t="s">
        <v>861</v>
      </c>
      <c r="AD234" s="46" t="s">
        <v>939</v>
      </c>
      <c r="AE234" s="47">
        <v>13000</v>
      </c>
      <c r="AF234" s="48" t="s">
        <v>1145</v>
      </c>
      <c r="AG234" s="48" t="s">
        <v>861</v>
      </c>
      <c r="AH234" s="48" t="s">
        <v>1144</v>
      </c>
      <c r="AI234" s="90">
        <v>863514053235475</v>
      </c>
      <c r="AJ234" s="89">
        <v>46576</v>
      </c>
      <c r="AK234" s="48">
        <f ca="1">IF(Table2[[#This Row],[تاريخ انتهاء ال GPS]]="","",IFERROR(_xlfn.DAYS(Table2[[#This Row],[تاريخ انتهاء ال GPS]],TODAY()),""))</f>
        <v>316</v>
      </c>
      <c r="AL234" s="49" t="s">
        <v>986</v>
      </c>
      <c r="AM234" s="50">
        <v>46584</v>
      </c>
      <c r="AN234" s="51">
        <f ca="1">IF(Table2[[#This Row],[تاريخ انتهاء بطاقة التشغيل]]="","",IFERROR(_xlfn.DAYS(Table2[[#This Row],[تاريخ انتهاء بطاقة التشغيل]],TODAY()),""))</f>
        <v>324</v>
      </c>
      <c r="AO234" s="80">
        <v>46817</v>
      </c>
      <c r="AP234" s="52">
        <f>Table2[[#This Row],[تاريخ انتهاء رخصة السير هجري]]</f>
        <v>46817</v>
      </c>
      <c r="AQ234" s="53">
        <f ca="1">IF(Table2[[#This Row],[تاريخ انتهاء رخصة السير ميلادي]]="","",IFERROR(_xlfn.DAYS(Table2[[#This Row],[تاريخ انتهاء رخصة السير ميلادي]],TODAY()),""))</f>
        <v>557</v>
      </c>
      <c r="AR234" s="55">
        <f>Table2[[#This Row],[تاريخ انتهاء الفحص ميلادي]]</f>
        <v>46387</v>
      </c>
      <c r="AS234" s="56">
        <v>46387</v>
      </c>
      <c r="AT234" s="106">
        <f ca="1">IF(Table2[[#This Row],[تاريخ انتهاء الفحص ميلادي]]="","",IFERROR(_xlfn.DAYS(Table2[[#This Row],[تاريخ انتهاء الفحص ميلادي]],TODAY()),""))</f>
        <v>127</v>
      </c>
      <c r="AU234" s="54"/>
      <c r="AV234" s="1"/>
      <c r="BE234" s="3"/>
      <c r="BH234" s="1"/>
    </row>
    <row r="235" spans="1:60" x14ac:dyDescent="0.3">
      <c r="A235" s="39" t="s">
        <v>450</v>
      </c>
      <c r="B235" s="39" t="s">
        <v>450</v>
      </c>
      <c r="C235" s="39" t="s">
        <v>1187</v>
      </c>
      <c r="D235" s="39" t="s">
        <v>510</v>
      </c>
      <c r="E235" s="39" t="s">
        <v>820</v>
      </c>
      <c r="F235" s="40">
        <v>4031310161</v>
      </c>
      <c r="G235" s="41" t="s">
        <v>517</v>
      </c>
      <c r="H235" s="39" t="s">
        <v>518</v>
      </c>
      <c r="I235" s="58">
        <v>829408120</v>
      </c>
      <c r="J235" s="39" t="s">
        <v>424</v>
      </c>
      <c r="K235" s="39" t="s">
        <v>476</v>
      </c>
      <c r="L235" s="39" t="s">
        <v>477</v>
      </c>
      <c r="M235" s="39">
        <v>2025</v>
      </c>
      <c r="N235" s="39" t="s">
        <v>427</v>
      </c>
      <c r="O235" s="39" t="s">
        <v>1949</v>
      </c>
      <c r="P235" s="58">
        <v>2608472185</v>
      </c>
      <c r="Q235" s="39" t="s">
        <v>1752</v>
      </c>
      <c r="R235" s="124">
        <v>46258</v>
      </c>
      <c r="S235" s="124">
        <v>46387</v>
      </c>
      <c r="T235" s="58">
        <f ca="1">IF(Table2[[#This Row],[تاريخ نهاية التفويض]]="","",IFERROR(_xlfn.DAYS(Table2[[#This Row],[تاريخ نهاية التفويض]],TODAY()),""))</f>
        <v>127</v>
      </c>
      <c r="U235" s="42" t="s">
        <v>519</v>
      </c>
      <c r="V235" s="43">
        <v>46463</v>
      </c>
      <c r="W235" s="44">
        <f ca="1">IF(Table2[[#This Row],[تاريخ انتهاء التأمين]]="","",IFERROR(_xlfn.DAYS(Table2[[#This Row],[تاريخ انتهاء التأمين]],TODAY()),""))</f>
        <v>203</v>
      </c>
      <c r="X235" s="42" t="s">
        <v>509</v>
      </c>
      <c r="Y235" s="42" t="s">
        <v>431</v>
      </c>
      <c r="Z235" s="45">
        <v>3230</v>
      </c>
      <c r="AA235" s="46">
        <v>806636</v>
      </c>
      <c r="AB235" s="46" t="s">
        <v>1224</v>
      </c>
      <c r="AC235" s="46" t="s">
        <v>861</v>
      </c>
      <c r="AD235" s="46" t="s">
        <v>939</v>
      </c>
      <c r="AE235" s="47">
        <v>13000</v>
      </c>
      <c r="AF235" s="48" t="s">
        <v>1145</v>
      </c>
      <c r="AG235" s="48" t="s">
        <v>861</v>
      </c>
      <c r="AH235" s="48" t="s">
        <v>1144</v>
      </c>
      <c r="AI235" s="90">
        <v>863514053230377</v>
      </c>
      <c r="AJ235" s="89">
        <v>46576</v>
      </c>
      <c r="AK235" s="48">
        <f ca="1">IF(Table2[[#This Row],[تاريخ انتهاء ال GPS]]="","",IFERROR(_xlfn.DAYS(Table2[[#This Row],[تاريخ انتهاء ال GPS]],TODAY()),""))</f>
        <v>316</v>
      </c>
      <c r="AL235" s="49" t="s">
        <v>981</v>
      </c>
      <c r="AM235" s="50">
        <v>46521</v>
      </c>
      <c r="AN235" s="51">
        <f ca="1">IF(Table2[[#This Row],[تاريخ انتهاء بطاقة التشغيل]]="","",IFERROR(_xlfn.DAYS(Table2[[#This Row],[تاريخ انتهاء بطاقة التشغيل]],TODAY()),""))</f>
        <v>261</v>
      </c>
      <c r="AO235" s="80">
        <v>46817</v>
      </c>
      <c r="AP235" s="52">
        <f>Table2[[#This Row],[تاريخ انتهاء رخصة السير هجري]]</f>
        <v>46817</v>
      </c>
      <c r="AQ235" s="53">
        <f ca="1">IF(Table2[[#This Row],[تاريخ انتهاء رخصة السير ميلادي]]="","",IFERROR(_xlfn.DAYS(Table2[[#This Row],[تاريخ انتهاء رخصة السير ميلادي]],TODAY()),""))</f>
        <v>557</v>
      </c>
      <c r="AR235" s="55">
        <f>Table2[[#This Row],[تاريخ انتهاء الفحص ميلادي]]</f>
        <v>46387</v>
      </c>
      <c r="AS235" s="56">
        <v>46387</v>
      </c>
      <c r="AT235" s="106">
        <f ca="1">IF(Table2[[#This Row],[تاريخ انتهاء الفحص ميلادي]]="","",IFERROR(_xlfn.DAYS(Table2[[#This Row],[تاريخ انتهاء الفحص ميلادي]],TODAY()),""))</f>
        <v>127</v>
      </c>
      <c r="AU235" s="54"/>
      <c r="AV235" s="1"/>
      <c r="BE235" s="3"/>
      <c r="BH235" s="1"/>
    </row>
    <row r="236" spans="1:60" x14ac:dyDescent="0.3">
      <c r="A236" s="39" t="s">
        <v>450</v>
      </c>
      <c r="B236" s="39" t="s">
        <v>450</v>
      </c>
      <c r="C236" s="39" t="s">
        <v>1187</v>
      </c>
      <c r="D236" s="39" t="s">
        <v>510</v>
      </c>
      <c r="E236" s="39" t="s">
        <v>820</v>
      </c>
      <c r="F236" s="40">
        <v>4031310161</v>
      </c>
      <c r="G236" s="41" t="s">
        <v>520</v>
      </c>
      <c r="H236" s="39" t="s">
        <v>521</v>
      </c>
      <c r="I236" s="58">
        <v>29408120</v>
      </c>
      <c r="J236" s="39" t="s">
        <v>424</v>
      </c>
      <c r="K236" s="39" t="s">
        <v>476</v>
      </c>
      <c r="L236" s="39" t="s">
        <v>477</v>
      </c>
      <c r="M236" s="39">
        <v>2025</v>
      </c>
      <c r="N236" s="39" t="s">
        <v>427</v>
      </c>
      <c r="O236" s="39" t="s">
        <v>1950</v>
      </c>
      <c r="P236" s="58">
        <v>2583673120</v>
      </c>
      <c r="Q236" s="39" t="s">
        <v>1753</v>
      </c>
      <c r="R236" s="124">
        <v>46063</v>
      </c>
      <c r="S236" s="124">
        <v>46387</v>
      </c>
      <c r="T236" s="58">
        <f ca="1">IF(Table2[[#This Row],[تاريخ نهاية التفويض]]="","",IFERROR(_xlfn.DAYS(Table2[[#This Row],[تاريخ نهاية التفويض]],TODAY()),""))</f>
        <v>127</v>
      </c>
      <c r="U236" s="42" t="s">
        <v>522</v>
      </c>
      <c r="V236" s="43">
        <v>46463</v>
      </c>
      <c r="W236" s="44">
        <f ca="1">IF(Table2[[#This Row],[تاريخ انتهاء التأمين]]="","",IFERROR(_xlfn.DAYS(Table2[[#This Row],[تاريخ انتهاء التأمين]],TODAY()),""))</f>
        <v>203</v>
      </c>
      <c r="X236" s="42" t="s">
        <v>509</v>
      </c>
      <c r="Y236" s="42" t="s">
        <v>431</v>
      </c>
      <c r="Z236" s="45">
        <v>3230</v>
      </c>
      <c r="AA236" s="46">
        <v>806644</v>
      </c>
      <c r="AB236" s="46" t="s">
        <v>1225</v>
      </c>
      <c r="AC236" s="46" t="s">
        <v>861</v>
      </c>
      <c r="AD236" s="46" t="s">
        <v>939</v>
      </c>
      <c r="AE236" s="47">
        <v>13000</v>
      </c>
      <c r="AF236" s="48" t="s">
        <v>1145</v>
      </c>
      <c r="AG236" s="48" t="s">
        <v>861</v>
      </c>
      <c r="AH236" s="48" t="s">
        <v>1144</v>
      </c>
      <c r="AI236" s="90">
        <v>863514053187619</v>
      </c>
      <c r="AJ236" s="89">
        <v>46576</v>
      </c>
      <c r="AK236" s="48">
        <f ca="1">IF(Table2[[#This Row],[تاريخ انتهاء ال GPS]]="","",IFERROR(_xlfn.DAYS(Table2[[#This Row],[تاريخ انتهاء ال GPS]],TODAY()),""))</f>
        <v>316</v>
      </c>
      <c r="AL236" s="49" t="s">
        <v>982</v>
      </c>
      <c r="AM236" s="50">
        <v>46521</v>
      </c>
      <c r="AN236" s="51">
        <f ca="1">IF(Table2[[#This Row],[تاريخ انتهاء بطاقة التشغيل]]="","",IFERROR(_xlfn.DAYS(Table2[[#This Row],[تاريخ انتهاء بطاقة التشغيل]],TODAY()),""))</f>
        <v>261</v>
      </c>
      <c r="AO236" s="80">
        <v>46817</v>
      </c>
      <c r="AP236" s="52">
        <f>Table2[[#This Row],[تاريخ انتهاء رخصة السير هجري]]</f>
        <v>46817</v>
      </c>
      <c r="AQ236" s="53">
        <f ca="1">IF(Table2[[#This Row],[تاريخ انتهاء رخصة السير ميلادي]]="","",IFERROR(_xlfn.DAYS(Table2[[#This Row],[تاريخ انتهاء رخصة السير ميلادي]],TODAY()),""))</f>
        <v>557</v>
      </c>
      <c r="AR236" s="55">
        <f>Table2[[#This Row],[تاريخ انتهاء الفحص ميلادي]]</f>
        <v>46387</v>
      </c>
      <c r="AS236" s="56">
        <v>46387</v>
      </c>
      <c r="AT236" s="106">
        <f ca="1">IF(Table2[[#This Row],[تاريخ انتهاء الفحص ميلادي]]="","",IFERROR(_xlfn.DAYS(Table2[[#This Row],[تاريخ انتهاء الفحص ميلادي]],TODAY()),""))</f>
        <v>127</v>
      </c>
      <c r="AU236" s="54"/>
      <c r="AV236" s="1"/>
      <c r="BE236" s="3"/>
      <c r="BH236" s="1"/>
    </row>
    <row r="237" spans="1:60" x14ac:dyDescent="0.3">
      <c r="A237" s="39" t="s">
        <v>450</v>
      </c>
      <c r="B237" s="39" t="s">
        <v>450</v>
      </c>
      <c r="C237" s="39" t="s">
        <v>1187</v>
      </c>
      <c r="D237" s="39" t="s">
        <v>510</v>
      </c>
      <c r="E237" s="39" t="s">
        <v>820</v>
      </c>
      <c r="F237" s="40">
        <v>4031310161</v>
      </c>
      <c r="G237" s="41" t="s">
        <v>525</v>
      </c>
      <c r="H237" s="39" t="s">
        <v>526</v>
      </c>
      <c r="I237" s="58">
        <v>125850220</v>
      </c>
      <c r="J237" s="39" t="s">
        <v>424</v>
      </c>
      <c r="K237" s="39" t="s">
        <v>523</v>
      </c>
      <c r="L237" s="39" t="s">
        <v>524</v>
      </c>
      <c r="M237" s="39">
        <v>2021</v>
      </c>
      <c r="N237" s="39" t="s">
        <v>427</v>
      </c>
      <c r="O237" s="39" t="s">
        <v>1951</v>
      </c>
      <c r="P237" s="58">
        <v>2602245975</v>
      </c>
      <c r="Q237" s="39" t="s">
        <v>1754</v>
      </c>
      <c r="R237" s="124">
        <v>46204</v>
      </c>
      <c r="S237" s="124">
        <v>46387</v>
      </c>
      <c r="T237" s="58">
        <f ca="1">IF(Table2[[#This Row],[تاريخ نهاية التفويض]]="","",IFERROR(_xlfn.DAYS(Table2[[#This Row],[تاريخ نهاية التفويض]],TODAY()),""))</f>
        <v>127</v>
      </c>
      <c r="U237" s="42" t="s">
        <v>527</v>
      </c>
      <c r="V237" s="43">
        <v>46463</v>
      </c>
      <c r="W237" s="44">
        <f ca="1">IF(Table2[[#This Row],[تاريخ انتهاء التأمين]]="","",IFERROR(_xlfn.DAYS(Table2[[#This Row],[تاريخ انتهاء التأمين]],TODAY()),""))</f>
        <v>203</v>
      </c>
      <c r="X237" s="42" t="s">
        <v>509</v>
      </c>
      <c r="Y237" s="42" t="s">
        <v>431</v>
      </c>
      <c r="Z237" s="45">
        <v>3660</v>
      </c>
      <c r="AA237" s="46">
        <v>859971</v>
      </c>
      <c r="AB237" s="46" t="s">
        <v>1226</v>
      </c>
      <c r="AC237" s="46" t="s">
        <v>861</v>
      </c>
      <c r="AD237" s="46" t="s">
        <v>939</v>
      </c>
      <c r="AE237" s="47">
        <v>13000</v>
      </c>
      <c r="AF237" s="48" t="s">
        <v>1145</v>
      </c>
      <c r="AG237" s="48" t="s">
        <v>861</v>
      </c>
      <c r="AH237" s="48" t="s">
        <v>1144</v>
      </c>
      <c r="AI237" s="90">
        <v>863514053984759</v>
      </c>
      <c r="AJ237" s="89">
        <v>46576</v>
      </c>
      <c r="AK237" s="48">
        <f ca="1">IF(Table2[[#This Row],[تاريخ انتهاء ال GPS]]="","",IFERROR(_xlfn.DAYS(Table2[[#This Row],[تاريخ انتهاء ال GPS]],TODAY()),""))</f>
        <v>316</v>
      </c>
      <c r="AL237" s="49" t="s">
        <v>988</v>
      </c>
      <c r="AM237" s="50">
        <v>46581</v>
      </c>
      <c r="AN237" s="51">
        <f ca="1">IF(Table2[[#This Row],[تاريخ انتهاء بطاقة التشغيل]]="","",IFERROR(_xlfn.DAYS(Table2[[#This Row],[تاريخ انتهاء بطاقة التشغيل]],TODAY()),""))</f>
        <v>321</v>
      </c>
      <c r="AO237" s="80">
        <v>46909</v>
      </c>
      <c r="AP237" s="52">
        <f>Table2[[#This Row],[تاريخ انتهاء رخصة السير هجري]]</f>
        <v>46909</v>
      </c>
      <c r="AQ237" s="53">
        <f ca="1">IF(Table2[[#This Row],[تاريخ انتهاء رخصة السير ميلادي]]="","",IFERROR(_xlfn.DAYS(Table2[[#This Row],[تاريخ انتهاء رخصة السير ميلادي]],TODAY()),""))</f>
        <v>649</v>
      </c>
      <c r="AR237" s="55">
        <v>46204</v>
      </c>
      <c r="AS237" s="56">
        <f>Table2[[#This Row],[تاريخ انتهاء الفحص هجري]]</f>
        <v>46204</v>
      </c>
      <c r="AT237" s="106">
        <f ca="1">IF(Table2[[#This Row],[تاريخ انتهاء الفحص ميلادي]]="","",IFERROR(_xlfn.DAYS(Table2[[#This Row],[تاريخ انتهاء الفحص ميلادي]],TODAY()),""))</f>
        <v>-56</v>
      </c>
      <c r="AU237" s="54"/>
      <c r="AV237" s="1"/>
      <c r="BE237" s="3"/>
      <c r="BH237" s="1"/>
    </row>
    <row r="238" spans="1:60" x14ac:dyDescent="0.3">
      <c r="A238" s="39" t="s">
        <v>450</v>
      </c>
      <c r="B238" s="39" t="s">
        <v>450</v>
      </c>
      <c r="C238" s="39" t="s">
        <v>1187</v>
      </c>
      <c r="D238" s="39" t="s">
        <v>510</v>
      </c>
      <c r="E238" s="39" t="s">
        <v>820</v>
      </c>
      <c r="F238" s="40">
        <v>4031310161</v>
      </c>
      <c r="G238" s="41" t="s">
        <v>529</v>
      </c>
      <c r="H238" s="39" t="s">
        <v>530</v>
      </c>
      <c r="I238" s="58">
        <v>138384220</v>
      </c>
      <c r="J238" s="39" t="s">
        <v>424</v>
      </c>
      <c r="K238" s="39" t="s">
        <v>523</v>
      </c>
      <c r="L238" s="39" t="s">
        <v>528</v>
      </c>
      <c r="M238" s="39">
        <v>2021</v>
      </c>
      <c r="N238" s="39" t="s">
        <v>427</v>
      </c>
      <c r="O238" s="39" t="s">
        <v>1994</v>
      </c>
      <c r="P238" s="58">
        <v>2616439804</v>
      </c>
      <c r="Q238" s="58">
        <v>101448002410041</v>
      </c>
      <c r="R238" s="124">
        <v>46259</v>
      </c>
      <c r="S238" s="124">
        <v>46387</v>
      </c>
      <c r="T238" s="58">
        <f ca="1">IF(Table2[[#This Row],[تاريخ نهاية التفويض]]="","",IFERROR(_xlfn.DAYS(Table2[[#This Row],[تاريخ نهاية التفويض]],TODAY()),""))</f>
        <v>127</v>
      </c>
      <c r="U238" s="42" t="s">
        <v>531</v>
      </c>
      <c r="V238" s="43">
        <v>46463</v>
      </c>
      <c r="W238" s="44">
        <f ca="1">IF(Table2[[#This Row],[تاريخ انتهاء التأمين]]="","",IFERROR(_xlfn.DAYS(Table2[[#This Row],[تاريخ انتهاء التأمين]],TODAY()),""))</f>
        <v>203</v>
      </c>
      <c r="X238" s="42" t="s">
        <v>509</v>
      </c>
      <c r="Y238" s="42" t="s">
        <v>431</v>
      </c>
      <c r="Z238" s="45">
        <v>3660</v>
      </c>
      <c r="AA238" s="46">
        <v>915466</v>
      </c>
      <c r="AB238" s="46" t="s">
        <v>1447</v>
      </c>
      <c r="AC238" s="46" t="s">
        <v>861</v>
      </c>
      <c r="AD238" s="46" t="s">
        <v>939</v>
      </c>
      <c r="AE238" s="47" t="s">
        <v>939</v>
      </c>
      <c r="AF238" s="48" t="s">
        <v>1145</v>
      </c>
      <c r="AG238" s="48" t="s">
        <v>861</v>
      </c>
      <c r="AH238" s="48" t="s">
        <v>1144</v>
      </c>
      <c r="AI238" s="90">
        <v>863514053240475</v>
      </c>
      <c r="AJ238" s="89">
        <v>46576</v>
      </c>
      <c r="AK238" s="48">
        <f ca="1">IF(Table2[[#This Row],[تاريخ انتهاء ال GPS]]="","",IFERROR(_xlfn.DAYS(Table2[[#This Row],[تاريخ انتهاء ال GPS]],TODAY()),""))</f>
        <v>316</v>
      </c>
      <c r="AL238" s="49" t="s">
        <v>972</v>
      </c>
      <c r="AM238" s="50">
        <v>46354</v>
      </c>
      <c r="AN238" s="51">
        <f ca="1">IF(Table2[[#This Row],[تاريخ انتهاء بطاقة التشغيل]]="","",IFERROR(_xlfn.DAYS(Table2[[#This Row],[تاريخ انتهاء بطاقة التشغيل]],TODAY()),""))</f>
        <v>94</v>
      </c>
      <c r="AO238" s="80">
        <v>47046</v>
      </c>
      <c r="AP238" s="52">
        <f>Table2[[#This Row],[تاريخ انتهاء رخصة السير هجري]]</f>
        <v>47046</v>
      </c>
      <c r="AQ238" s="53">
        <f ca="1">IF(Table2[[#This Row],[تاريخ انتهاء رخصة السير ميلادي]]="","",IFERROR(_xlfn.DAYS(Table2[[#This Row],[تاريخ انتهاء رخصة السير ميلادي]],TODAY()),""))</f>
        <v>786</v>
      </c>
      <c r="AR238" s="55">
        <v>46321</v>
      </c>
      <c r="AS238" s="56">
        <f>Table2[[#This Row],[تاريخ انتهاء الفحص هجري]]</f>
        <v>46321</v>
      </c>
      <c r="AT238" s="106">
        <f ca="1">IF(Table2[[#This Row],[تاريخ انتهاء الفحص ميلادي]]="","",IFERROR(_xlfn.DAYS(Table2[[#This Row],[تاريخ انتهاء الفحص ميلادي]],TODAY()),""))</f>
        <v>61</v>
      </c>
      <c r="AU238" s="54"/>
      <c r="AV238" s="1"/>
      <c r="BE238" s="3"/>
      <c r="BH238" s="1"/>
    </row>
    <row r="239" spans="1:60" x14ac:dyDescent="0.3">
      <c r="A239" s="39" t="s">
        <v>450</v>
      </c>
      <c r="B239" s="39" t="s">
        <v>450</v>
      </c>
      <c r="C239" s="39" t="s">
        <v>1187</v>
      </c>
      <c r="D239" s="39" t="s">
        <v>510</v>
      </c>
      <c r="E239" s="39" t="s">
        <v>820</v>
      </c>
      <c r="F239" s="40">
        <v>4031310161</v>
      </c>
      <c r="G239" s="41" t="s">
        <v>532</v>
      </c>
      <c r="H239" s="39" t="s">
        <v>533</v>
      </c>
      <c r="I239" s="58">
        <v>147451220</v>
      </c>
      <c r="J239" s="39" t="s">
        <v>424</v>
      </c>
      <c r="K239" s="39" t="s">
        <v>523</v>
      </c>
      <c r="L239" s="39" t="s">
        <v>524</v>
      </c>
      <c r="M239" s="39">
        <v>2021</v>
      </c>
      <c r="N239" s="39" t="s">
        <v>427</v>
      </c>
      <c r="O239" s="39" t="s">
        <v>1952</v>
      </c>
      <c r="P239" s="58">
        <v>2537315679</v>
      </c>
      <c r="Q239" s="39" t="s">
        <v>1755</v>
      </c>
      <c r="R239" s="124">
        <v>46204</v>
      </c>
      <c r="S239" s="124">
        <v>46387</v>
      </c>
      <c r="T239" s="58">
        <f ca="1">IF(Table2[[#This Row],[تاريخ نهاية التفويض]]="","",IFERROR(_xlfn.DAYS(Table2[[#This Row],[تاريخ نهاية التفويض]],TODAY()),""))</f>
        <v>127</v>
      </c>
      <c r="U239" s="42" t="s">
        <v>534</v>
      </c>
      <c r="V239" s="43">
        <v>46463</v>
      </c>
      <c r="W239" s="44">
        <f ca="1">IF(Table2[[#This Row],[تاريخ انتهاء التأمين]]="","",IFERROR(_xlfn.DAYS(Table2[[#This Row],[تاريخ انتهاء التأمين]],TODAY()),""))</f>
        <v>203</v>
      </c>
      <c r="X239" s="42" t="s">
        <v>509</v>
      </c>
      <c r="Y239" s="42" t="s">
        <v>431</v>
      </c>
      <c r="Z239" s="45">
        <v>3660</v>
      </c>
      <c r="AA239" s="46">
        <v>860167</v>
      </c>
      <c r="AB239" s="46" t="s">
        <v>1261</v>
      </c>
      <c r="AC239" s="46" t="s">
        <v>861</v>
      </c>
      <c r="AD239" s="46" t="s">
        <v>939</v>
      </c>
      <c r="AE239" s="47">
        <v>13000</v>
      </c>
      <c r="AF239" s="48" t="s">
        <v>1145</v>
      </c>
      <c r="AG239" s="48" t="s">
        <v>861</v>
      </c>
      <c r="AH239" s="48" t="s">
        <v>1144</v>
      </c>
      <c r="AI239" s="90">
        <v>863514052735301</v>
      </c>
      <c r="AJ239" s="89">
        <v>46576</v>
      </c>
      <c r="AK239" s="48">
        <f ca="1">IF(Table2[[#This Row],[تاريخ انتهاء ال GPS]]="","",IFERROR(_xlfn.DAYS(Table2[[#This Row],[تاريخ انتهاء ال GPS]],TODAY()),""))</f>
        <v>316</v>
      </c>
      <c r="AL239" s="49" t="s">
        <v>974</v>
      </c>
      <c r="AM239" s="50">
        <v>46615</v>
      </c>
      <c r="AN239" s="51">
        <f ca="1">IF(Table2[[#This Row],[تاريخ انتهاء بطاقة التشغيل]]="","",IFERROR(_xlfn.DAYS(Table2[[#This Row],[تاريخ انتهاء بطاقة التشغيل]],TODAY()),""))</f>
        <v>355</v>
      </c>
      <c r="AO239" s="80">
        <v>46940</v>
      </c>
      <c r="AP239" s="52">
        <f>Table2[[#This Row],[تاريخ انتهاء رخصة السير هجري]]</f>
        <v>46940</v>
      </c>
      <c r="AQ239" s="53">
        <f ca="1">IF(Table2[[#This Row],[تاريخ انتهاء رخصة السير ميلادي]]="","",IFERROR(_xlfn.DAYS(Table2[[#This Row],[تاريخ انتهاء رخصة السير ميلادي]],TODAY()),""))</f>
        <v>680</v>
      </c>
      <c r="AR239" s="55">
        <v>46229</v>
      </c>
      <c r="AS239" s="56">
        <f>Table2[[#This Row],[تاريخ انتهاء الفحص هجري]]</f>
        <v>46229</v>
      </c>
      <c r="AT239" s="106">
        <f ca="1">IF(Table2[[#This Row],[تاريخ انتهاء الفحص ميلادي]]="","",IFERROR(_xlfn.DAYS(Table2[[#This Row],[تاريخ انتهاء الفحص ميلادي]],TODAY()),""))</f>
        <v>-31</v>
      </c>
      <c r="AU239" s="54"/>
      <c r="AV239" s="1"/>
      <c r="BE239" s="3"/>
      <c r="BH239" s="1"/>
    </row>
    <row r="240" spans="1:60" x14ac:dyDescent="0.3">
      <c r="A240" s="39" t="s">
        <v>450</v>
      </c>
      <c r="B240" s="39" t="s">
        <v>450</v>
      </c>
      <c r="C240" s="39" t="s">
        <v>1187</v>
      </c>
      <c r="D240" s="39" t="s">
        <v>510</v>
      </c>
      <c r="E240" s="39" t="s">
        <v>820</v>
      </c>
      <c r="F240" s="40">
        <v>4031310161</v>
      </c>
      <c r="G240" s="41" t="s">
        <v>535</v>
      </c>
      <c r="H240" s="39" t="s">
        <v>536</v>
      </c>
      <c r="I240" s="58">
        <v>149408120</v>
      </c>
      <c r="J240" s="39" t="s">
        <v>424</v>
      </c>
      <c r="K240" s="39" t="s">
        <v>476</v>
      </c>
      <c r="L240" s="39" t="s">
        <v>477</v>
      </c>
      <c r="M240" s="39">
        <v>2025</v>
      </c>
      <c r="N240" s="39" t="s">
        <v>427</v>
      </c>
      <c r="O240" s="39" t="s">
        <v>1953</v>
      </c>
      <c r="P240" s="58">
        <v>2425598634</v>
      </c>
      <c r="Q240" s="39" t="s">
        <v>1756</v>
      </c>
      <c r="R240" s="124">
        <v>46006</v>
      </c>
      <c r="S240" s="124">
        <v>46296</v>
      </c>
      <c r="T240" s="58">
        <f ca="1">IF(Table2[[#This Row],[تاريخ نهاية التفويض]]="","",IFERROR(_xlfn.DAYS(Table2[[#This Row],[تاريخ نهاية التفويض]],TODAY()),""))</f>
        <v>36</v>
      </c>
      <c r="U240" s="42" t="s">
        <v>537</v>
      </c>
      <c r="V240" s="43">
        <v>46463</v>
      </c>
      <c r="W240" s="44">
        <f ca="1">IF(Table2[[#This Row],[تاريخ انتهاء التأمين]]="","",IFERROR(_xlfn.DAYS(Table2[[#This Row],[تاريخ انتهاء التأمين]],TODAY()),""))</f>
        <v>203</v>
      </c>
      <c r="X240" s="42" t="s">
        <v>509</v>
      </c>
      <c r="Y240" s="42" t="s">
        <v>431</v>
      </c>
      <c r="Z240" s="45">
        <v>3230</v>
      </c>
      <c r="AA240" s="46">
        <v>806654</v>
      </c>
      <c r="AB240" s="46" t="s">
        <v>1227</v>
      </c>
      <c r="AC240" s="46" t="s">
        <v>861</v>
      </c>
      <c r="AD240" s="46" t="s">
        <v>939</v>
      </c>
      <c r="AE240" s="47">
        <v>13000</v>
      </c>
      <c r="AF240" s="48" t="s">
        <v>1145</v>
      </c>
      <c r="AG240" s="48" t="s">
        <v>861</v>
      </c>
      <c r="AH240" s="48" t="s">
        <v>1144</v>
      </c>
      <c r="AI240" s="90">
        <v>863514053188377</v>
      </c>
      <c r="AJ240" s="89">
        <v>46576</v>
      </c>
      <c r="AK240" s="48">
        <f ca="1">IF(Table2[[#This Row],[تاريخ انتهاء ال GPS]]="","",IFERROR(_xlfn.DAYS(Table2[[#This Row],[تاريخ انتهاء ال GPS]],TODAY()),""))</f>
        <v>316</v>
      </c>
      <c r="AL240" s="49" t="s">
        <v>967</v>
      </c>
      <c r="AM240" s="50">
        <v>46521</v>
      </c>
      <c r="AN240" s="51">
        <f ca="1">IF(Table2[[#This Row],[تاريخ انتهاء بطاقة التشغيل]]="","",IFERROR(_xlfn.DAYS(Table2[[#This Row],[تاريخ انتهاء بطاقة التشغيل]],TODAY()),""))</f>
        <v>261</v>
      </c>
      <c r="AO240" s="80">
        <v>46817</v>
      </c>
      <c r="AP240" s="52">
        <f>Table2[[#This Row],[تاريخ انتهاء رخصة السير هجري]]</f>
        <v>46817</v>
      </c>
      <c r="AQ240" s="53">
        <f ca="1">IF(Table2[[#This Row],[تاريخ انتهاء رخصة السير ميلادي]]="","",IFERROR(_xlfn.DAYS(Table2[[#This Row],[تاريخ انتهاء رخصة السير ميلادي]],TODAY()),""))</f>
        <v>557</v>
      </c>
      <c r="AR240" s="55">
        <f>Table2[[#This Row],[تاريخ انتهاء الفحص ميلادي]]</f>
        <v>46387</v>
      </c>
      <c r="AS240" s="56">
        <v>46387</v>
      </c>
      <c r="AT240" s="106">
        <f ca="1">IF(Table2[[#This Row],[تاريخ انتهاء الفحص ميلادي]]="","",IFERROR(_xlfn.DAYS(Table2[[#This Row],[تاريخ انتهاء الفحص ميلادي]],TODAY()),""))</f>
        <v>127</v>
      </c>
      <c r="AU240" s="54"/>
      <c r="AV240" s="1"/>
      <c r="BE240" s="3"/>
      <c r="BH240" s="1"/>
    </row>
    <row r="241" spans="1:60" x14ac:dyDescent="0.3">
      <c r="A241" s="39" t="s">
        <v>450</v>
      </c>
      <c r="B241" s="39" t="s">
        <v>450</v>
      </c>
      <c r="C241" s="39" t="s">
        <v>1187</v>
      </c>
      <c r="D241" s="39" t="s">
        <v>510</v>
      </c>
      <c r="E241" s="39" t="s">
        <v>820</v>
      </c>
      <c r="F241" s="40">
        <v>4031310161</v>
      </c>
      <c r="G241" s="41" t="s">
        <v>538</v>
      </c>
      <c r="H241" s="39" t="s">
        <v>539</v>
      </c>
      <c r="I241" s="58">
        <v>178384220</v>
      </c>
      <c r="J241" s="39" t="s">
        <v>424</v>
      </c>
      <c r="K241" s="39" t="s">
        <v>523</v>
      </c>
      <c r="L241" s="39" t="s">
        <v>528</v>
      </c>
      <c r="M241" s="39">
        <v>2021</v>
      </c>
      <c r="N241" s="39" t="s">
        <v>427</v>
      </c>
      <c r="O241" s="39" t="s">
        <v>1954</v>
      </c>
      <c r="P241" s="58">
        <v>2353619238</v>
      </c>
      <c r="Q241" s="39" t="s">
        <v>1757</v>
      </c>
      <c r="R241" s="124">
        <v>46160</v>
      </c>
      <c r="S241" s="124">
        <v>46387</v>
      </c>
      <c r="T241" s="58">
        <f ca="1">IF(Table2[[#This Row],[تاريخ نهاية التفويض]]="","",IFERROR(_xlfn.DAYS(Table2[[#This Row],[تاريخ نهاية التفويض]],TODAY()),""))</f>
        <v>127</v>
      </c>
      <c r="U241" s="42" t="s">
        <v>540</v>
      </c>
      <c r="V241" s="43">
        <v>46463</v>
      </c>
      <c r="W241" s="44">
        <f ca="1">IF(Table2[[#This Row],[تاريخ انتهاء التأمين]]="","",IFERROR(_xlfn.DAYS(Table2[[#This Row],[تاريخ انتهاء التأمين]],TODAY()),""))</f>
        <v>203</v>
      </c>
      <c r="X241" s="42" t="s">
        <v>509</v>
      </c>
      <c r="Y241" s="42" t="s">
        <v>431</v>
      </c>
      <c r="Z241" s="45">
        <v>3660</v>
      </c>
      <c r="AA241" s="46">
        <v>915471</v>
      </c>
      <c r="AB241" s="46" t="s">
        <v>1448</v>
      </c>
      <c r="AC241" s="46" t="s">
        <v>861</v>
      </c>
      <c r="AD241" s="46" t="s">
        <v>939</v>
      </c>
      <c r="AE241" s="47" t="s">
        <v>939</v>
      </c>
      <c r="AF241" s="48" t="s">
        <v>1145</v>
      </c>
      <c r="AG241" s="48" t="s">
        <v>861</v>
      </c>
      <c r="AH241" s="48" t="s">
        <v>1144</v>
      </c>
      <c r="AI241" s="90">
        <v>863514053188401</v>
      </c>
      <c r="AJ241" s="89">
        <v>46576</v>
      </c>
      <c r="AK241" s="48">
        <f ca="1">IF(Table2[[#This Row],[تاريخ انتهاء ال GPS]]="","",IFERROR(_xlfn.DAYS(Table2[[#This Row],[تاريخ انتهاء ال GPS]],TODAY()),""))</f>
        <v>316</v>
      </c>
      <c r="AL241" s="49" t="s">
        <v>973</v>
      </c>
      <c r="AM241" s="50">
        <v>46354</v>
      </c>
      <c r="AN241" s="51">
        <f ca="1">IF(Table2[[#This Row],[تاريخ انتهاء بطاقة التشغيل]]="","",IFERROR(_xlfn.DAYS(Table2[[#This Row],[تاريخ انتهاء بطاقة التشغيل]],TODAY()),""))</f>
        <v>94</v>
      </c>
      <c r="AO241" s="80">
        <v>47046</v>
      </c>
      <c r="AP241" s="52">
        <f>Table2[[#This Row],[تاريخ انتهاء رخصة السير هجري]]</f>
        <v>47046</v>
      </c>
      <c r="AQ241" s="53">
        <f ca="1">IF(Table2[[#This Row],[تاريخ انتهاء رخصة السير ميلادي]]="","",IFERROR(_xlfn.DAYS(Table2[[#This Row],[تاريخ انتهاء رخصة السير ميلادي]],TODAY()),""))</f>
        <v>786</v>
      </c>
      <c r="AR241" s="55">
        <v>46321</v>
      </c>
      <c r="AS241" s="56">
        <f>Table2[[#This Row],[تاريخ انتهاء الفحص هجري]]</f>
        <v>46321</v>
      </c>
      <c r="AT241" s="106">
        <f ca="1">IF(Table2[[#This Row],[تاريخ انتهاء الفحص ميلادي]]="","",IFERROR(_xlfn.DAYS(Table2[[#This Row],[تاريخ انتهاء الفحص ميلادي]],TODAY()),""))</f>
        <v>61</v>
      </c>
      <c r="AU241" s="54"/>
      <c r="AV241" s="1"/>
      <c r="BE241" s="3"/>
      <c r="BH241" s="1"/>
    </row>
    <row r="242" spans="1:60" x14ac:dyDescent="0.3">
      <c r="A242" s="39" t="s">
        <v>450</v>
      </c>
      <c r="B242" s="39" t="s">
        <v>450</v>
      </c>
      <c r="C242" s="39" t="s">
        <v>1187</v>
      </c>
      <c r="D242" s="39" t="s">
        <v>510</v>
      </c>
      <c r="E242" s="39" t="s">
        <v>820</v>
      </c>
      <c r="F242" s="40">
        <v>4031310161</v>
      </c>
      <c r="G242" s="41" t="s">
        <v>541</v>
      </c>
      <c r="H242" s="39" t="s">
        <v>542</v>
      </c>
      <c r="I242" s="58">
        <v>207451220</v>
      </c>
      <c r="J242" s="39" t="s">
        <v>424</v>
      </c>
      <c r="K242" s="39" t="s">
        <v>523</v>
      </c>
      <c r="L242" s="39" t="s">
        <v>524</v>
      </c>
      <c r="M242" s="39">
        <v>2021</v>
      </c>
      <c r="N242" s="39" t="s">
        <v>427</v>
      </c>
      <c r="O242" s="39" t="s">
        <v>1955</v>
      </c>
      <c r="P242" s="58">
        <v>2604361465</v>
      </c>
      <c r="Q242" s="39" t="s">
        <v>1758</v>
      </c>
      <c r="R242" s="124">
        <v>46174</v>
      </c>
      <c r="S242" s="124">
        <v>46387</v>
      </c>
      <c r="T242" s="58">
        <f ca="1">IF(Table2[[#This Row],[تاريخ نهاية التفويض]]="","",IFERROR(_xlfn.DAYS(Table2[[#This Row],[تاريخ نهاية التفويض]],TODAY()),""))</f>
        <v>127</v>
      </c>
      <c r="U242" s="42" t="s">
        <v>543</v>
      </c>
      <c r="V242" s="43">
        <v>46463</v>
      </c>
      <c r="W242" s="44">
        <f ca="1">IF(Table2[[#This Row],[تاريخ انتهاء التأمين]]="","",IFERROR(_xlfn.DAYS(Table2[[#This Row],[تاريخ انتهاء التأمين]],TODAY()),""))</f>
        <v>203</v>
      </c>
      <c r="X242" s="42" t="s">
        <v>509</v>
      </c>
      <c r="Y242" s="42" t="s">
        <v>431</v>
      </c>
      <c r="Z242" s="45">
        <v>3660</v>
      </c>
      <c r="AA242" s="46">
        <v>860160</v>
      </c>
      <c r="AB242" s="46" t="s">
        <v>1228</v>
      </c>
      <c r="AC242" s="46" t="s">
        <v>861</v>
      </c>
      <c r="AD242" s="46" t="s">
        <v>939</v>
      </c>
      <c r="AE242" s="47">
        <v>13000</v>
      </c>
      <c r="AF242" s="48" t="s">
        <v>1145</v>
      </c>
      <c r="AG242" s="48" t="s">
        <v>861</v>
      </c>
      <c r="AH242" s="48" t="s">
        <v>1144</v>
      </c>
      <c r="AI242" s="90">
        <v>863514053188195</v>
      </c>
      <c r="AJ242" s="89">
        <v>46576</v>
      </c>
      <c r="AK242" s="48">
        <f ca="1">IF(Table2[[#This Row],[تاريخ انتهاء ال GPS]]="","",IFERROR(_xlfn.DAYS(Table2[[#This Row],[تاريخ انتهاء ال GPS]],TODAY()),""))</f>
        <v>316</v>
      </c>
      <c r="AL242" s="49" t="s">
        <v>976</v>
      </c>
      <c r="AM242" s="50">
        <v>46615</v>
      </c>
      <c r="AN242" s="51">
        <f ca="1">IF(Table2[[#This Row],[تاريخ انتهاء بطاقة التشغيل]]="","",IFERROR(_xlfn.DAYS(Table2[[#This Row],[تاريخ انتهاء بطاقة التشغيل]],TODAY()),""))</f>
        <v>355</v>
      </c>
      <c r="AO242" s="80">
        <v>46940</v>
      </c>
      <c r="AP242" s="52">
        <f>Table2[[#This Row],[تاريخ انتهاء رخصة السير هجري]]</f>
        <v>46940</v>
      </c>
      <c r="AQ242" s="53">
        <f ca="1">IF(Table2[[#This Row],[تاريخ انتهاء رخصة السير ميلادي]]="","",IFERROR(_xlfn.DAYS(Table2[[#This Row],[تاريخ انتهاء رخصة السير ميلادي]],TODAY()),""))</f>
        <v>680</v>
      </c>
      <c r="AR242" s="55">
        <v>46229</v>
      </c>
      <c r="AS242" s="56">
        <f>Table2[[#This Row],[تاريخ انتهاء الفحص هجري]]</f>
        <v>46229</v>
      </c>
      <c r="AT242" s="106">
        <f ca="1">IF(Table2[[#This Row],[تاريخ انتهاء الفحص ميلادي]]="","",IFERROR(_xlfn.DAYS(Table2[[#This Row],[تاريخ انتهاء الفحص ميلادي]],TODAY()),""))</f>
        <v>-31</v>
      </c>
      <c r="AU242" s="54"/>
      <c r="AV242" s="1"/>
      <c r="BE242" s="3"/>
      <c r="BH242" s="1"/>
    </row>
    <row r="243" spans="1:60" x14ac:dyDescent="0.3">
      <c r="A243" s="39" t="s">
        <v>450</v>
      </c>
      <c r="B243" s="39" t="s">
        <v>450</v>
      </c>
      <c r="C243" s="39" t="s">
        <v>1187</v>
      </c>
      <c r="D243" s="39" t="s">
        <v>510</v>
      </c>
      <c r="E243" s="39" t="s">
        <v>820</v>
      </c>
      <c r="F243" s="40">
        <v>4031310161</v>
      </c>
      <c r="G243" s="41" t="s">
        <v>544</v>
      </c>
      <c r="H243" s="39" t="s">
        <v>545</v>
      </c>
      <c r="I243" s="58">
        <v>239408120</v>
      </c>
      <c r="J243" s="39" t="s">
        <v>424</v>
      </c>
      <c r="K243" s="39" t="s">
        <v>476</v>
      </c>
      <c r="L243" s="39" t="s">
        <v>477</v>
      </c>
      <c r="M243" s="39">
        <v>2025</v>
      </c>
      <c r="N243" s="39" t="s">
        <v>427</v>
      </c>
      <c r="O243" s="39" t="s">
        <v>1995</v>
      </c>
      <c r="P243" s="58">
        <v>2490833528</v>
      </c>
      <c r="Q243" s="58">
        <v>101448002409081</v>
      </c>
      <c r="R243" s="124">
        <v>46259</v>
      </c>
      <c r="S243" s="124">
        <v>46387</v>
      </c>
      <c r="T243" s="58">
        <f ca="1">IF(Table2[[#This Row],[تاريخ نهاية التفويض]]="","",IFERROR(_xlfn.DAYS(Table2[[#This Row],[تاريخ نهاية التفويض]],TODAY()),""))</f>
        <v>127</v>
      </c>
      <c r="U243" s="42" t="s">
        <v>546</v>
      </c>
      <c r="V243" s="43">
        <v>46463</v>
      </c>
      <c r="W243" s="44">
        <f ca="1">IF(Table2[[#This Row],[تاريخ انتهاء التأمين]]="","",IFERROR(_xlfn.DAYS(Table2[[#This Row],[تاريخ انتهاء التأمين]],TODAY()),""))</f>
        <v>203</v>
      </c>
      <c r="X243" s="42" t="s">
        <v>509</v>
      </c>
      <c r="Y243" s="42" t="s">
        <v>431</v>
      </c>
      <c r="Z243" s="45">
        <v>3230</v>
      </c>
      <c r="AA243" s="46">
        <v>806641</v>
      </c>
      <c r="AB243" s="46" t="s">
        <v>1229</v>
      </c>
      <c r="AC243" s="46" t="s">
        <v>861</v>
      </c>
      <c r="AD243" s="46" t="s">
        <v>939</v>
      </c>
      <c r="AE243" s="47">
        <v>13000</v>
      </c>
      <c r="AF243" s="48" t="s">
        <v>1145</v>
      </c>
      <c r="AG243" s="48" t="s">
        <v>861</v>
      </c>
      <c r="AH243" s="48" t="s">
        <v>1144</v>
      </c>
      <c r="AI243" s="90">
        <v>863514053157976</v>
      </c>
      <c r="AJ243" s="89">
        <v>46576</v>
      </c>
      <c r="AK243" s="48">
        <f ca="1">IF(Table2[[#This Row],[تاريخ انتهاء ال GPS]]="","",IFERROR(_xlfn.DAYS(Table2[[#This Row],[تاريخ انتهاء ال GPS]],TODAY()),""))</f>
        <v>316</v>
      </c>
      <c r="AL243" s="49" t="s">
        <v>980</v>
      </c>
      <c r="AM243" s="50">
        <v>46521</v>
      </c>
      <c r="AN243" s="51">
        <f ca="1">IF(Table2[[#This Row],[تاريخ انتهاء بطاقة التشغيل]]="","",IFERROR(_xlfn.DAYS(Table2[[#This Row],[تاريخ انتهاء بطاقة التشغيل]],TODAY()),""))</f>
        <v>261</v>
      </c>
      <c r="AO243" s="80">
        <v>46817</v>
      </c>
      <c r="AP243" s="52">
        <f>Table2[[#This Row],[تاريخ انتهاء رخصة السير هجري]]</f>
        <v>46817</v>
      </c>
      <c r="AQ243" s="53">
        <f ca="1">IF(Table2[[#This Row],[تاريخ انتهاء رخصة السير ميلادي]]="","",IFERROR(_xlfn.DAYS(Table2[[#This Row],[تاريخ انتهاء رخصة السير ميلادي]],TODAY()),""))</f>
        <v>557</v>
      </c>
      <c r="AR243" s="55">
        <f>Table2[[#This Row],[تاريخ انتهاء الفحص ميلادي]]</f>
        <v>46387</v>
      </c>
      <c r="AS243" s="56">
        <v>46387</v>
      </c>
      <c r="AT243" s="106">
        <f ca="1">IF(Table2[[#This Row],[تاريخ انتهاء الفحص ميلادي]]="","",IFERROR(_xlfn.DAYS(Table2[[#This Row],[تاريخ انتهاء الفحص ميلادي]],TODAY()),""))</f>
        <v>127</v>
      </c>
      <c r="AU243" s="54"/>
      <c r="AV243" s="1"/>
      <c r="BE243" s="3"/>
      <c r="BH243" s="1"/>
    </row>
    <row r="244" spans="1:60" x14ac:dyDescent="0.3">
      <c r="A244" s="39" t="s">
        <v>450</v>
      </c>
      <c r="B244" s="39" t="s">
        <v>450</v>
      </c>
      <c r="C244" s="39" t="s">
        <v>1187</v>
      </c>
      <c r="D244" s="39" t="s">
        <v>510</v>
      </c>
      <c r="E244" s="39" t="s">
        <v>820</v>
      </c>
      <c r="F244" s="40">
        <v>4031310161</v>
      </c>
      <c r="G244" s="41" t="s">
        <v>547</v>
      </c>
      <c r="H244" s="39" t="s">
        <v>548</v>
      </c>
      <c r="I244" s="58">
        <v>255850220</v>
      </c>
      <c r="J244" s="39" t="s">
        <v>424</v>
      </c>
      <c r="K244" s="39" t="s">
        <v>523</v>
      </c>
      <c r="L244" s="39" t="s">
        <v>524</v>
      </c>
      <c r="M244" s="39">
        <v>2022</v>
      </c>
      <c r="N244" s="39" t="s">
        <v>64</v>
      </c>
      <c r="O244" s="39" t="s">
        <v>1956</v>
      </c>
      <c r="P244" s="58">
        <v>2596356812</v>
      </c>
      <c r="Q244" s="39" t="s">
        <v>1759</v>
      </c>
      <c r="R244" s="124">
        <v>46175</v>
      </c>
      <c r="S244" s="124">
        <v>46387</v>
      </c>
      <c r="T244" s="58">
        <f ca="1">IF(Table2[[#This Row],[تاريخ نهاية التفويض]]="","",IFERROR(_xlfn.DAYS(Table2[[#This Row],[تاريخ نهاية التفويض]],TODAY()),""))</f>
        <v>127</v>
      </c>
      <c r="U244" s="42" t="s">
        <v>549</v>
      </c>
      <c r="V244" s="43">
        <v>46463</v>
      </c>
      <c r="W244" s="44">
        <f ca="1">IF(Table2[[#This Row],[تاريخ انتهاء التأمين]]="","",IFERROR(_xlfn.DAYS(Table2[[#This Row],[تاريخ انتهاء التأمين]],TODAY()),""))</f>
        <v>203</v>
      </c>
      <c r="X244" s="42" t="s">
        <v>509</v>
      </c>
      <c r="Y244" s="42" t="s">
        <v>431</v>
      </c>
      <c r="Z244" s="45">
        <v>3660</v>
      </c>
      <c r="AA244" s="46">
        <v>859986</v>
      </c>
      <c r="AB244" s="46" t="s">
        <v>1230</v>
      </c>
      <c r="AC244" s="46" t="s">
        <v>861</v>
      </c>
      <c r="AD244" s="46" t="s">
        <v>939</v>
      </c>
      <c r="AE244" s="47">
        <v>13000</v>
      </c>
      <c r="AF244" s="48" t="s">
        <v>1145</v>
      </c>
      <c r="AG244" s="48" t="s">
        <v>861</v>
      </c>
      <c r="AH244" s="48" t="s">
        <v>1144</v>
      </c>
      <c r="AI244" s="90">
        <v>863514052617095</v>
      </c>
      <c r="AJ244" s="89">
        <v>46576</v>
      </c>
      <c r="AK244" s="48">
        <f ca="1">IF(Table2[[#This Row],[تاريخ انتهاء ال GPS]]="","",IFERROR(_xlfn.DAYS(Table2[[#This Row],[تاريخ انتهاء ال GPS]],TODAY()),""))</f>
        <v>316</v>
      </c>
      <c r="AL244" s="49" t="s">
        <v>993</v>
      </c>
      <c r="AM244" s="50">
        <v>46591</v>
      </c>
      <c r="AN244" s="51">
        <f ca="1">IF(Table2[[#This Row],[تاريخ انتهاء بطاقة التشغيل]]="","",IFERROR(_xlfn.DAYS(Table2[[#This Row],[تاريخ انتهاء بطاقة التشغيل]],TODAY()),""))</f>
        <v>331</v>
      </c>
      <c r="AO244" s="80">
        <v>46909</v>
      </c>
      <c r="AP244" s="52">
        <f>Table2[[#This Row],[تاريخ انتهاء رخصة السير هجري]]</f>
        <v>46909</v>
      </c>
      <c r="AQ244" s="53">
        <f ca="1">IF(Table2[[#This Row],[تاريخ انتهاء رخصة السير ميلادي]]="","",IFERROR(_xlfn.DAYS(Table2[[#This Row],[تاريخ انتهاء رخصة السير ميلادي]],TODAY()),""))</f>
        <v>649</v>
      </c>
      <c r="AR244" s="55">
        <v>46168</v>
      </c>
      <c r="AS244" s="56">
        <f>Table2[[#This Row],[تاريخ انتهاء الفحص هجري]]</f>
        <v>46168</v>
      </c>
      <c r="AT244" s="106">
        <f ca="1">IF(Table2[[#This Row],[تاريخ انتهاء الفحص ميلادي]]="","",IFERROR(_xlfn.DAYS(Table2[[#This Row],[تاريخ انتهاء الفحص ميلادي]],TODAY()),""))</f>
        <v>-92</v>
      </c>
      <c r="AU244" s="54"/>
      <c r="AV244" s="1"/>
      <c r="BE244" s="3"/>
      <c r="BH244" s="1"/>
    </row>
    <row r="245" spans="1:60" x14ac:dyDescent="0.3">
      <c r="A245" s="39" t="s">
        <v>450</v>
      </c>
      <c r="B245" s="39" t="s">
        <v>450</v>
      </c>
      <c r="C245" s="39" t="s">
        <v>1187</v>
      </c>
      <c r="D245" s="39" t="s">
        <v>510</v>
      </c>
      <c r="E245" s="39" t="s">
        <v>820</v>
      </c>
      <c r="F245" s="40">
        <v>4031310161</v>
      </c>
      <c r="G245" s="41" t="s">
        <v>550</v>
      </c>
      <c r="H245" s="39" t="s">
        <v>551</v>
      </c>
      <c r="I245" s="58">
        <v>259408120</v>
      </c>
      <c r="J245" s="39" t="s">
        <v>424</v>
      </c>
      <c r="K245" s="39" t="s">
        <v>476</v>
      </c>
      <c r="L245" s="39" t="s">
        <v>477</v>
      </c>
      <c r="M245" s="39">
        <v>2025</v>
      </c>
      <c r="N245" s="39" t="s">
        <v>427</v>
      </c>
      <c r="O245" s="39" t="s">
        <v>1957</v>
      </c>
      <c r="P245" s="58">
        <v>2535994467</v>
      </c>
      <c r="Q245" s="39" t="s">
        <v>1760</v>
      </c>
      <c r="R245" s="124">
        <v>46085</v>
      </c>
      <c r="S245" s="124">
        <v>46387</v>
      </c>
      <c r="T245" s="58">
        <f ca="1">IF(Table2[[#This Row],[تاريخ نهاية التفويض]]="","",IFERROR(_xlfn.DAYS(Table2[[#This Row],[تاريخ نهاية التفويض]],TODAY()),""))</f>
        <v>127</v>
      </c>
      <c r="U245" s="42" t="s">
        <v>552</v>
      </c>
      <c r="V245" s="43">
        <v>46463</v>
      </c>
      <c r="W245" s="44">
        <f ca="1">IF(Table2[[#This Row],[تاريخ انتهاء التأمين]]="","",IFERROR(_xlfn.DAYS(Table2[[#This Row],[تاريخ انتهاء التأمين]],TODAY()),""))</f>
        <v>203</v>
      </c>
      <c r="X245" s="42" t="s">
        <v>509</v>
      </c>
      <c r="Y245" s="42" t="s">
        <v>431</v>
      </c>
      <c r="Z245" s="45">
        <v>3230</v>
      </c>
      <c r="AA245" s="46">
        <v>806652</v>
      </c>
      <c r="AB245" s="46" t="s">
        <v>1231</v>
      </c>
      <c r="AC245" s="46" t="s">
        <v>861</v>
      </c>
      <c r="AD245" s="46" t="s">
        <v>939</v>
      </c>
      <c r="AE245" s="47">
        <v>13000</v>
      </c>
      <c r="AF245" s="48" t="s">
        <v>1145</v>
      </c>
      <c r="AG245" s="48" t="s">
        <v>861</v>
      </c>
      <c r="AH245" s="48" t="s">
        <v>1144</v>
      </c>
      <c r="AI245" s="90">
        <v>863514053188435</v>
      </c>
      <c r="AJ245" s="89">
        <v>46576</v>
      </c>
      <c r="AK245" s="48">
        <f ca="1">IF(Table2[[#This Row],[تاريخ انتهاء ال GPS]]="","",IFERROR(_xlfn.DAYS(Table2[[#This Row],[تاريخ انتهاء ال GPS]],TODAY()),""))</f>
        <v>316</v>
      </c>
      <c r="AL245" s="49" t="s">
        <v>966</v>
      </c>
      <c r="AM245" s="50">
        <v>46521</v>
      </c>
      <c r="AN245" s="51">
        <f ca="1">IF(Table2[[#This Row],[تاريخ انتهاء بطاقة التشغيل]]="","",IFERROR(_xlfn.DAYS(Table2[[#This Row],[تاريخ انتهاء بطاقة التشغيل]],TODAY()),""))</f>
        <v>261</v>
      </c>
      <c r="AO245" s="80">
        <v>46817</v>
      </c>
      <c r="AP245" s="52">
        <f>Table2[[#This Row],[تاريخ انتهاء رخصة السير هجري]]</f>
        <v>46817</v>
      </c>
      <c r="AQ245" s="53">
        <f ca="1">IF(Table2[[#This Row],[تاريخ انتهاء رخصة السير ميلادي]]="","",IFERROR(_xlfn.DAYS(Table2[[#This Row],[تاريخ انتهاء رخصة السير ميلادي]],TODAY()),""))</f>
        <v>557</v>
      </c>
      <c r="AR245" s="55">
        <f>Table2[[#This Row],[تاريخ انتهاء الفحص ميلادي]]</f>
        <v>46387</v>
      </c>
      <c r="AS245" s="56">
        <v>46387</v>
      </c>
      <c r="AT245" s="106">
        <f ca="1">IF(Table2[[#This Row],[تاريخ انتهاء الفحص ميلادي]]="","",IFERROR(_xlfn.DAYS(Table2[[#This Row],[تاريخ انتهاء الفحص ميلادي]],TODAY()),""))</f>
        <v>127</v>
      </c>
      <c r="AU245" s="54"/>
      <c r="AV245" s="1"/>
      <c r="BE245" s="3"/>
      <c r="BH245" s="1"/>
    </row>
    <row r="246" spans="1:60" x14ac:dyDescent="0.3">
      <c r="A246" s="39" t="s">
        <v>450</v>
      </c>
      <c r="B246" s="39" t="s">
        <v>450</v>
      </c>
      <c r="C246" s="39" t="s">
        <v>1187</v>
      </c>
      <c r="D246" s="39" t="s">
        <v>510</v>
      </c>
      <c r="E246" s="39" t="s">
        <v>820</v>
      </c>
      <c r="F246" s="40">
        <v>4031310161</v>
      </c>
      <c r="G246" s="41" t="s">
        <v>553</v>
      </c>
      <c r="H246" s="39" t="s">
        <v>554</v>
      </c>
      <c r="I246" s="58">
        <v>348408120</v>
      </c>
      <c r="J246" s="39" t="s">
        <v>424</v>
      </c>
      <c r="K246" s="39" t="s">
        <v>476</v>
      </c>
      <c r="L246" s="39" t="s">
        <v>477</v>
      </c>
      <c r="M246" s="39">
        <v>2025</v>
      </c>
      <c r="N246" s="39" t="s">
        <v>427</v>
      </c>
      <c r="O246" s="39" t="s">
        <v>1958</v>
      </c>
      <c r="P246" s="58">
        <v>2165310059</v>
      </c>
      <c r="Q246" s="39" t="s">
        <v>1761</v>
      </c>
      <c r="R246" s="124">
        <v>46184</v>
      </c>
      <c r="S246" s="124">
        <v>46296</v>
      </c>
      <c r="T246" s="58">
        <f ca="1">IF(Table2[[#This Row],[تاريخ نهاية التفويض]]="","",IFERROR(_xlfn.DAYS(Table2[[#This Row],[تاريخ نهاية التفويض]],TODAY()),""))</f>
        <v>36</v>
      </c>
      <c r="U246" s="42" t="s">
        <v>555</v>
      </c>
      <c r="V246" s="43">
        <v>46463</v>
      </c>
      <c r="W246" s="44">
        <f ca="1">IF(Table2[[#This Row],[تاريخ انتهاء التأمين]]="","",IFERROR(_xlfn.DAYS(Table2[[#This Row],[تاريخ انتهاء التأمين]],TODAY()),""))</f>
        <v>203</v>
      </c>
      <c r="X246" s="42" t="s">
        <v>509</v>
      </c>
      <c r="Y246" s="42" t="s">
        <v>431</v>
      </c>
      <c r="Z246" s="45">
        <v>3230</v>
      </c>
      <c r="AA246" s="46">
        <v>806650</v>
      </c>
      <c r="AB246" s="46" t="s">
        <v>1232</v>
      </c>
      <c r="AC246" s="46" t="s">
        <v>861</v>
      </c>
      <c r="AD246" s="46" t="s">
        <v>939</v>
      </c>
      <c r="AE246" s="47">
        <v>13000</v>
      </c>
      <c r="AF246" s="48" t="s">
        <v>1145</v>
      </c>
      <c r="AG246" s="48" t="s">
        <v>861</v>
      </c>
      <c r="AH246" s="48" t="s">
        <v>1144</v>
      </c>
      <c r="AI246" s="90">
        <v>863514053234593</v>
      </c>
      <c r="AJ246" s="89">
        <v>46576</v>
      </c>
      <c r="AK246" s="48">
        <f ca="1">IF(Table2[[#This Row],[تاريخ انتهاء ال GPS]]="","",IFERROR(_xlfn.DAYS(Table2[[#This Row],[تاريخ انتهاء ال GPS]],TODAY()),""))</f>
        <v>316</v>
      </c>
      <c r="AL246" s="49" t="s">
        <v>985</v>
      </c>
      <c r="AM246" s="50">
        <v>46521</v>
      </c>
      <c r="AN246" s="51">
        <f ca="1">IF(Table2[[#This Row],[تاريخ انتهاء بطاقة التشغيل]]="","",IFERROR(_xlfn.DAYS(Table2[[#This Row],[تاريخ انتهاء بطاقة التشغيل]],TODAY()),""))</f>
        <v>261</v>
      </c>
      <c r="AO246" s="80">
        <v>46817</v>
      </c>
      <c r="AP246" s="52">
        <f>Table2[[#This Row],[تاريخ انتهاء رخصة السير هجري]]</f>
        <v>46817</v>
      </c>
      <c r="AQ246" s="53">
        <f ca="1">IF(Table2[[#This Row],[تاريخ انتهاء رخصة السير ميلادي]]="","",IFERROR(_xlfn.DAYS(Table2[[#This Row],[تاريخ انتهاء رخصة السير ميلادي]],TODAY()),""))</f>
        <v>557</v>
      </c>
      <c r="AR246" s="55">
        <f>Table2[[#This Row],[تاريخ انتهاء الفحص ميلادي]]</f>
        <v>46387</v>
      </c>
      <c r="AS246" s="56">
        <v>46387</v>
      </c>
      <c r="AT246" s="106">
        <f ca="1">IF(Table2[[#This Row],[تاريخ انتهاء الفحص ميلادي]]="","",IFERROR(_xlfn.DAYS(Table2[[#This Row],[تاريخ انتهاء الفحص ميلادي]],TODAY()),""))</f>
        <v>127</v>
      </c>
      <c r="AU246" s="54"/>
      <c r="AV246" s="1"/>
      <c r="BE246" s="3"/>
      <c r="BH246" s="1"/>
    </row>
    <row r="247" spans="1:60" x14ac:dyDescent="0.3">
      <c r="A247" s="39" t="s">
        <v>450</v>
      </c>
      <c r="B247" s="39" t="s">
        <v>450</v>
      </c>
      <c r="C247" s="39" t="s">
        <v>1187</v>
      </c>
      <c r="D247" s="39" t="s">
        <v>510</v>
      </c>
      <c r="E247" s="39" t="s">
        <v>820</v>
      </c>
      <c r="F247" s="40">
        <v>4031310161</v>
      </c>
      <c r="G247" s="41" t="s">
        <v>556</v>
      </c>
      <c r="H247" s="39" t="s">
        <v>557</v>
      </c>
      <c r="I247" s="58">
        <v>368384220</v>
      </c>
      <c r="J247" s="39" t="s">
        <v>424</v>
      </c>
      <c r="K247" s="39" t="s">
        <v>523</v>
      </c>
      <c r="L247" s="39" t="s">
        <v>528</v>
      </c>
      <c r="M247" s="39">
        <v>2021</v>
      </c>
      <c r="N247" s="39" t="s">
        <v>427</v>
      </c>
      <c r="O247" s="39" t="s">
        <v>1959</v>
      </c>
      <c r="P247" s="58">
        <v>2622382121</v>
      </c>
      <c r="Q247" s="39" t="s">
        <v>1762</v>
      </c>
      <c r="R247" s="124">
        <v>46205</v>
      </c>
      <c r="S247" s="124">
        <v>46387</v>
      </c>
      <c r="T247" s="58">
        <f ca="1">IF(Table2[[#This Row],[تاريخ نهاية التفويض]]="","",IFERROR(_xlfn.DAYS(Table2[[#This Row],[تاريخ نهاية التفويض]],TODAY()),""))</f>
        <v>127</v>
      </c>
      <c r="U247" s="42" t="s">
        <v>558</v>
      </c>
      <c r="V247" s="43">
        <v>46463</v>
      </c>
      <c r="W247" s="44">
        <f ca="1">IF(Table2[[#This Row],[تاريخ انتهاء التأمين]]="","",IFERROR(_xlfn.DAYS(Table2[[#This Row],[تاريخ انتهاء التأمين]],TODAY()),""))</f>
        <v>203</v>
      </c>
      <c r="X247" s="42" t="s">
        <v>509</v>
      </c>
      <c r="Y247" s="42" t="s">
        <v>431</v>
      </c>
      <c r="Z247" s="45">
        <v>3660</v>
      </c>
      <c r="AA247" s="46">
        <v>915470</v>
      </c>
      <c r="AB247" s="46" t="s">
        <v>1449</v>
      </c>
      <c r="AC247" s="46" t="s">
        <v>861</v>
      </c>
      <c r="AD247" s="46" t="s">
        <v>939</v>
      </c>
      <c r="AE247" s="47" t="s">
        <v>939</v>
      </c>
      <c r="AF247" s="48" t="s">
        <v>1145</v>
      </c>
      <c r="AG247" s="48" t="s">
        <v>861</v>
      </c>
      <c r="AH247" s="48" t="s">
        <v>1144</v>
      </c>
      <c r="AI247" s="90">
        <v>863514053156739</v>
      </c>
      <c r="AJ247" s="89">
        <v>46576</v>
      </c>
      <c r="AK247" s="48">
        <f ca="1">IF(Table2[[#This Row],[تاريخ انتهاء ال GPS]]="","",IFERROR(_xlfn.DAYS(Table2[[#This Row],[تاريخ انتهاء ال GPS]],TODAY()),""))</f>
        <v>316</v>
      </c>
      <c r="AL247" s="49" t="s">
        <v>968</v>
      </c>
      <c r="AM247" s="50">
        <v>46354</v>
      </c>
      <c r="AN247" s="51">
        <f ca="1">IF(Table2[[#This Row],[تاريخ انتهاء بطاقة التشغيل]]="","",IFERROR(_xlfn.DAYS(Table2[[#This Row],[تاريخ انتهاء بطاقة التشغيل]],TODAY()),""))</f>
        <v>94</v>
      </c>
      <c r="AO247" s="80">
        <v>47046</v>
      </c>
      <c r="AP247" s="52">
        <f>Table2[[#This Row],[تاريخ انتهاء رخصة السير هجري]]</f>
        <v>47046</v>
      </c>
      <c r="AQ247" s="53">
        <f ca="1">IF(Table2[[#This Row],[تاريخ انتهاء رخصة السير ميلادي]]="","",IFERROR(_xlfn.DAYS(Table2[[#This Row],[تاريخ انتهاء رخصة السير ميلادي]],TODAY()),""))</f>
        <v>786</v>
      </c>
      <c r="AR247" s="55">
        <v>46321</v>
      </c>
      <c r="AS247" s="56">
        <f>Table2[[#This Row],[تاريخ انتهاء الفحص هجري]]</f>
        <v>46321</v>
      </c>
      <c r="AT247" s="106">
        <f ca="1">IF(Table2[[#This Row],[تاريخ انتهاء الفحص ميلادي]]="","",IFERROR(_xlfn.DAYS(Table2[[#This Row],[تاريخ انتهاء الفحص ميلادي]],TODAY()),""))</f>
        <v>61</v>
      </c>
      <c r="AU247" s="54"/>
      <c r="AV247" s="1"/>
      <c r="BE247" s="3"/>
      <c r="BH247" s="1"/>
    </row>
    <row r="248" spans="1:60" x14ac:dyDescent="0.3">
      <c r="A248" s="39" t="s">
        <v>450</v>
      </c>
      <c r="B248" s="39" t="s">
        <v>450</v>
      </c>
      <c r="C248" s="39" t="s">
        <v>1187</v>
      </c>
      <c r="D248" s="39" t="s">
        <v>510</v>
      </c>
      <c r="E248" s="39" t="s">
        <v>820</v>
      </c>
      <c r="F248" s="40">
        <v>4031310161</v>
      </c>
      <c r="G248" s="41" t="s">
        <v>559</v>
      </c>
      <c r="H248" s="39" t="s">
        <v>560</v>
      </c>
      <c r="I248" s="58">
        <v>445850220</v>
      </c>
      <c r="J248" s="39" t="s">
        <v>424</v>
      </c>
      <c r="K248" s="39" t="s">
        <v>523</v>
      </c>
      <c r="L248" s="39" t="s">
        <v>524</v>
      </c>
      <c r="M248" s="39">
        <v>2021</v>
      </c>
      <c r="N248" s="39" t="s">
        <v>427</v>
      </c>
      <c r="O248" s="39" t="s">
        <v>1960</v>
      </c>
      <c r="P248" s="58">
        <v>2596356267</v>
      </c>
      <c r="Q248" s="39" t="s">
        <v>1763</v>
      </c>
      <c r="R248" s="124">
        <v>46253</v>
      </c>
      <c r="S248" s="124">
        <v>46387</v>
      </c>
      <c r="T248" s="58">
        <f ca="1">IF(Table2[[#This Row],[تاريخ نهاية التفويض]]="","",IFERROR(_xlfn.DAYS(Table2[[#This Row],[تاريخ نهاية التفويض]],TODAY()),""))</f>
        <v>127</v>
      </c>
      <c r="U248" s="42" t="s">
        <v>561</v>
      </c>
      <c r="V248" s="43">
        <v>46463</v>
      </c>
      <c r="W248" s="44">
        <f ca="1">IF(Table2[[#This Row],[تاريخ انتهاء التأمين]]="","",IFERROR(_xlfn.DAYS(Table2[[#This Row],[تاريخ انتهاء التأمين]],TODAY()),""))</f>
        <v>203</v>
      </c>
      <c r="X248" s="42" t="s">
        <v>509</v>
      </c>
      <c r="Y248" s="42" t="s">
        <v>431</v>
      </c>
      <c r="Z248" s="45">
        <v>3660</v>
      </c>
      <c r="AA248" s="46">
        <v>859976</v>
      </c>
      <c r="AB248" s="46" t="s">
        <v>1233</v>
      </c>
      <c r="AC248" s="46" t="s">
        <v>861</v>
      </c>
      <c r="AD248" s="46" t="s">
        <v>939</v>
      </c>
      <c r="AE248" s="47">
        <v>13000</v>
      </c>
      <c r="AF248" s="48" t="s">
        <v>1145</v>
      </c>
      <c r="AG248" s="48" t="s">
        <v>861</v>
      </c>
      <c r="AH248" s="48" t="s">
        <v>1144</v>
      </c>
      <c r="AI248" s="90">
        <v>863514052618515</v>
      </c>
      <c r="AJ248" s="89">
        <v>46576</v>
      </c>
      <c r="AK248" s="48">
        <f ca="1">IF(Table2[[#This Row],[تاريخ انتهاء ال GPS]]="","",IFERROR(_xlfn.DAYS(Table2[[#This Row],[تاريخ انتهاء ال GPS]],TODAY()),""))</f>
        <v>316</v>
      </c>
      <c r="AL248" s="49" t="s">
        <v>991</v>
      </c>
      <c r="AM248" s="50">
        <v>46591</v>
      </c>
      <c r="AN248" s="51">
        <f ca="1">IF(Table2[[#This Row],[تاريخ انتهاء بطاقة التشغيل]]="","",IFERROR(_xlfn.DAYS(Table2[[#This Row],[تاريخ انتهاء بطاقة التشغيل]],TODAY()),""))</f>
        <v>331</v>
      </c>
      <c r="AO248" s="80">
        <v>46909</v>
      </c>
      <c r="AP248" s="52">
        <f>Table2[[#This Row],[تاريخ انتهاء رخصة السير هجري]]</f>
        <v>46909</v>
      </c>
      <c r="AQ248" s="53">
        <f ca="1">IF(Table2[[#This Row],[تاريخ انتهاء رخصة السير ميلادي]]="","",IFERROR(_xlfn.DAYS(Table2[[#This Row],[تاريخ انتهاء رخصة السير ميلادي]],TODAY()),""))</f>
        <v>649</v>
      </c>
      <c r="AR248" s="55">
        <v>46191</v>
      </c>
      <c r="AS248" s="56">
        <f>Table2[[#This Row],[تاريخ انتهاء الفحص هجري]]</f>
        <v>46191</v>
      </c>
      <c r="AT248" s="106">
        <f ca="1">IF(Table2[[#This Row],[تاريخ انتهاء الفحص ميلادي]]="","",IFERROR(_xlfn.DAYS(Table2[[#This Row],[تاريخ انتهاء الفحص ميلادي]],TODAY()),""))</f>
        <v>-69</v>
      </c>
      <c r="AU248" s="54"/>
      <c r="AV248" s="1"/>
      <c r="BE248" s="3"/>
      <c r="BH248" s="1"/>
    </row>
    <row r="249" spans="1:60" x14ac:dyDescent="0.3">
      <c r="A249" s="39" t="s">
        <v>450</v>
      </c>
      <c r="B249" s="39" t="s">
        <v>450</v>
      </c>
      <c r="C249" s="39" t="s">
        <v>1187</v>
      </c>
      <c r="D249" s="39" t="s">
        <v>510</v>
      </c>
      <c r="E249" s="39" t="s">
        <v>820</v>
      </c>
      <c r="F249" s="40">
        <v>4031310161</v>
      </c>
      <c r="G249" s="41" t="s">
        <v>562</v>
      </c>
      <c r="H249" s="39" t="s">
        <v>563</v>
      </c>
      <c r="I249" s="58">
        <v>507451220</v>
      </c>
      <c r="J249" s="39" t="s">
        <v>424</v>
      </c>
      <c r="K249" s="39" t="s">
        <v>523</v>
      </c>
      <c r="L249" s="39" t="s">
        <v>524</v>
      </c>
      <c r="M249" s="39">
        <v>2021</v>
      </c>
      <c r="N249" s="39" t="s">
        <v>427</v>
      </c>
      <c r="O249" s="39" t="s">
        <v>1961</v>
      </c>
      <c r="P249" s="58">
        <v>2571017389</v>
      </c>
      <c r="Q249" s="39" t="s">
        <v>1764</v>
      </c>
      <c r="R249" s="124">
        <v>46231</v>
      </c>
      <c r="S249" s="124">
        <v>46387</v>
      </c>
      <c r="T249" s="58">
        <f ca="1">IF(Table2[[#This Row],[تاريخ نهاية التفويض]]="","",IFERROR(_xlfn.DAYS(Table2[[#This Row],[تاريخ نهاية التفويض]],TODAY()),""))</f>
        <v>127</v>
      </c>
      <c r="U249" s="42" t="s">
        <v>564</v>
      </c>
      <c r="V249" s="43">
        <v>46463</v>
      </c>
      <c r="W249" s="44">
        <f ca="1">IF(Table2[[#This Row],[تاريخ انتهاء التأمين]]="","",IFERROR(_xlfn.DAYS(Table2[[#This Row],[تاريخ انتهاء التأمين]],TODAY()),""))</f>
        <v>203</v>
      </c>
      <c r="X249" s="42" t="s">
        <v>509</v>
      </c>
      <c r="Y249" s="42" t="s">
        <v>431</v>
      </c>
      <c r="Z249" s="45">
        <v>3660</v>
      </c>
      <c r="AA249" s="46">
        <v>860161</v>
      </c>
      <c r="AB249" s="46" t="s">
        <v>1234</v>
      </c>
      <c r="AC249" s="46" t="s">
        <v>861</v>
      </c>
      <c r="AD249" s="46" t="s">
        <v>939</v>
      </c>
      <c r="AE249" s="47">
        <v>13000</v>
      </c>
      <c r="AF249" s="48" t="s">
        <v>1145</v>
      </c>
      <c r="AG249" s="48" t="s">
        <v>861</v>
      </c>
      <c r="AH249" s="48" t="s">
        <v>1144</v>
      </c>
      <c r="AI249" s="90">
        <v>863514052587462</v>
      </c>
      <c r="AJ249" s="89">
        <v>46576</v>
      </c>
      <c r="AK249" s="48">
        <f ca="1">IF(Table2[[#This Row],[تاريخ انتهاء ال GPS]]="","",IFERROR(_xlfn.DAYS(Table2[[#This Row],[تاريخ انتهاء ال GPS]],TODAY()),""))</f>
        <v>316</v>
      </c>
      <c r="AL249" s="49" t="s">
        <v>977</v>
      </c>
      <c r="AM249" s="50">
        <v>46615</v>
      </c>
      <c r="AN249" s="51">
        <f ca="1">IF(Table2[[#This Row],[تاريخ انتهاء بطاقة التشغيل]]="","",IFERROR(_xlfn.DAYS(Table2[[#This Row],[تاريخ انتهاء بطاقة التشغيل]],TODAY()),""))</f>
        <v>355</v>
      </c>
      <c r="AO249" s="80">
        <v>46940</v>
      </c>
      <c r="AP249" s="52">
        <f>Table2[[#This Row],[تاريخ انتهاء رخصة السير هجري]]</f>
        <v>46940</v>
      </c>
      <c r="AQ249" s="53">
        <f ca="1">IF(Table2[[#This Row],[تاريخ انتهاء رخصة السير ميلادي]]="","",IFERROR(_xlfn.DAYS(Table2[[#This Row],[تاريخ انتهاء رخصة السير ميلادي]],TODAY()),""))</f>
        <v>680</v>
      </c>
      <c r="AR249" s="55">
        <v>46229</v>
      </c>
      <c r="AS249" s="56">
        <f>Table2[[#This Row],[تاريخ انتهاء الفحص هجري]]</f>
        <v>46229</v>
      </c>
      <c r="AT249" s="106">
        <f ca="1">IF(Table2[[#This Row],[تاريخ انتهاء الفحص ميلادي]]="","",IFERROR(_xlfn.DAYS(Table2[[#This Row],[تاريخ انتهاء الفحص ميلادي]],TODAY()),""))</f>
        <v>-31</v>
      </c>
      <c r="AU249" s="54"/>
      <c r="AV249" s="1"/>
      <c r="BE249" s="3"/>
      <c r="BH249" s="1"/>
    </row>
    <row r="250" spans="1:60" x14ac:dyDescent="0.3">
      <c r="A250" s="39" t="s">
        <v>450</v>
      </c>
      <c r="B250" s="39" t="s">
        <v>450</v>
      </c>
      <c r="C250" s="39" t="s">
        <v>1187</v>
      </c>
      <c r="D250" s="39" t="s">
        <v>510</v>
      </c>
      <c r="E250" s="39" t="s">
        <v>820</v>
      </c>
      <c r="F250" s="40">
        <v>4031310161</v>
      </c>
      <c r="G250" s="41" t="s">
        <v>565</v>
      </c>
      <c r="H250" s="39" t="s">
        <v>566</v>
      </c>
      <c r="I250" s="58">
        <v>515850220</v>
      </c>
      <c r="J250" s="39" t="s">
        <v>424</v>
      </c>
      <c r="K250" s="39" t="s">
        <v>523</v>
      </c>
      <c r="L250" s="39" t="s">
        <v>524</v>
      </c>
      <c r="M250" s="39">
        <v>2022</v>
      </c>
      <c r="N250" s="39" t="s">
        <v>64</v>
      </c>
      <c r="O250" s="39" t="s">
        <v>1962</v>
      </c>
      <c r="P250" s="58">
        <v>2516526031</v>
      </c>
      <c r="Q250" s="39" t="s">
        <v>1765</v>
      </c>
      <c r="R250" s="124">
        <v>46204</v>
      </c>
      <c r="S250" s="124">
        <v>46387</v>
      </c>
      <c r="T250" s="58">
        <f ca="1">IF(Table2[[#This Row],[تاريخ نهاية التفويض]]="","",IFERROR(_xlfn.DAYS(Table2[[#This Row],[تاريخ نهاية التفويض]],TODAY()),""))</f>
        <v>127</v>
      </c>
      <c r="U250" s="42" t="s">
        <v>567</v>
      </c>
      <c r="V250" s="43">
        <v>46463</v>
      </c>
      <c r="W250" s="44">
        <f ca="1">IF(Table2[[#This Row],[تاريخ انتهاء التأمين]]="","",IFERROR(_xlfn.DAYS(Table2[[#This Row],[تاريخ انتهاء التأمين]],TODAY()),""))</f>
        <v>203</v>
      </c>
      <c r="X250" s="42" t="s">
        <v>509</v>
      </c>
      <c r="Y250" s="42" t="s">
        <v>431</v>
      </c>
      <c r="Z250" s="45">
        <v>3660</v>
      </c>
      <c r="AA250" s="46">
        <v>860151</v>
      </c>
      <c r="AB250" s="46" t="s">
        <v>1235</v>
      </c>
      <c r="AC250" s="46" t="s">
        <v>861</v>
      </c>
      <c r="AD250" s="46" t="s">
        <v>939</v>
      </c>
      <c r="AE250" s="47">
        <v>13000</v>
      </c>
      <c r="AF250" s="48" t="s">
        <v>1145</v>
      </c>
      <c r="AG250" s="48" t="s">
        <v>861</v>
      </c>
      <c r="AH250" s="48" t="s">
        <v>1144</v>
      </c>
      <c r="AI250" s="90">
        <v>863514052738909</v>
      </c>
      <c r="AJ250" s="89">
        <v>46576</v>
      </c>
      <c r="AK250" s="48">
        <f ca="1">IF(Table2[[#This Row],[تاريخ انتهاء ال GPS]]="","",IFERROR(_xlfn.DAYS(Table2[[#This Row],[تاريخ انتهاء ال GPS]],TODAY()),""))</f>
        <v>316</v>
      </c>
      <c r="AL250" s="49" t="s">
        <v>987</v>
      </c>
      <c r="AM250" s="50">
        <v>46591</v>
      </c>
      <c r="AN250" s="51">
        <f ca="1">IF(Table2[[#This Row],[تاريخ انتهاء بطاقة التشغيل]]="","",IFERROR(_xlfn.DAYS(Table2[[#This Row],[تاريخ انتهاء بطاقة التشغيل]],TODAY()),""))</f>
        <v>331</v>
      </c>
      <c r="AO250" s="80">
        <v>46909</v>
      </c>
      <c r="AP250" s="52">
        <f>Table2[[#This Row],[تاريخ انتهاء رخصة السير هجري]]</f>
        <v>46909</v>
      </c>
      <c r="AQ250" s="53">
        <f ca="1">IF(Table2[[#This Row],[تاريخ انتهاء رخصة السير ميلادي]]="","",IFERROR(_xlfn.DAYS(Table2[[#This Row],[تاريخ انتهاء رخصة السير ميلادي]],TODAY()),""))</f>
        <v>649</v>
      </c>
      <c r="AR250" s="55">
        <v>46171</v>
      </c>
      <c r="AS250" s="56">
        <f>Table2[[#This Row],[تاريخ انتهاء الفحص هجري]]</f>
        <v>46171</v>
      </c>
      <c r="AT250" s="106">
        <f ca="1">IF(Table2[[#This Row],[تاريخ انتهاء الفحص ميلادي]]="","",IFERROR(_xlfn.DAYS(Table2[[#This Row],[تاريخ انتهاء الفحص ميلادي]],TODAY()),""))</f>
        <v>-89</v>
      </c>
      <c r="AU250" s="54"/>
      <c r="AV250" s="1"/>
      <c r="BE250" s="3"/>
      <c r="BH250" s="1"/>
    </row>
    <row r="251" spans="1:60" x14ac:dyDescent="0.3">
      <c r="A251" s="39" t="s">
        <v>450</v>
      </c>
      <c r="B251" s="39" t="s">
        <v>450</v>
      </c>
      <c r="C251" s="39" t="s">
        <v>1187</v>
      </c>
      <c r="D251" s="39" t="s">
        <v>510</v>
      </c>
      <c r="E251" s="39" t="s">
        <v>820</v>
      </c>
      <c r="F251" s="40">
        <v>4031310161</v>
      </c>
      <c r="G251" s="41" t="s">
        <v>568</v>
      </c>
      <c r="H251" s="39" t="s">
        <v>569</v>
      </c>
      <c r="I251" s="58">
        <v>555850220</v>
      </c>
      <c r="J251" s="39" t="s">
        <v>424</v>
      </c>
      <c r="K251" s="39" t="s">
        <v>523</v>
      </c>
      <c r="L251" s="39" t="s">
        <v>524</v>
      </c>
      <c r="M251" s="39">
        <v>2021</v>
      </c>
      <c r="N251" s="39" t="s">
        <v>427</v>
      </c>
      <c r="O251" s="39" t="s">
        <v>1963</v>
      </c>
      <c r="P251" s="58">
        <v>2313229391</v>
      </c>
      <c r="Q251" s="39" t="s">
        <v>1766</v>
      </c>
      <c r="R251" s="124">
        <v>46184</v>
      </c>
      <c r="S251" s="124">
        <v>46387</v>
      </c>
      <c r="T251" s="58">
        <f ca="1">IF(Table2[[#This Row],[تاريخ نهاية التفويض]]="","",IFERROR(_xlfn.DAYS(Table2[[#This Row],[تاريخ نهاية التفويض]],TODAY()),""))</f>
        <v>127</v>
      </c>
      <c r="U251" s="42" t="s">
        <v>570</v>
      </c>
      <c r="V251" s="43">
        <v>46463</v>
      </c>
      <c r="W251" s="44">
        <f ca="1">IF(Table2[[#This Row],[تاريخ انتهاء التأمين]]="","",IFERROR(_xlfn.DAYS(Table2[[#This Row],[تاريخ انتهاء التأمين]],TODAY()),""))</f>
        <v>203</v>
      </c>
      <c r="X251" s="42" t="s">
        <v>509</v>
      </c>
      <c r="Y251" s="42" t="s">
        <v>431</v>
      </c>
      <c r="Z251" s="45">
        <v>3660</v>
      </c>
      <c r="AA251" s="46">
        <v>859975</v>
      </c>
      <c r="AB251" s="46" t="s">
        <v>1236</v>
      </c>
      <c r="AC251" s="46" t="s">
        <v>861</v>
      </c>
      <c r="AD251" s="46" t="s">
        <v>939</v>
      </c>
      <c r="AE251" s="47">
        <v>13000</v>
      </c>
      <c r="AF251" s="48" t="s">
        <v>1145</v>
      </c>
      <c r="AG251" s="48" t="s">
        <v>861</v>
      </c>
      <c r="AH251" s="48" t="s">
        <v>1144</v>
      </c>
      <c r="AI251" s="90">
        <v>863514052584451</v>
      </c>
      <c r="AJ251" s="89">
        <v>46576</v>
      </c>
      <c r="AK251" s="48">
        <f ca="1">IF(Table2[[#This Row],[تاريخ انتهاء ال GPS]]="","",IFERROR(_xlfn.DAYS(Table2[[#This Row],[تاريخ انتهاء ال GPS]],TODAY()),""))</f>
        <v>316</v>
      </c>
      <c r="AL251" s="49" t="s">
        <v>994</v>
      </c>
      <c r="AM251" s="50">
        <v>46591</v>
      </c>
      <c r="AN251" s="51">
        <f ca="1">IF(Table2[[#This Row],[تاريخ انتهاء بطاقة التشغيل]]="","",IFERROR(_xlfn.DAYS(Table2[[#This Row],[تاريخ انتهاء بطاقة التشغيل]],TODAY()),""))</f>
        <v>331</v>
      </c>
      <c r="AO251" s="80">
        <v>46909</v>
      </c>
      <c r="AP251" s="52">
        <f>Table2[[#This Row],[تاريخ انتهاء رخصة السير هجري]]</f>
        <v>46909</v>
      </c>
      <c r="AQ251" s="53">
        <f ca="1">IF(Table2[[#This Row],[تاريخ انتهاء رخصة السير ميلادي]]="","",IFERROR(_xlfn.DAYS(Table2[[#This Row],[تاريخ انتهاء رخصة السير ميلادي]],TODAY()),""))</f>
        <v>649</v>
      </c>
      <c r="AR251" s="55">
        <v>46191</v>
      </c>
      <c r="AS251" s="56">
        <f>Table2[[#This Row],[تاريخ انتهاء الفحص هجري]]</f>
        <v>46191</v>
      </c>
      <c r="AT251" s="106">
        <f ca="1">IF(Table2[[#This Row],[تاريخ انتهاء الفحص ميلادي]]="","",IFERROR(_xlfn.DAYS(Table2[[#This Row],[تاريخ انتهاء الفحص ميلادي]],TODAY()),""))</f>
        <v>-69</v>
      </c>
      <c r="AU251" s="54"/>
      <c r="AV251" s="1"/>
      <c r="BE251" s="3"/>
      <c r="BH251" s="1"/>
    </row>
    <row r="252" spans="1:60" x14ac:dyDescent="0.3">
      <c r="A252" s="39" t="s">
        <v>450</v>
      </c>
      <c r="B252" s="39" t="s">
        <v>450</v>
      </c>
      <c r="C252" s="39" t="s">
        <v>1187</v>
      </c>
      <c r="D252" s="39" t="s">
        <v>510</v>
      </c>
      <c r="E252" s="39" t="s">
        <v>820</v>
      </c>
      <c r="F252" s="40">
        <v>4031310161</v>
      </c>
      <c r="G252" s="41" t="s">
        <v>571</v>
      </c>
      <c r="H252" s="39" t="s">
        <v>572</v>
      </c>
      <c r="I252" s="58">
        <v>607451220</v>
      </c>
      <c r="J252" s="39" t="s">
        <v>424</v>
      </c>
      <c r="K252" s="39" t="s">
        <v>523</v>
      </c>
      <c r="L252" s="39" t="s">
        <v>524</v>
      </c>
      <c r="M252" s="39">
        <v>2021</v>
      </c>
      <c r="N252" s="39" t="s">
        <v>427</v>
      </c>
      <c r="O252" s="39" t="s">
        <v>1964</v>
      </c>
      <c r="P252" s="58">
        <v>2404248755</v>
      </c>
      <c r="Q252" s="39" t="s">
        <v>1767</v>
      </c>
      <c r="R252" s="124">
        <v>46204</v>
      </c>
      <c r="S252" s="124">
        <v>46327</v>
      </c>
      <c r="T252" s="58">
        <f ca="1">IF(Table2[[#This Row],[تاريخ نهاية التفويض]]="","",IFERROR(_xlfn.DAYS(Table2[[#This Row],[تاريخ نهاية التفويض]],TODAY()),""))</f>
        <v>67</v>
      </c>
      <c r="U252" s="42" t="s">
        <v>573</v>
      </c>
      <c r="V252" s="43">
        <v>46463</v>
      </c>
      <c r="W252" s="44">
        <f ca="1">IF(Table2[[#This Row],[تاريخ انتهاء التأمين]]="","",IFERROR(_xlfn.DAYS(Table2[[#This Row],[تاريخ انتهاء التأمين]],TODAY()),""))</f>
        <v>203</v>
      </c>
      <c r="X252" s="42" t="s">
        <v>509</v>
      </c>
      <c r="Y252" s="42" t="s">
        <v>431</v>
      </c>
      <c r="Z252" s="45">
        <v>3660</v>
      </c>
      <c r="AA252" s="46">
        <v>860166</v>
      </c>
      <c r="AB252" s="46" t="s">
        <v>1237</v>
      </c>
      <c r="AC252" s="46" t="s">
        <v>861</v>
      </c>
      <c r="AD252" s="46" t="s">
        <v>939</v>
      </c>
      <c r="AE252" s="47">
        <v>13000</v>
      </c>
      <c r="AF252" s="48" t="s">
        <v>1145</v>
      </c>
      <c r="AG252" s="48" t="s">
        <v>861</v>
      </c>
      <c r="AH252" s="48" t="s">
        <v>1144</v>
      </c>
      <c r="AI252" s="90">
        <v>863514053232100</v>
      </c>
      <c r="AJ252" s="89">
        <v>46576</v>
      </c>
      <c r="AK252" s="48">
        <f ca="1">IF(Table2[[#This Row],[تاريخ انتهاء ال GPS]]="","",IFERROR(_xlfn.DAYS(Table2[[#This Row],[تاريخ انتهاء ال GPS]],TODAY()),""))</f>
        <v>316</v>
      </c>
      <c r="AL252" s="49" t="s">
        <v>978</v>
      </c>
      <c r="AM252" s="50">
        <v>46615</v>
      </c>
      <c r="AN252" s="51">
        <f ca="1">IF(Table2[[#This Row],[تاريخ انتهاء بطاقة التشغيل]]="","",IFERROR(_xlfn.DAYS(Table2[[#This Row],[تاريخ انتهاء بطاقة التشغيل]],TODAY()),""))</f>
        <v>355</v>
      </c>
      <c r="AO252" s="80">
        <v>46940</v>
      </c>
      <c r="AP252" s="52">
        <f>Table2[[#This Row],[تاريخ انتهاء رخصة السير هجري]]</f>
        <v>46940</v>
      </c>
      <c r="AQ252" s="53">
        <f ca="1">IF(Table2[[#This Row],[تاريخ انتهاء رخصة السير ميلادي]]="","",IFERROR(_xlfn.DAYS(Table2[[#This Row],[تاريخ انتهاء رخصة السير ميلادي]],TODAY()),""))</f>
        <v>680</v>
      </c>
      <c r="AR252" s="55">
        <v>46229</v>
      </c>
      <c r="AS252" s="56">
        <f>Table2[[#This Row],[تاريخ انتهاء الفحص هجري]]</f>
        <v>46229</v>
      </c>
      <c r="AT252" s="106">
        <f ca="1">IF(Table2[[#This Row],[تاريخ انتهاء الفحص ميلادي]]="","",IFERROR(_xlfn.DAYS(Table2[[#This Row],[تاريخ انتهاء الفحص ميلادي]],TODAY()),""))</f>
        <v>-31</v>
      </c>
      <c r="AU252" s="54"/>
      <c r="AV252" s="1"/>
      <c r="BE252" s="3"/>
      <c r="BH252" s="1"/>
    </row>
    <row r="253" spans="1:60" x14ac:dyDescent="0.3">
      <c r="A253" s="39" t="s">
        <v>450</v>
      </c>
      <c r="B253" s="39" t="s">
        <v>450</v>
      </c>
      <c r="C253" s="39" t="s">
        <v>1187</v>
      </c>
      <c r="D253" s="39" t="s">
        <v>510</v>
      </c>
      <c r="E253" s="39" t="s">
        <v>820</v>
      </c>
      <c r="F253" s="40">
        <v>4031310161</v>
      </c>
      <c r="G253" s="41" t="s">
        <v>574</v>
      </c>
      <c r="H253" s="39" t="s">
        <v>575</v>
      </c>
      <c r="I253" s="58">
        <v>696451220</v>
      </c>
      <c r="J253" s="39" t="s">
        <v>424</v>
      </c>
      <c r="K253" s="39" t="s">
        <v>523</v>
      </c>
      <c r="L253" s="39" t="s">
        <v>524</v>
      </c>
      <c r="M253" s="39">
        <v>2021</v>
      </c>
      <c r="N253" s="39" t="s">
        <v>427</v>
      </c>
      <c r="O253" s="39" t="s">
        <v>1949</v>
      </c>
      <c r="P253" s="58">
        <v>2608472185</v>
      </c>
      <c r="Q253" s="39" t="s">
        <v>1768</v>
      </c>
      <c r="R253" s="124">
        <v>46258</v>
      </c>
      <c r="S253" s="124">
        <v>46387</v>
      </c>
      <c r="T253" s="58">
        <f ca="1">IF(Table2[[#This Row],[تاريخ نهاية التفويض]]="","",IFERROR(_xlfn.DAYS(Table2[[#This Row],[تاريخ نهاية التفويض]],TODAY()),""))</f>
        <v>127</v>
      </c>
      <c r="U253" s="42" t="s">
        <v>576</v>
      </c>
      <c r="V253" s="43">
        <v>46463</v>
      </c>
      <c r="W253" s="44">
        <f ca="1">IF(Table2[[#This Row],[تاريخ انتهاء التأمين]]="","",IFERROR(_xlfn.DAYS(Table2[[#This Row],[تاريخ انتهاء التأمين]],TODAY()),""))</f>
        <v>203</v>
      </c>
      <c r="X253" s="42" t="s">
        <v>509</v>
      </c>
      <c r="Y253" s="42" t="s">
        <v>431</v>
      </c>
      <c r="Z253" s="45">
        <v>3660</v>
      </c>
      <c r="AA253" s="46">
        <v>860157</v>
      </c>
      <c r="AB253" s="46" t="s">
        <v>1238</v>
      </c>
      <c r="AC253" s="46" t="s">
        <v>861</v>
      </c>
      <c r="AD253" s="46" t="s">
        <v>939</v>
      </c>
      <c r="AE253" s="47">
        <v>13000</v>
      </c>
      <c r="AF253" s="48" t="s">
        <v>1145</v>
      </c>
      <c r="AG253" s="48" t="s">
        <v>861</v>
      </c>
      <c r="AH253" s="48" t="s">
        <v>1144</v>
      </c>
      <c r="AI253" s="90">
        <v>863514053189334</v>
      </c>
      <c r="AJ253" s="89">
        <v>46576</v>
      </c>
      <c r="AK253" s="48">
        <f ca="1">IF(Table2[[#This Row],[تاريخ انتهاء ال GPS]]="","",IFERROR(_xlfn.DAYS(Table2[[#This Row],[تاريخ انتهاء ال GPS]],TODAY()),""))</f>
        <v>316</v>
      </c>
      <c r="AL253" s="49" t="s">
        <v>975</v>
      </c>
      <c r="AM253" s="50">
        <v>46615</v>
      </c>
      <c r="AN253" s="51">
        <f ca="1">IF(Table2[[#This Row],[تاريخ انتهاء بطاقة التشغيل]]="","",IFERROR(_xlfn.DAYS(Table2[[#This Row],[تاريخ انتهاء بطاقة التشغيل]],TODAY()),""))</f>
        <v>355</v>
      </c>
      <c r="AO253" s="80">
        <v>46940</v>
      </c>
      <c r="AP253" s="52">
        <f>Table2[[#This Row],[تاريخ انتهاء رخصة السير هجري]]</f>
        <v>46940</v>
      </c>
      <c r="AQ253" s="53">
        <f ca="1">IF(Table2[[#This Row],[تاريخ انتهاء رخصة السير ميلادي]]="","",IFERROR(_xlfn.DAYS(Table2[[#This Row],[تاريخ انتهاء رخصة السير ميلادي]],TODAY()),""))</f>
        <v>680</v>
      </c>
      <c r="AR253" s="55">
        <v>46230</v>
      </c>
      <c r="AS253" s="56">
        <f>Table2[[#This Row],[تاريخ انتهاء الفحص هجري]]</f>
        <v>46230</v>
      </c>
      <c r="AT253" s="106">
        <f ca="1">IF(Table2[[#This Row],[تاريخ انتهاء الفحص ميلادي]]="","",IFERROR(_xlfn.DAYS(Table2[[#This Row],[تاريخ انتهاء الفحص ميلادي]],TODAY()),""))</f>
        <v>-30</v>
      </c>
      <c r="AU253" s="54"/>
      <c r="AV253" s="1"/>
      <c r="BE253" s="3"/>
      <c r="BH253" s="1"/>
    </row>
    <row r="254" spans="1:60" x14ac:dyDescent="0.3">
      <c r="A254" s="39" t="s">
        <v>450</v>
      </c>
      <c r="B254" s="39" t="s">
        <v>450</v>
      </c>
      <c r="C254" s="39" t="s">
        <v>1187</v>
      </c>
      <c r="D254" s="39" t="s">
        <v>510</v>
      </c>
      <c r="E254" s="39" t="s">
        <v>820</v>
      </c>
      <c r="F254" s="40">
        <v>4031310161</v>
      </c>
      <c r="G254" s="41" t="s">
        <v>577</v>
      </c>
      <c r="H254" s="39" t="s">
        <v>578</v>
      </c>
      <c r="I254" s="58">
        <v>709408120</v>
      </c>
      <c r="J254" s="39" t="s">
        <v>424</v>
      </c>
      <c r="K254" s="39" t="s">
        <v>476</v>
      </c>
      <c r="L254" s="39" t="s">
        <v>477</v>
      </c>
      <c r="M254" s="39">
        <v>2025</v>
      </c>
      <c r="N254" s="39" t="s">
        <v>427</v>
      </c>
      <c r="O254" s="39" t="s">
        <v>1965</v>
      </c>
      <c r="P254" s="58">
        <v>2546691888</v>
      </c>
      <c r="Q254" s="39" t="s">
        <v>1769</v>
      </c>
      <c r="R254" s="124">
        <v>46006</v>
      </c>
      <c r="S254" s="124">
        <v>46327</v>
      </c>
      <c r="T254" s="58">
        <f ca="1">IF(Table2[[#This Row],[تاريخ نهاية التفويض]]="","",IFERROR(_xlfn.DAYS(Table2[[#This Row],[تاريخ نهاية التفويض]],TODAY()),""))</f>
        <v>67</v>
      </c>
      <c r="U254" s="42" t="s">
        <v>579</v>
      </c>
      <c r="V254" s="43">
        <v>46463</v>
      </c>
      <c r="W254" s="44">
        <f ca="1">IF(Table2[[#This Row],[تاريخ انتهاء التأمين]]="","",IFERROR(_xlfn.DAYS(Table2[[#This Row],[تاريخ انتهاء التأمين]],TODAY()),""))</f>
        <v>203</v>
      </c>
      <c r="X254" s="42" t="s">
        <v>509</v>
      </c>
      <c r="Y254" s="42" t="s">
        <v>431</v>
      </c>
      <c r="Z254" s="45">
        <v>3230</v>
      </c>
      <c r="AA254" s="46">
        <v>806642</v>
      </c>
      <c r="AB254" s="46" t="s">
        <v>1239</v>
      </c>
      <c r="AC254" s="46" t="s">
        <v>861</v>
      </c>
      <c r="AD254" s="46" t="s">
        <v>939</v>
      </c>
      <c r="AE254" s="47">
        <v>13000</v>
      </c>
      <c r="AF254" s="48" t="s">
        <v>1145</v>
      </c>
      <c r="AG254" s="48" t="s">
        <v>861</v>
      </c>
      <c r="AH254" s="48" t="s">
        <v>1144</v>
      </c>
      <c r="AI254" s="90">
        <v>863514053223794</v>
      </c>
      <c r="AJ254" s="89">
        <v>46576</v>
      </c>
      <c r="AK254" s="48">
        <f ca="1">IF(Table2[[#This Row],[تاريخ انتهاء ال GPS]]="","",IFERROR(_xlfn.DAYS(Table2[[#This Row],[تاريخ انتهاء ال GPS]],TODAY()),""))</f>
        <v>316</v>
      </c>
      <c r="AL254" s="49" t="s">
        <v>984</v>
      </c>
      <c r="AM254" s="50">
        <v>46521</v>
      </c>
      <c r="AN254" s="51">
        <f ca="1">IF(Table2[[#This Row],[تاريخ انتهاء بطاقة التشغيل]]="","",IFERROR(_xlfn.DAYS(Table2[[#This Row],[تاريخ انتهاء بطاقة التشغيل]],TODAY()),""))</f>
        <v>261</v>
      </c>
      <c r="AO254" s="80">
        <v>46817</v>
      </c>
      <c r="AP254" s="52">
        <f>Table2[[#This Row],[تاريخ انتهاء رخصة السير هجري]]</f>
        <v>46817</v>
      </c>
      <c r="AQ254" s="53">
        <f ca="1">IF(Table2[[#This Row],[تاريخ انتهاء رخصة السير ميلادي]]="","",IFERROR(_xlfn.DAYS(Table2[[#This Row],[تاريخ انتهاء رخصة السير ميلادي]],TODAY()),""))</f>
        <v>557</v>
      </c>
      <c r="AR254" s="55">
        <f>Table2[[#This Row],[تاريخ انتهاء الفحص ميلادي]]</f>
        <v>46387</v>
      </c>
      <c r="AS254" s="56">
        <v>46387</v>
      </c>
      <c r="AT254" s="106">
        <f ca="1">IF(Table2[[#This Row],[تاريخ انتهاء الفحص ميلادي]]="","",IFERROR(_xlfn.DAYS(Table2[[#This Row],[تاريخ انتهاء الفحص ميلادي]],TODAY()),""))</f>
        <v>127</v>
      </c>
      <c r="AU254" s="54"/>
      <c r="AV254" s="1"/>
      <c r="BE254" s="3"/>
      <c r="BH254" s="1"/>
    </row>
    <row r="255" spans="1:60" x14ac:dyDescent="0.3">
      <c r="A255" s="39" t="s">
        <v>450</v>
      </c>
      <c r="B255" s="39" t="s">
        <v>450</v>
      </c>
      <c r="C255" s="39" t="s">
        <v>1187</v>
      </c>
      <c r="D255" s="39" t="s">
        <v>510</v>
      </c>
      <c r="E255" s="39" t="s">
        <v>820</v>
      </c>
      <c r="F255" s="40">
        <v>4031310161</v>
      </c>
      <c r="G255" s="41" t="s">
        <v>580</v>
      </c>
      <c r="H255" s="39" t="s">
        <v>581</v>
      </c>
      <c r="I255" s="58">
        <v>713260220</v>
      </c>
      <c r="J255" s="39" t="s">
        <v>424</v>
      </c>
      <c r="K255" s="39" t="s">
        <v>523</v>
      </c>
      <c r="L255" s="39" t="s">
        <v>524</v>
      </c>
      <c r="M255" s="39">
        <v>2021</v>
      </c>
      <c r="N255" s="39" t="s">
        <v>427</v>
      </c>
      <c r="O255" s="39" t="s">
        <v>1966</v>
      </c>
      <c r="P255" s="58">
        <v>2559186958</v>
      </c>
      <c r="Q255" s="39" t="s">
        <v>1770</v>
      </c>
      <c r="R255" s="124">
        <v>46209</v>
      </c>
      <c r="S255" s="124">
        <v>46387</v>
      </c>
      <c r="T255" s="58">
        <f ca="1">IF(Table2[[#This Row],[تاريخ نهاية التفويض]]="","",IFERROR(_xlfn.DAYS(Table2[[#This Row],[تاريخ نهاية التفويض]],TODAY()),""))</f>
        <v>127</v>
      </c>
      <c r="U255" s="42" t="s">
        <v>582</v>
      </c>
      <c r="V255" s="43">
        <v>46463</v>
      </c>
      <c r="W255" s="44">
        <f ca="1">IF(Table2[[#This Row],[تاريخ انتهاء التأمين]]="","",IFERROR(_xlfn.DAYS(Table2[[#This Row],[تاريخ انتهاء التأمين]],TODAY()),""))</f>
        <v>203</v>
      </c>
      <c r="X255" s="42" t="s">
        <v>509</v>
      </c>
      <c r="Y255" s="42" t="s">
        <v>431</v>
      </c>
      <c r="Z255" s="45">
        <v>3660</v>
      </c>
      <c r="AA255" s="46">
        <v>859988</v>
      </c>
      <c r="AB255" s="46" t="s">
        <v>1240</v>
      </c>
      <c r="AC255" s="46" t="s">
        <v>861</v>
      </c>
      <c r="AD255" s="46" t="s">
        <v>939</v>
      </c>
      <c r="AE255" s="47">
        <v>13000</v>
      </c>
      <c r="AF255" s="48" t="s">
        <v>1145</v>
      </c>
      <c r="AG255" s="48" t="s">
        <v>861</v>
      </c>
      <c r="AH255" s="48" t="s">
        <v>1144</v>
      </c>
      <c r="AI255" s="90">
        <v>863514052587579</v>
      </c>
      <c r="AJ255" s="89">
        <v>46576</v>
      </c>
      <c r="AK255" s="48">
        <f ca="1">IF(Table2[[#This Row],[تاريخ انتهاء ال GPS]]="","",IFERROR(_xlfn.DAYS(Table2[[#This Row],[تاريخ انتهاء ال GPS]],TODAY()),""))</f>
        <v>316</v>
      </c>
      <c r="AL255" s="49" t="s">
        <v>996</v>
      </c>
      <c r="AM255" s="50">
        <v>46592</v>
      </c>
      <c r="AN255" s="51">
        <f ca="1">IF(Table2[[#This Row],[تاريخ انتهاء بطاقة التشغيل]]="","",IFERROR(_xlfn.DAYS(Table2[[#This Row],[تاريخ انتهاء بطاقة التشغيل]],TODAY()),""))</f>
        <v>332</v>
      </c>
      <c r="AO255" s="80">
        <v>46910</v>
      </c>
      <c r="AP255" s="52">
        <f>Table2[[#This Row],[تاريخ انتهاء رخصة السير هجري]]</f>
        <v>46910</v>
      </c>
      <c r="AQ255" s="53">
        <f ca="1">IF(Table2[[#This Row],[تاريخ انتهاء رخصة السير ميلادي]]="","",IFERROR(_xlfn.DAYS(Table2[[#This Row],[تاريخ انتهاء رخصة السير ميلادي]],TODAY()),""))</f>
        <v>650</v>
      </c>
      <c r="AR255" s="55">
        <v>46194</v>
      </c>
      <c r="AS255" s="56">
        <f>Table2[[#This Row],[تاريخ انتهاء الفحص هجري]]</f>
        <v>46194</v>
      </c>
      <c r="AT255" s="106">
        <f ca="1">IF(Table2[[#This Row],[تاريخ انتهاء الفحص ميلادي]]="","",IFERROR(_xlfn.DAYS(Table2[[#This Row],[تاريخ انتهاء الفحص ميلادي]],TODAY()),""))</f>
        <v>-66</v>
      </c>
      <c r="AU255" s="54"/>
      <c r="AV255" s="1"/>
      <c r="BE255" s="3"/>
      <c r="BH255" s="1"/>
    </row>
    <row r="256" spans="1:60" x14ac:dyDescent="0.3">
      <c r="A256" s="39" t="s">
        <v>450</v>
      </c>
      <c r="B256" s="39" t="s">
        <v>450</v>
      </c>
      <c r="C256" s="39" t="s">
        <v>1187</v>
      </c>
      <c r="D256" s="39" t="s">
        <v>510</v>
      </c>
      <c r="E256" s="39" t="s">
        <v>820</v>
      </c>
      <c r="F256" s="40">
        <v>4031310161</v>
      </c>
      <c r="G256" s="41" t="s">
        <v>583</v>
      </c>
      <c r="H256" s="39" t="s">
        <v>584</v>
      </c>
      <c r="I256" s="58">
        <v>735850220</v>
      </c>
      <c r="J256" s="39" t="s">
        <v>424</v>
      </c>
      <c r="K256" s="39" t="s">
        <v>523</v>
      </c>
      <c r="L256" s="39" t="s">
        <v>524</v>
      </c>
      <c r="M256" s="39">
        <v>2022</v>
      </c>
      <c r="N256" s="39" t="s">
        <v>64</v>
      </c>
      <c r="O256" s="39" t="s">
        <v>1967</v>
      </c>
      <c r="P256" s="58">
        <v>2616062622</v>
      </c>
      <c r="Q256" s="39" t="s">
        <v>1771</v>
      </c>
      <c r="R256" s="124">
        <v>46205</v>
      </c>
      <c r="S256" s="124">
        <v>46387</v>
      </c>
      <c r="T256" s="58">
        <f ca="1">IF(Table2[[#This Row],[تاريخ نهاية التفويض]]="","",IFERROR(_xlfn.DAYS(Table2[[#This Row],[تاريخ نهاية التفويض]],TODAY()),""))</f>
        <v>127</v>
      </c>
      <c r="U256" s="42" t="s">
        <v>585</v>
      </c>
      <c r="V256" s="43">
        <v>46463</v>
      </c>
      <c r="W256" s="44">
        <f ca="1">IF(Table2[[#This Row],[تاريخ انتهاء التأمين]]="","",IFERROR(_xlfn.DAYS(Table2[[#This Row],[تاريخ انتهاء التأمين]],TODAY()),""))</f>
        <v>203</v>
      </c>
      <c r="X256" s="42" t="s">
        <v>509</v>
      </c>
      <c r="Y256" s="42" t="s">
        <v>431</v>
      </c>
      <c r="Z256" s="45">
        <v>3660</v>
      </c>
      <c r="AA256" s="46">
        <v>860154</v>
      </c>
      <c r="AB256" s="46" t="s">
        <v>1241</v>
      </c>
      <c r="AC256" s="46" t="s">
        <v>861</v>
      </c>
      <c r="AD256" s="46" t="s">
        <v>939</v>
      </c>
      <c r="AE256" s="47">
        <v>13000</v>
      </c>
      <c r="AF256" s="48" t="s">
        <v>1145</v>
      </c>
      <c r="AG256" s="48" t="s">
        <v>861</v>
      </c>
      <c r="AH256" s="48" t="s">
        <v>1144</v>
      </c>
      <c r="AI256" s="90">
        <v>863514052588130</v>
      </c>
      <c r="AJ256" s="89">
        <v>46576</v>
      </c>
      <c r="AK256" s="48">
        <f ca="1">IF(Table2[[#This Row],[تاريخ انتهاء ال GPS]]="","",IFERROR(_xlfn.DAYS(Table2[[#This Row],[تاريخ انتهاء ال GPS]],TODAY()),""))</f>
        <v>316</v>
      </c>
      <c r="AL256" s="49" t="s">
        <v>990</v>
      </c>
      <c r="AM256" s="50">
        <v>46592</v>
      </c>
      <c r="AN256" s="51">
        <f ca="1">IF(Table2[[#This Row],[تاريخ انتهاء بطاقة التشغيل]]="","",IFERROR(_xlfn.DAYS(Table2[[#This Row],[تاريخ انتهاء بطاقة التشغيل]],TODAY()),""))</f>
        <v>332</v>
      </c>
      <c r="AO256" s="80">
        <v>46909</v>
      </c>
      <c r="AP256" s="52">
        <f>Table2[[#This Row],[تاريخ انتهاء رخصة السير هجري]]</f>
        <v>46909</v>
      </c>
      <c r="AQ256" s="53">
        <f ca="1">IF(Table2[[#This Row],[تاريخ انتهاء رخصة السير ميلادي]]="","",IFERROR(_xlfn.DAYS(Table2[[#This Row],[تاريخ انتهاء رخصة السير ميلادي]],TODAY()),""))</f>
        <v>649</v>
      </c>
      <c r="AR256" s="55">
        <v>46168</v>
      </c>
      <c r="AS256" s="56">
        <f>Table2[[#This Row],[تاريخ انتهاء الفحص هجري]]</f>
        <v>46168</v>
      </c>
      <c r="AT256" s="106">
        <f ca="1">IF(Table2[[#This Row],[تاريخ انتهاء الفحص ميلادي]]="","",IFERROR(_xlfn.DAYS(Table2[[#This Row],[تاريخ انتهاء الفحص ميلادي]],TODAY()),""))</f>
        <v>-92</v>
      </c>
      <c r="AU256" s="54"/>
      <c r="AV256" s="1"/>
      <c r="BE256" s="3"/>
      <c r="BH256" s="1"/>
    </row>
    <row r="257" spans="1:60" x14ac:dyDescent="0.3">
      <c r="A257" s="39" t="s">
        <v>450</v>
      </c>
      <c r="B257" s="39" t="s">
        <v>450</v>
      </c>
      <c r="C257" s="39" t="s">
        <v>1187</v>
      </c>
      <c r="D257" s="39" t="s">
        <v>510</v>
      </c>
      <c r="E257" s="39" t="s">
        <v>820</v>
      </c>
      <c r="F257" s="40">
        <v>4031310161</v>
      </c>
      <c r="G257" s="41" t="s">
        <v>586</v>
      </c>
      <c r="H257" s="39" t="s">
        <v>587</v>
      </c>
      <c r="I257" s="58">
        <v>778384220</v>
      </c>
      <c r="J257" s="39" t="s">
        <v>424</v>
      </c>
      <c r="K257" s="39" t="s">
        <v>523</v>
      </c>
      <c r="L257" s="39" t="s">
        <v>528</v>
      </c>
      <c r="M257" s="39">
        <v>2021</v>
      </c>
      <c r="N257" s="39" t="s">
        <v>427</v>
      </c>
      <c r="O257" s="39" t="s">
        <v>1968</v>
      </c>
      <c r="P257" s="58">
        <v>2588080305</v>
      </c>
      <c r="Q257" s="39" t="s">
        <v>1772</v>
      </c>
      <c r="R257" s="124">
        <v>46253</v>
      </c>
      <c r="S257" s="124">
        <v>46387</v>
      </c>
      <c r="T257" s="58">
        <f ca="1">IF(Table2[[#This Row],[تاريخ نهاية التفويض]]="","",IFERROR(_xlfn.DAYS(Table2[[#This Row],[تاريخ نهاية التفويض]],TODAY()),""))</f>
        <v>127</v>
      </c>
      <c r="U257" s="42" t="s">
        <v>588</v>
      </c>
      <c r="V257" s="43">
        <v>46463</v>
      </c>
      <c r="W257" s="44">
        <f ca="1">IF(Table2[[#This Row],[تاريخ انتهاء التأمين]]="","",IFERROR(_xlfn.DAYS(Table2[[#This Row],[تاريخ انتهاء التأمين]],TODAY()),""))</f>
        <v>203</v>
      </c>
      <c r="X257" s="42" t="s">
        <v>509</v>
      </c>
      <c r="Y257" s="42" t="s">
        <v>431</v>
      </c>
      <c r="Z257" s="45">
        <v>3660</v>
      </c>
      <c r="AA257" s="46">
        <v>915465</v>
      </c>
      <c r="AB257" s="46" t="s">
        <v>1450</v>
      </c>
      <c r="AC257" s="46" t="s">
        <v>861</v>
      </c>
      <c r="AD257" s="46" t="s">
        <v>939</v>
      </c>
      <c r="AE257" s="47" t="s">
        <v>939</v>
      </c>
      <c r="AF257" s="48" t="s">
        <v>1145</v>
      </c>
      <c r="AG257" s="48" t="s">
        <v>861</v>
      </c>
      <c r="AH257" s="48" t="s">
        <v>1144</v>
      </c>
      <c r="AI257" s="90">
        <v>863514053240038</v>
      </c>
      <c r="AJ257" s="89">
        <v>46576</v>
      </c>
      <c r="AK257" s="48">
        <f ca="1">IF(Table2[[#This Row],[تاريخ انتهاء ال GPS]]="","",IFERROR(_xlfn.DAYS(Table2[[#This Row],[تاريخ انتهاء ال GPS]],TODAY()),""))</f>
        <v>316</v>
      </c>
      <c r="AL257" s="49" t="s">
        <v>970</v>
      </c>
      <c r="AM257" s="50">
        <v>46354</v>
      </c>
      <c r="AN257" s="51">
        <f ca="1">IF(Table2[[#This Row],[تاريخ انتهاء بطاقة التشغيل]]="","",IFERROR(_xlfn.DAYS(Table2[[#This Row],[تاريخ انتهاء بطاقة التشغيل]],TODAY()),""))</f>
        <v>94</v>
      </c>
      <c r="AO257" s="80">
        <v>47046</v>
      </c>
      <c r="AP257" s="52">
        <f>Table2[[#This Row],[تاريخ انتهاء رخصة السير هجري]]</f>
        <v>47046</v>
      </c>
      <c r="AQ257" s="53">
        <f ca="1">IF(Table2[[#This Row],[تاريخ انتهاء رخصة السير ميلادي]]="","",IFERROR(_xlfn.DAYS(Table2[[#This Row],[تاريخ انتهاء رخصة السير ميلادي]],TODAY()),""))</f>
        <v>786</v>
      </c>
      <c r="AR257" s="55">
        <v>46321</v>
      </c>
      <c r="AS257" s="56">
        <f>Table2[[#This Row],[تاريخ انتهاء الفحص هجري]]</f>
        <v>46321</v>
      </c>
      <c r="AT257" s="106">
        <f ca="1">IF(Table2[[#This Row],[تاريخ انتهاء الفحص ميلادي]]="","",IFERROR(_xlfn.DAYS(Table2[[#This Row],[تاريخ انتهاء الفحص ميلادي]],TODAY()),""))</f>
        <v>61</v>
      </c>
      <c r="AU257" s="54"/>
      <c r="AV257" s="1"/>
      <c r="BE257" s="3"/>
      <c r="BH257" s="1"/>
    </row>
    <row r="258" spans="1:60" x14ac:dyDescent="0.3">
      <c r="A258" s="39" t="s">
        <v>450</v>
      </c>
      <c r="B258" s="39" t="s">
        <v>450</v>
      </c>
      <c r="C258" s="39" t="s">
        <v>1187</v>
      </c>
      <c r="D258" s="39" t="s">
        <v>510</v>
      </c>
      <c r="E258" s="39" t="s">
        <v>820</v>
      </c>
      <c r="F258" s="40">
        <v>4031310161</v>
      </c>
      <c r="G258" s="41" t="s">
        <v>589</v>
      </c>
      <c r="H258" s="39" t="s">
        <v>590</v>
      </c>
      <c r="I258" s="58">
        <v>805850220</v>
      </c>
      <c r="J258" s="39" t="s">
        <v>424</v>
      </c>
      <c r="K258" s="39" t="s">
        <v>523</v>
      </c>
      <c r="L258" s="39" t="s">
        <v>524</v>
      </c>
      <c r="M258" s="39">
        <v>2022</v>
      </c>
      <c r="N258" s="39" t="s">
        <v>64</v>
      </c>
      <c r="O258" s="39" t="s">
        <v>1969</v>
      </c>
      <c r="P258" s="58">
        <v>2543597690</v>
      </c>
      <c r="Q258" s="39" t="s">
        <v>1773</v>
      </c>
      <c r="R258" s="124">
        <v>46017</v>
      </c>
      <c r="S258" s="124">
        <v>46357</v>
      </c>
      <c r="T258" s="58">
        <f ca="1">IF(Table2[[#This Row],[تاريخ نهاية التفويض]]="","",IFERROR(_xlfn.DAYS(Table2[[#This Row],[تاريخ نهاية التفويض]],TODAY()),""))</f>
        <v>97</v>
      </c>
      <c r="U258" s="42" t="s">
        <v>591</v>
      </c>
      <c r="V258" s="43">
        <v>46463</v>
      </c>
      <c r="W258" s="44">
        <f ca="1">IF(Table2[[#This Row],[تاريخ انتهاء التأمين]]="","",IFERROR(_xlfn.DAYS(Table2[[#This Row],[تاريخ انتهاء التأمين]],TODAY()),""))</f>
        <v>203</v>
      </c>
      <c r="X258" s="42" t="s">
        <v>509</v>
      </c>
      <c r="Y258" s="42" t="s">
        <v>431</v>
      </c>
      <c r="Z258" s="45">
        <v>3660</v>
      </c>
      <c r="AA258" s="46">
        <v>859967</v>
      </c>
      <c r="AB258" s="46" t="s">
        <v>1242</v>
      </c>
      <c r="AC258" s="46" t="s">
        <v>861</v>
      </c>
      <c r="AD258" s="46" t="s">
        <v>939</v>
      </c>
      <c r="AE258" s="47">
        <v>13000</v>
      </c>
      <c r="AF258" s="48" t="s">
        <v>1145</v>
      </c>
      <c r="AG258" s="48" t="s">
        <v>861</v>
      </c>
      <c r="AH258" s="48" t="s">
        <v>1144</v>
      </c>
      <c r="AI258" s="90">
        <v>863514052615891</v>
      </c>
      <c r="AJ258" s="89">
        <v>46576</v>
      </c>
      <c r="AK258" s="48">
        <f ca="1">IF(Table2[[#This Row],[تاريخ انتهاء ال GPS]]="","",IFERROR(_xlfn.DAYS(Table2[[#This Row],[تاريخ انتهاء ال GPS]],TODAY()),""))</f>
        <v>316</v>
      </c>
      <c r="AL258" s="49" t="s">
        <v>1128</v>
      </c>
      <c r="AM258" s="50">
        <v>46591</v>
      </c>
      <c r="AN258" s="51">
        <f ca="1">IF(Table2[[#This Row],[تاريخ انتهاء بطاقة التشغيل]]="","",IFERROR(_xlfn.DAYS(Table2[[#This Row],[تاريخ انتهاء بطاقة التشغيل]],TODAY()),""))</f>
        <v>331</v>
      </c>
      <c r="AO258" s="80">
        <v>46909</v>
      </c>
      <c r="AP258" s="52">
        <f>Table2[[#This Row],[تاريخ انتهاء رخصة السير هجري]]</f>
        <v>46909</v>
      </c>
      <c r="AQ258" s="53">
        <f ca="1">IF(Table2[[#This Row],[تاريخ انتهاء رخصة السير ميلادي]]="","",IFERROR(_xlfn.DAYS(Table2[[#This Row],[تاريخ انتهاء رخصة السير ميلادي]],TODAY()),""))</f>
        <v>649</v>
      </c>
      <c r="AR258" s="55">
        <v>46166</v>
      </c>
      <c r="AS258" s="56">
        <f>Table2[[#This Row],[تاريخ انتهاء الفحص هجري]]</f>
        <v>46166</v>
      </c>
      <c r="AT258" s="106">
        <f ca="1">IF(Table2[[#This Row],[تاريخ انتهاء الفحص ميلادي]]="","",IFERROR(_xlfn.DAYS(Table2[[#This Row],[تاريخ انتهاء الفحص ميلادي]],TODAY()),""))</f>
        <v>-94</v>
      </c>
      <c r="AU258" s="54"/>
      <c r="AV258" s="1"/>
      <c r="BE258" s="3"/>
      <c r="BH258" s="1"/>
    </row>
    <row r="259" spans="1:60" x14ac:dyDescent="0.3">
      <c r="A259" s="39" t="s">
        <v>450</v>
      </c>
      <c r="B259" s="39" t="s">
        <v>450</v>
      </c>
      <c r="C259" s="39" t="s">
        <v>1187</v>
      </c>
      <c r="D259" s="39" t="s">
        <v>510</v>
      </c>
      <c r="E259" s="39" t="s">
        <v>820</v>
      </c>
      <c r="F259" s="40">
        <v>4031310161</v>
      </c>
      <c r="G259" s="41" t="s">
        <v>592</v>
      </c>
      <c r="H259" s="39" t="s">
        <v>593</v>
      </c>
      <c r="I259" s="58">
        <v>807451220</v>
      </c>
      <c r="J259" s="39" t="s">
        <v>424</v>
      </c>
      <c r="K259" s="39" t="s">
        <v>523</v>
      </c>
      <c r="L259" s="39" t="s">
        <v>524</v>
      </c>
      <c r="M259" s="39">
        <v>2021</v>
      </c>
      <c r="N259" s="39" t="s">
        <v>427</v>
      </c>
      <c r="O259" s="39" t="s">
        <v>1991</v>
      </c>
      <c r="P259" s="58">
        <v>2360829754</v>
      </c>
      <c r="Q259" s="39" t="s">
        <v>1774</v>
      </c>
      <c r="R259" s="124">
        <v>46253</v>
      </c>
      <c r="S259" s="124">
        <v>46387</v>
      </c>
      <c r="T259" s="58">
        <f ca="1">IF(Table2[[#This Row],[تاريخ نهاية التفويض]]="","",IFERROR(_xlfn.DAYS(Table2[[#This Row],[تاريخ نهاية التفويض]],TODAY()),""))</f>
        <v>127</v>
      </c>
      <c r="U259" s="42" t="s">
        <v>594</v>
      </c>
      <c r="V259" s="43">
        <v>46463</v>
      </c>
      <c r="W259" s="44">
        <f ca="1">IF(Table2[[#This Row],[تاريخ انتهاء التأمين]]="","",IFERROR(_xlfn.DAYS(Table2[[#This Row],[تاريخ انتهاء التأمين]],TODAY()),""))</f>
        <v>203</v>
      </c>
      <c r="X259" s="42" t="s">
        <v>509</v>
      </c>
      <c r="Y259" s="42" t="s">
        <v>431</v>
      </c>
      <c r="Z259" s="45">
        <v>3660</v>
      </c>
      <c r="AA259" s="46">
        <v>860187</v>
      </c>
      <c r="AB259" s="46" t="s">
        <v>1243</v>
      </c>
      <c r="AC259" s="46" t="s">
        <v>861</v>
      </c>
      <c r="AD259" s="46" t="s">
        <v>939</v>
      </c>
      <c r="AE259" s="47">
        <v>13000</v>
      </c>
      <c r="AF259" s="48" t="s">
        <v>1145</v>
      </c>
      <c r="AG259" s="48" t="s">
        <v>861</v>
      </c>
      <c r="AH259" s="48" t="s">
        <v>1144</v>
      </c>
      <c r="AI259" s="90">
        <v>863514051668719</v>
      </c>
      <c r="AJ259" s="89">
        <v>46576</v>
      </c>
      <c r="AK259" s="48">
        <f ca="1">IF(Table2[[#This Row],[تاريخ انتهاء ال GPS]]="","",IFERROR(_xlfn.DAYS(Table2[[#This Row],[تاريخ انتهاء ال GPS]],TODAY()),""))</f>
        <v>316</v>
      </c>
      <c r="AL259" s="49" t="s">
        <v>979</v>
      </c>
      <c r="AM259" s="50">
        <v>46615</v>
      </c>
      <c r="AN259" s="51">
        <f ca="1">IF(Table2[[#This Row],[تاريخ انتهاء بطاقة التشغيل]]="","",IFERROR(_xlfn.DAYS(Table2[[#This Row],[تاريخ انتهاء بطاقة التشغيل]],TODAY()),""))</f>
        <v>355</v>
      </c>
      <c r="AO259" s="80">
        <v>46940</v>
      </c>
      <c r="AP259" s="52">
        <f>Table2[[#This Row],[تاريخ انتهاء رخصة السير هجري]]</f>
        <v>46940</v>
      </c>
      <c r="AQ259" s="53">
        <f ca="1">IF(Table2[[#This Row],[تاريخ انتهاء رخصة السير ميلادي]]="","",IFERROR(_xlfn.DAYS(Table2[[#This Row],[تاريخ انتهاء رخصة السير ميلادي]],TODAY()),""))</f>
        <v>680</v>
      </c>
      <c r="AR259" s="55">
        <v>46229</v>
      </c>
      <c r="AS259" s="56">
        <f>Table2[[#This Row],[تاريخ انتهاء الفحص هجري]]</f>
        <v>46229</v>
      </c>
      <c r="AT259" s="106">
        <f ca="1">IF(Table2[[#This Row],[تاريخ انتهاء الفحص ميلادي]]="","",IFERROR(_xlfn.DAYS(Table2[[#This Row],[تاريخ انتهاء الفحص ميلادي]],TODAY()),""))</f>
        <v>-31</v>
      </c>
      <c r="AU259" s="54"/>
      <c r="AV259" s="1"/>
      <c r="BE259" s="3"/>
      <c r="BH259" s="1"/>
    </row>
    <row r="260" spans="1:60" x14ac:dyDescent="0.3">
      <c r="A260" s="39" t="s">
        <v>450</v>
      </c>
      <c r="B260" s="39" t="s">
        <v>450</v>
      </c>
      <c r="C260" s="39" t="s">
        <v>1187</v>
      </c>
      <c r="D260" s="39" t="s">
        <v>510</v>
      </c>
      <c r="E260" s="39" t="s">
        <v>820</v>
      </c>
      <c r="F260" s="40">
        <v>4031310161</v>
      </c>
      <c r="G260" s="41" t="s">
        <v>595</v>
      </c>
      <c r="H260" s="39" t="s">
        <v>596</v>
      </c>
      <c r="I260" s="58">
        <v>825850220</v>
      </c>
      <c r="J260" s="39" t="s">
        <v>424</v>
      </c>
      <c r="K260" s="39" t="s">
        <v>523</v>
      </c>
      <c r="L260" s="39" t="s">
        <v>524</v>
      </c>
      <c r="M260" s="39">
        <v>2021</v>
      </c>
      <c r="N260" s="39" t="s">
        <v>427</v>
      </c>
      <c r="O260" s="39" t="s">
        <v>1970</v>
      </c>
      <c r="P260" s="58">
        <v>2583024712</v>
      </c>
      <c r="Q260" s="39" t="s">
        <v>1775</v>
      </c>
      <c r="R260" s="124">
        <v>46204</v>
      </c>
      <c r="S260" s="124">
        <v>46387</v>
      </c>
      <c r="T260" s="58">
        <f ca="1">IF(Table2[[#This Row],[تاريخ نهاية التفويض]]="","",IFERROR(_xlfn.DAYS(Table2[[#This Row],[تاريخ نهاية التفويض]],TODAY()),""))</f>
        <v>127</v>
      </c>
      <c r="U260" s="42" t="s">
        <v>597</v>
      </c>
      <c r="V260" s="43">
        <v>46463</v>
      </c>
      <c r="W260" s="44">
        <f ca="1">IF(Table2[[#This Row],[تاريخ انتهاء التأمين]]="","",IFERROR(_xlfn.DAYS(Table2[[#This Row],[تاريخ انتهاء التأمين]],TODAY()),""))</f>
        <v>203</v>
      </c>
      <c r="X260" s="42" t="s">
        <v>509</v>
      </c>
      <c r="Y260" s="42" t="s">
        <v>431</v>
      </c>
      <c r="Z260" s="45">
        <v>3660</v>
      </c>
      <c r="AA260" s="46">
        <v>859983</v>
      </c>
      <c r="AB260" s="46" t="s">
        <v>1244</v>
      </c>
      <c r="AC260" s="46" t="s">
        <v>861</v>
      </c>
      <c r="AD260" s="46" t="s">
        <v>939</v>
      </c>
      <c r="AE260" s="47">
        <v>13000</v>
      </c>
      <c r="AF260" s="48" t="s">
        <v>1145</v>
      </c>
      <c r="AG260" s="48" t="s">
        <v>861</v>
      </c>
      <c r="AH260" s="48" t="s">
        <v>1144</v>
      </c>
      <c r="AI260" s="90">
        <v>863514052586050</v>
      </c>
      <c r="AJ260" s="89">
        <v>46576</v>
      </c>
      <c r="AK260" s="48">
        <f ca="1">IF(Table2[[#This Row],[تاريخ انتهاء ال GPS]]="","",IFERROR(_xlfn.DAYS(Table2[[#This Row],[تاريخ انتهاء ال GPS]],TODAY()),""))</f>
        <v>316</v>
      </c>
      <c r="AL260" s="49" t="s">
        <v>989</v>
      </c>
      <c r="AM260" s="50">
        <v>46589</v>
      </c>
      <c r="AN260" s="51">
        <f ca="1">IF(Table2[[#This Row],[تاريخ انتهاء بطاقة التشغيل]]="","",IFERROR(_xlfn.DAYS(Table2[[#This Row],[تاريخ انتهاء بطاقة التشغيل]],TODAY()),""))</f>
        <v>329</v>
      </c>
      <c r="AO260" s="80">
        <v>46909</v>
      </c>
      <c r="AP260" s="52">
        <f>Table2[[#This Row],[تاريخ انتهاء رخصة السير هجري]]</f>
        <v>46909</v>
      </c>
      <c r="AQ260" s="53">
        <f ca="1">IF(Table2[[#This Row],[تاريخ انتهاء رخصة السير ميلادي]]="","",IFERROR(_xlfn.DAYS(Table2[[#This Row],[تاريخ انتهاء رخصة السير ميلادي]],TODAY()),""))</f>
        <v>649</v>
      </c>
      <c r="AR260" s="55">
        <v>46204</v>
      </c>
      <c r="AS260" s="56">
        <f>Table2[[#This Row],[تاريخ انتهاء الفحص هجري]]</f>
        <v>46204</v>
      </c>
      <c r="AT260" s="106">
        <f ca="1">IF(Table2[[#This Row],[تاريخ انتهاء الفحص ميلادي]]="","",IFERROR(_xlfn.DAYS(Table2[[#This Row],[تاريخ انتهاء الفحص ميلادي]],TODAY()),""))</f>
        <v>-56</v>
      </c>
      <c r="AU260" s="54"/>
      <c r="AV260" s="1"/>
      <c r="BE260" s="3"/>
      <c r="BH260" s="1"/>
    </row>
    <row r="261" spans="1:60" x14ac:dyDescent="0.3">
      <c r="A261" s="39" t="s">
        <v>450</v>
      </c>
      <c r="B261" s="39" t="s">
        <v>450</v>
      </c>
      <c r="C261" s="39" t="s">
        <v>1187</v>
      </c>
      <c r="D261" s="39" t="s">
        <v>510</v>
      </c>
      <c r="E261" s="39" t="s">
        <v>820</v>
      </c>
      <c r="F261" s="40">
        <v>4031310161</v>
      </c>
      <c r="G261" s="41" t="s">
        <v>598</v>
      </c>
      <c r="H261" s="39" t="s">
        <v>599</v>
      </c>
      <c r="I261" s="58">
        <v>845850220</v>
      </c>
      <c r="J261" s="39" t="s">
        <v>424</v>
      </c>
      <c r="K261" s="39" t="s">
        <v>523</v>
      </c>
      <c r="L261" s="39" t="s">
        <v>524</v>
      </c>
      <c r="M261" s="39">
        <v>2021</v>
      </c>
      <c r="N261" s="39" t="s">
        <v>427</v>
      </c>
      <c r="O261" s="39" t="s">
        <v>1971</v>
      </c>
      <c r="P261" s="58">
        <v>2583917584</v>
      </c>
      <c r="Q261" s="39" t="s">
        <v>1776</v>
      </c>
      <c r="R261" s="124">
        <v>46209</v>
      </c>
      <c r="S261" s="124">
        <v>46387</v>
      </c>
      <c r="T261" s="58">
        <f ca="1">IF(Table2[[#This Row],[تاريخ نهاية التفويض]]="","",IFERROR(_xlfn.DAYS(Table2[[#This Row],[تاريخ نهاية التفويض]],TODAY()),""))</f>
        <v>127</v>
      </c>
      <c r="U261" s="42" t="s">
        <v>600</v>
      </c>
      <c r="V261" s="43">
        <v>46463</v>
      </c>
      <c r="W261" s="44">
        <f ca="1">IF(Table2[[#This Row],[تاريخ انتهاء التأمين]]="","",IFERROR(_xlfn.DAYS(Table2[[#This Row],[تاريخ انتهاء التأمين]],TODAY()),""))</f>
        <v>203</v>
      </c>
      <c r="X261" s="42" t="s">
        <v>509</v>
      </c>
      <c r="Y261" s="42" t="s">
        <v>431</v>
      </c>
      <c r="Z261" s="45">
        <v>3660</v>
      </c>
      <c r="AA261" s="46">
        <v>859974</v>
      </c>
      <c r="AB261" s="46" t="s">
        <v>1245</v>
      </c>
      <c r="AC261" s="46" t="s">
        <v>861</v>
      </c>
      <c r="AD261" s="46" t="s">
        <v>939</v>
      </c>
      <c r="AE261" s="47">
        <v>13000</v>
      </c>
      <c r="AF261" s="48" t="s">
        <v>1145</v>
      </c>
      <c r="AG261" s="48" t="s">
        <v>861</v>
      </c>
      <c r="AH261" s="48" t="s">
        <v>1144</v>
      </c>
      <c r="AI261" s="90">
        <v>863514052587520</v>
      </c>
      <c r="AJ261" s="89">
        <v>46576</v>
      </c>
      <c r="AK261" s="48">
        <f ca="1">IF(Table2[[#This Row],[تاريخ انتهاء ال GPS]]="","",IFERROR(_xlfn.DAYS(Table2[[#This Row],[تاريخ انتهاء ال GPS]],TODAY()),""))</f>
        <v>316</v>
      </c>
      <c r="AL261" s="49" t="s">
        <v>992</v>
      </c>
      <c r="AM261" s="50">
        <v>46588</v>
      </c>
      <c r="AN261" s="51">
        <f ca="1">IF(Table2[[#This Row],[تاريخ انتهاء بطاقة التشغيل]]="","",IFERROR(_xlfn.DAYS(Table2[[#This Row],[تاريخ انتهاء بطاقة التشغيل]],TODAY()),""))</f>
        <v>328</v>
      </c>
      <c r="AO261" s="80">
        <v>46909</v>
      </c>
      <c r="AP261" s="52">
        <f>Table2[[#This Row],[تاريخ انتهاء رخصة السير هجري]]</f>
        <v>46909</v>
      </c>
      <c r="AQ261" s="53">
        <f ca="1">IF(Table2[[#This Row],[تاريخ انتهاء رخصة السير ميلادي]]="","",IFERROR(_xlfn.DAYS(Table2[[#This Row],[تاريخ انتهاء رخصة السير ميلادي]],TODAY()),""))</f>
        <v>649</v>
      </c>
      <c r="AR261" s="55">
        <v>46171</v>
      </c>
      <c r="AS261" s="56">
        <f>Table2[[#This Row],[تاريخ انتهاء الفحص هجري]]</f>
        <v>46171</v>
      </c>
      <c r="AT261" s="106">
        <f ca="1">IF(Table2[[#This Row],[تاريخ انتهاء الفحص ميلادي]]="","",IFERROR(_xlfn.DAYS(Table2[[#This Row],[تاريخ انتهاء الفحص ميلادي]],TODAY()),""))</f>
        <v>-89</v>
      </c>
      <c r="AU261" s="54"/>
      <c r="AV261" s="1"/>
      <c r="BE261" s="3"/>
      <c r="BH261" s="1"/>
    </row>
    <row r="262" spans="1:60" x14ac:dyDescent="0.3">
      <c r="A262" s="39" t="s">
        <v>450</v>
      </c>
      <c r="B262" s="39" t="s">
        <v>450</v>
      </c>
      <c r="C262" s="39" t="s">
        <v>1187</v>
      </c>
      <c r="D262" s="39" t="s">
        <v>510</v>
      </c>
      <c r="E262" s="39" t="s">
        <v>820</v>
      </c>
      <c r="F262" s="40">
        <v>4031310161</v>
      </c>
      <c r="G262" s="41" t="s">
        <v>601</v>
      </c>
      <c r="H262" s="39" t="s">
        <v>602</v>
      </c>
      <c r="I262" s="58">
        <v>848384220</v>
      </c>
      <c r="J262" s="39" t="s">
        <v>424</v>
      </c>
      <c r="K262" s="39" t="s">
        <v>523</v>
      </c>
      <c r="L262" s="39" t="s">
        <v>528</v>
      </c>
      <c r="M262" s="39">
        <v>2021</v>
      </c>
      <c r="N262" s="39" t="s">
        <v>427</v>
      </c>
      <c r="O262" s="39" t="s">
        <v>1996</v>
      </c>
      <c r="P262" s="58">
        <v>2616439697</v>
      </c>
      <c r="Q262" s="58">
        <v>101448002409225</v>
      </c>
      <c r="R262" s="124">
        <v>46259</v>
      </c>
      <c r="S262" s="124">
        <v>46387</v>
      </c>
      <c r="T262" s="58">
        <f ca="1">IF(Table2[[#This Row],[تاريخ نهاية التفويض]]="","",IFERROR(_xlfn.DAYS(Table2[[#This Row],[تاريخ نهاية التفويض]],TODAY()),""))</f>
        <v>127</v>
      </c>
      <c r="U262" s="42" t="s">
        <v>603</v>
      </c>
      <c r="V262" s="43">
        <v>46463</v>
      </c>
      <c r="W262" s="44">
        <f ca="1">IF(Table2[[#This Row],[تاريخ انتهاء التأمين]]="","",IFERROR(_xlfn.DAYS(Table2[[#This Row],[تاريخ انتهاء التأمين]],TODAY()),""))</f>
        <v>203</v>
      </c>
      <c r="X262" s="42" t="s">
        <v>509</v>
      </c>
      <c r="Y262" s="42" t="s">
        <v>431</v>
      </c>
      <c r="Z262" s="45">
        <v>3660</v>
      </c>
      <c r="AA262" s="46">
        <v>915468</v>
      </c>
      <c r="AB262" s="46" t="s">
        <v>1451</v>
      </c>
      <c r="AC262" s="46" t="s">
        <v>861</v>
      </c>
      <c r="AD262" s="46" t="s">
        <v>939</v>
      </c>
      <c r="AE262" s="47" t="s">
        <v>939</v>
      </c>
      <c r="AF262" s="48" t="s">
        <v>1145</v>
      </c>
      <c r="AG262" s="48" t="s">
        <v>861</v>
      </c>
      <c r="AH262" s="48" t="s">
        <v>1144</v>
      </c>
      <c r="AI262" s="90">
        <v>863514053249112</v>
      </c>
      <c r="AJ262" s="89">
        <v>46576</v>
      </c>
      <c r="AK262" s="48">
        <f ca="1">IF(Table2[[#This Row],[تاريخ انتهاء ال GPS]]="","",IFERROR(_xlfn.DAYS(Table2[[#This Row],[تاريخ انتهاء ال GPS]],TODAY()),""))</f>
        <v>316</v>
      </c>
      <c r="AL262" s="49" t="s">
        <v>969</v>
      </c>
      <c r="AM262" s="50">
        <v>46354</v>
      </c>
      <c r="AN262" s="51">
        <f ca="1">IF(Table2[[#This Row],[تاريخ انتهاء بطاقة التشغيل]]="","",IFERROR(_xlfn.DAYS(Table2[[#This Row],[تاريخ انتهاء بطاقة التشغيل]],TODAY()),""))</f>
        <v>94</v>
      </c>
      <c r="AO262" s="80">
        <v>47046</v>
      </c>
      <c r="AP262" s="52">
        <f>Table2[[#This Row],[تاريخ انتهاء رخصة السير هجري]]</f>
        <v>47046</v>
      </c>
      <c r="AQ262" s="53">
        <f ca="1">IF(Table2[[#This Row],[تاريخ انتهاء رخصة السير ميلادي]]="","",IFERROR(_xlfn.DAYS(Table2[[#This Row],[تاريخ انتهاء رخصة السير ميلادي]],TODAY()),""))</f>
        <v>786</v>
      </c>
      <c r="AR262" s="55">
        <v>46321</v>
      </c>
      <c r="AS262" s="56">
        <f>Table2[[#This Row],[تاريخ انتهاء الفحص هجري]]</f>
        <v>46321</v>
      </c>
      <c r="AT262" s="106">
        <f ca="1">IF(Table2[[#This Row],[تاريخ انتهاء الفحص ميلادي]]="","",IFERROR(_xlfn.DAYS(Table2[[#This Row],[تاريخ انتهاء الفحص ميلادي]],TODAY()),""))</f>
        <v>61</v>
      </c>
      <c r="AU262" s="54"/>
      <c r="AV262" s="1"/>
      <c r="BE262" s="3"/>
      <c r="BH262" s="1"/>
    </row>
    <row r="263" spans="1:60" x14ac:dyDescent="0.3">
      <c r="A263" s="39" t="s">
        <v>450</v>
      </c>
      <c r="B263" s="39" t="s">
        <v>450</v>
      </c>
      <c r="C263" s="39" t="s">
        <v>1187</v>
      </c>
      <c r="D263" s="39" t="s">
        <v>510</v>
      </c>
      <c r="E263" s="39" t="s">
        <v>820</v>
      </c>
      <c r="F263" s="40">
        <v>4031310161</v>
      </c>
      <c r="G263" s="41" t="s">
        <v>604</v>
      </c>
      <c r="H263" s="39" t="s">
        <v>605</v>
      </c>
      <c r="I263" s="58">
        <v>913260220</v>
      </c>
      <c r="J263" s="39" t="s">
        <v>424</v>
      </c>
      <c r="K263" s="39" t="s">
        <v>523</v>
      </c>
      <c r="L263" s="39" t="s">
        <v>524</v>
      </c>
      <c r="M263" s="39">
        <v>2021</v>
      </c>
      <c r="N263" s="39" t="s">
        <v>427</v>
      </c>
      <c r="O263" s="39" t="s">
        <v>1972</v>
      </c>
      <c r="P263" s="58">
        <v>2325608988</v>
      </c>
      <c r="Q263" s="39" t="s">
        <v>1777</v>
      </c>
      <c r="R263" s="124">
        <v>46004</v>
      </c>
      <c r="S263" s="124">
        <v>46327</v>
      </c>
      <c r="T263" s="58">
        <f ca="1">IF(Table2[[#This Row],[تاريخ نهاية التفويض]]="","",IFERROR(_xlfn.DAYS(Table2[[#This Row],[تاريخ نهاية التفويض]],TODAY()),""))</f>
        <v>67</v>
      </c>
      <c r="U263" s="42" t="s">
        <v>606</v>
      </c>
      <c r="V263" s="43">
        <v>46463</v>
      </c>
      <c r="W263" s="44">
        <f ca="1">IF(Table2[[#This Row],[تاريخ انتهاء التأمين]]="","",IFERROR(_xlfn.DAYS(Table2[[#This Row],[تاريخ انتهاء التأمين]],TODAY()),""))</f>
        <v>203</v>
      </c>
      <c r="X263" s="42" t="s">
        <v>509</v>
      </c>
      <c r="Y263" s="42" t="s">
        <v>431</v>
      </c>
      <c r="Z263" s="45">
        <v>3660</v>
      </c>
      <c r="AA263" s="46">
        <v>859989</v>
      </c>
      <c r="AB263" s="46" t="s">
        <v>1246</v>
      </c>
      <c r="AC263" s="46" t="s">
        <v>861</v>
      </c>
      <c r="AD263" s="46" t="s">
        <v>939</v>
      </c>
      <c r="AE263" s="47">
        <v>13000</v>
      </c>
      <c r="AF263" s="48" t="s">
        <v>1145</v>
      </c>
      <c r="AG263" s="48" t="s">
        <v>861</v>
      </c>
      <c r="AH263" s="48" t="s">
        <v>1144</v>
      </c>
      <c r="AI263" s="90">
        <v>863514052584501</v>
      </c>
      <c r="AJ263" s="89">
        <v>46576</v>
      </c>
      <c r="AK263" s="48">
        <f ca="1">IF(Table2[[#This Row],[تاريخ انتهاء ال GPS]]="","",IFERROR(_xlfn.DAYS(Table2[[#This Row],[تاريخ انتهاء ال GPS]],TODAY()),""))</f>
        <v>316</v>
      </c>
      <c r="AL263" s="49" t="s">
        <v>997</v>
      </c>
      <c r="AM263" s="50">
        <v>46591</v>
      </c>
      <c r="AN263" s="51">
        <f ca="1">IF(Table2[[#This Row],[تاريخ انتهاء بطاقة التشغيل]]="","",IFERROR(_xlfn.DAYS(Table2[[#This Row],[تاريخ انتهاء بطاقة التشغيل]],TODAY()),""))</f>
        <v>331</v>
      </c>
      <c r="AO263" s="80">
        <v>46910</v>
      </c>
      <c r="AP263" s="52">
        <f>Table2[[#This Row],[تاريخ انتهاء رخصة السير هجري]]</f>
        <v>46910</v>
      </c>
      <c r="AQ263" s="53">
        <f ca="1">IF(Table2[[#This Row],[تاريخ انتهاء رخصة السير ميلادي]]="","",IFERROR(_xlfn.DAYS(Table2[[#This Row],[تاريخ انتهاء رخصة السير ميلادي]],TODAY()),""))</f>
        <v>650</v>
      </c>
      <c r="AR263" s="55">
        <v>46192</v>
      </c>
      <c r="AS263" s="56">
        <f>Table2[[#This Row],[تاريخ انتهاء الفحص هجري]]</f>
        <v>46192</v>
      </c>
      <c r="AT263" s="106">
        <f ca="1">IF(Table2[[#This Row],[تاريخ انتهاء الفحص ميلادي]]="","",IFERROR(_xlfn.DAYS(Table2[[#This Row],[تاريخ انتهاء الفحص ميلادي]],TODAY()),""))</f>
        <v>-68</v>
      </c>
      <c r="AU263" s="54"/>
      <c r="AV263" s="1"/>
      <c r="BE263" s="3"/>
      <c r="BH263" s="1"/>
    </row>
    <row r="264" spans="1:60" x14ac:dyDescent="0.3">
      <c r="A264" s="39" t="s">
        <v>450</v>
      </c>
      <c r="B264" s="39" t="s">
        <v>450</v>
      </c>
      <c r="C264" s="39" t="s">
        <v>1187</v>
      </c>
      <c r="D264" s="39" t="s">
        <v>510</v>
      </c>
      <c r="E264" s="39" t="s">
        <v>820</v>
      </c>
      <c r="F264" s="40">
        <v>4031310161</v>
      </c>
      <c r="G264" s="41" t="s">
        <v>607</v>
      </c>
      <c r="H264" s="39" t="s">
        <v>608</v>
      </c>
      <c r="I264" s="58">
        <v>938384220</v>
      </c>
      <c r="J264" s="39" t="s">
        <v>424</v>
      </c>
      <c r="K264" s="39" t="s">
        <v>523</v>
      </c>
      <c r="L264" s="39" t="s">
        <v>528</v>
      </c>
      <c r="M264" s="39">
        <v>2021</v>
      </c>
      <c r="N264" s="39" t="s">
        <v>427</v>
      </c>
      <c r="O264" s="39" t="s">
        <v>1973</v>
      </c>
      <c r="P264" s="58">
        <v>2581738354</v>
      </c>
      <c r="Q264" s="39" t="s">
        <v>1778</v>
      </c>
      <c r="R264" s="124">
        <v>46205</v>
      </c>
      <c r="S264" s="124">
        <v>46387</v>
      </c>
      <c r="T264" s="58">
        <f ca="1">IF(Table2[[#This Row],[تاريخ نهاية التفويض]]="","",IFERROR(_xlfn.DAYS(Table2[[#This Row],[تاريخ نهاية التفويض]],TODAY()),""))</f>
        <v>127</v>
      </c>
      <c r="U264" s="42" t="s">
        <v>609</v>
      </c>
      <c r="V264" s="43">
        <v>46463</v>
      </c>
      <c r="W264" s="44">
        <f ca="1">IF(Table2[[#This Row],[تاريخ انتهاء التأمين]]="","",IFERROR(_xlfn.DAYS(Table2[[#This Row],[تاريخ انتهاء التأمين]],TODAY()),""))</f>
        <v>203</v>
      </c>
      <c r="X264" s="42" t="s">
        <v>509</v>
      </c>
      <c r="Y264" s="42" t="s">
        <v>431</v>
      </c>
      <c r="Z264" s="45">
        <v>3660</v>
      </c>
      <c r="AA264" s="46">
        <v>915462</v>
      </c>
      <c r="AB264" s="46" t="s">
        <v>1452</v>
      </c>
      <c r="AC264" s="46" t="s">
        <v>861</v>
      </c>
      <c r="AD264" s="46" t="s">
        <v>939</v>
      </c>
      <c r="AE264" s="47" t="s">
        <v>939</v>
      </c>
      <c r="AF264" s="48" t="s">
        <v>1145</v>
      </c>
      <c r="AG264" s="48" t="s">
        <v>861</v>
      </c>
      <c r="AH264" s="48" t="s">
        <v>1144</v>
      </c>
      <c r="AI264" s="90">
        <v>863514053106585</v>
      </c>
      <c r="AJ264" s="89">
        <v>46576</v>
      </c>
      <c r="AK264" s="48">
        <f ca="1">IF(Table2[[#This Row],[تاريخ انتهاء ال GPS]]="","",IFERROR(_xlfn.DAYS(Table2[[#This Row],[تاريخ انتهاء ال GPS]],TODAY()),""))</f>
        <v>316</v>
      </c>
      <c r="AL264" s="49" t="s">
        <v>971</v>
      </c>
      <c r="AM264" s="50">
        <v>46354</v>
      </c>
      <c r="AN264" s="51">
        <f ca="1">IF(Table2[[#This Row],[تاريخ انتهاء بطاقة التشغيل]]="","",IFERROR(_xlfn.DAYS(Table2[[#This Row],[تاريخ انتهاء بطاقة التشغيل]],TODAY()),""))</f>
        <v>94</v>
      </c>
      <c r="AO264" s="80">
        <v>47046</v>
      </c>
      <c r="AP264" s="52">
        <f>Table2[[#This Row],[تاريخ انتهاء رخصة السير هجري]]</f>
        <v>47046</v>
      </c>
      <c r="AQ264" s="53">
        <f ca="1">IF(Table2[[#This Row],[تاريخ انتهاء رخصة السير ميلادي]]="","",IFERROR(_xlfn.DAYS(Table2[[#This Row],[تاريخ انتهاء رخصة السير ميلادي]],TODAY()),""))</f>
        <v>786</v>
      </c>
      <c r="AR264" s="55">
        <v>46321</v>
      </c>
      <c r="AS264" s="56">
        <f>Table2[[#This Row],[تاريخ انتهاء الفحص هجري]]</f>
        <v>46321</v>
      </c>
      <c r="AT264" s="106">
        <f ca="1">IF(Table2[[#This Row],[تاريخ انتهاء الفحص ميلادي]]="","",IFERROR(_xlfn.DAYS(Table2[[#This Row],[تاريخ انتهاء الفحص ميلادي]],TODAY()),""))</f>
        <v>61</v>
      </c>
      <c r="AU264" s="54"/>
      <c r="AV264" s="1"/>
      <c r="BE264" s="3"/>
      <c r="BH264" s="1"/>
    </row>
    <row r="265" spans="1:60" x14ac:dyDescent="0.3">
      <c r="A265" s="39" t="s">
        <v>450</v>
      </c>
      <c r="B265" s="39" t="s">
        <v>450</v>
      </c>
      <c r="C265" s="39" t="s">
        <v>1187</v>
      </c>
      <c r="D265" s="39" t="s">
        <v>510</v>
      </c>
      <c r="E265" s="39" t="s">
        <v>820</v>
      </c>
      <c r="F265" s="40">
        <v>4031310161</v>
      </c>
      <c r="G265" s="41" t="s">
        <v>610</v>
      </c>
      <c r="H265" s="39" t="s">
        <v>611</v>
      </c>
      <c r="I265" s="58">
        <v>994850220</v>
      </c>
      <c r="J265" s="39" t="s">
        <v>424</v>
      </c>
      <c r="K265" s="39" t="s">
        <v>523</v>
      </c>
      <c r="L265" s="39" t="s">
        <v>524</v>
      </c>
      <c r="M265" s="39">
        <v>2021</v>
      </c>
      <c r="N265" s="39" t="s">
        <v>427</v>
      </c>
      <c r="O265" s="39" t="s">
        <v>1974</v>
      </c>
      <c r="P265" s="58">
        <v>2616062879</v>
      </c>
      <c r="Q265" s="39" t="s">
        <v>1779</v>
      </c>
      <c r="R265" s="124">
        <v>46205</v>
      </c>
      <c r="S265" s="124">
        <v>46387</v>
      </c>
      <c r="T265" s="58">
        <f ca="1">IF(Table2[[#This Row],[تاريخ نهاية التفويض]]="","",IFERROR(_xlfn.DAYS(Table2[[#This Row],[تاريخ نهاية التفويض]],TODAY()),""))</f>
        <v>127</v>
      </c>
      <c r="U265" s="42" t="s">
        <v>612</v>
      </c>
      <c r="V265" s="43">
        <v>46463</v>
      </c>
      <c r="W265" s="44">
        <f ca="1">IF(Table2[[#This Row],[تاريخ انتهاء التأمين]]="","",IFERROR(_xlfn.DAYS(Table2[[#This Row],[تاريخ انتهاء التأمين]],TODAY()),""))</f>
        <v>203</v>
      </c>
      <c r="X265" s="42" t="s">
        <v>509</v>
      </c>
      <c r="Y265" s="42" t="s">
        <v>431</v>
      </c>
      <c r="Z265" s="45">
        <v>3660</v>
      </c>
      <c r="AA265" s="46">
        <v>859987</v>
      </c>
      <c r="AB265" s="46" t="s">
        <v>1247</v>
      </c>
      <c r="AC265" s="46" t="s">
        <v>861</v>
      </c>
      <c r="AD265" s="46" t="s">
        <v>939</v>
      </c>
      <c r="AE265" s="47">
        <v>13000</v>
      </c>
      <c r="AF265" s="48" t="s">
        <v>1145</v>
      </c>
      <c r="AG265" s="48" t="s">
        <v>861</v>
      </c>
      <c r="AH265" s="48" t="s">
        <v>1144</v>
      </c>
      <c r="AI265" s="90">
        <v>863514052587439</v>
      </c>
      <c r="AJ265" s="89">
        <v>46576</v>
      </c>
      <c r="AK265" s="48">
        <f ca="1">IF(Table2[[#This Row],[تاريخ انتهاء ال GPS]]="","",IFERROR(_xlfn.DAYS(Table2[[#This Row],[تاريخ انتهاء ال GPS]],TODAY()),""))</f>
        <v>316</v>
      </c>
      <c r="AL265" s="49" t="s">
        <v>995</v>
      </c>
      <c r="AM265" s="50">
        <v>46599</v>
      </c>
      <c r="AN265" s="51">
        <f ca="1">IF(Table2[[#This Row],[تاريخ انتهاء بطاقة التشغيل]]="","",IFERROR(_xlfn.DAYS(Table2[[#This Row],[تاريخ انتهاء بطاقة التشغيل]],TODAY()),""))</f>
        <v>339</v>
      </c>
      <c r="AO265" s="80">
        <v>46909</v>
      </c>
      <c r="AP265" s="52">
        <f>Table2[[#This Row],[تاريخ انتهاء رخصة السير هجري]]</f>
        <v>46909</v>
      </c>
      <c r="AQ265" s="53">
        <f ca="1">IF(Table2[[#This Row],[تاريخ انتهاء رخصة السير ميلادي]]="","",IFERROR(_xlfn.DAYS(Table2[[#This Row],[تاريخ انتهاء رخصة السير ميلادي]],TODAY()),""))</f>
        <v>649</v>
      </c>
      <c r="AR265" s="55">
        <v>46194</v>
      </c>
      <c r="AS265" s="56">
        <f>Table2[[#This Row],[تاريخ انتهاء الفحص هجري]]</f>
        <v>46194</v>
      </c>
      <c r="AT265" s="106">
        <f ca="1">IF(Table2[[#This Row],[تاريخ انتهاء الفحص ميلادي]]="","",IFERROR(_xlfn.DAYS(Table2[[#This Row],[تاريخ انتهاء الفحص ميلادي]],TODAY()),""))</f>
        <v>-66</v>
      </c>
      <c r="AU265" s="54"/>
      <c r="AV265" s="1"/>
      <c r="BE265" s="3"/>
      <c r="BH265" s="1"/>
    </row>
    <row r="266" spans="1:60" x14ac:dyDescent="0.3">
      <c r="A266" s="39" t="s">
        <v>1126</v>
      </c>
      <c r="B266" s="39" t="s">
        <v>819</v>
      </c>
      <c r="C266" s="39" t="s">
        <v>1138</v>
      </c>
      <c r="D266" s="39" t="s">
        <v>1507</v>
      </c>
      <c r="E266" s="39" t="s">
        <v>820</v>
      </c>
      <c r="F266" s="54">
        <v>7025667531</v>
      </c>
      <c r="G266" s="41" t="s">
        <v>617</v>
      </c>
      <c r="H266" s="39" t="s">
        <v>618</v>
      </c>
      <c r="I266" s="58">
        <v>404482020</v>
      </c>
      <c r="J266" s="39" t="s">
        <v>613</v>
      </c>
      <c r="K266" s="39" t="s">
        <v>614</v>
      </c>
      <c r="L266" s="39" t="s">
        <v>615</v>
      </c>
      <c r="M266" s="39">
        <v>2023</v>
      </c>
      <c r="N266" s="39" t="s">
        <v>616</v>
      </c>
      <c r="O266" s="39" t="s">
        <v>1486</v>
      </c>
      <c r="P266" s="58">
        <v>1071100505</v>
      </c>
      <c r="Q266" s="39" t="s">
        <v>1780</v>
      </c>
      <c r="R266" s="124">
        <v>46042</v>
      </c>
      <c r="S266" s="124">
        <v>46387</v>
      </c>
      <c r="T266" s="58">
        <f ca="1">IF(Table2[[#This Row],[تاريخ نهاية التفويض]]="","",IFERROR(_xlfn.DAYS(Table2[[#This Row],[تاريخ نهاية التفويض]],TODAY()),""))</f>
        <v>127</v>
      </c>
      <c r="U266" s="42" t="s">
        <v>619</v>
      </c>
      <c r="V266" s="43">
        <v>46387</v>
      </c>
      <c r="W266" s="44">
        <f ca="1">IF(Table2[[#This Row],[تاريخ انتهاء التأمين]]="","",IFERROR(_xlfn.DAYS(Table2[[#This Row],[تاريخ انتهاء التأمين]],TODAY()),""))</f>
        <v>127</v>
      </c>
      <c r="X266" s="42" t="s">
        <v>16</v>
      </c>
      <c r="Y266" s="42" t="s">
        <v>431</v>
      </c>
      <c r="Z266" s="45" t="s">
        <v>1546</v>
      </c>
      <c r="AA266" s="46" t="s">
        <v>1138</v>
      </c>
      <c r="AB266" s="46" t="s">
        <v>1138</v>
      </c>
      <c r="AC266" s="46" t="s">
        <v>1138</v>
      </c>
      <c r="AD266" s="46" t="s">
        <v>1138</v>
      </c>
      <c r="AE266" s="46" t="s">
        <v>1138</v>
      </c>
      <c r="AF266" s="48" t="s">
        <v>1138</v>
      </c>
      <c r="AG266" s="48" t="s">
        <v>1138</v>
      </c>
      <c r="AH266" s="48" t="s">
        <v>1138</v>
      </c>
      <c r="AI266" s="48" t="s">
        <v>1138</v>
      </c>
      <c r="AJ266" s="89" t="s">
        <v>1138</v>
      </c>
      <c r="AK266" s="89" t="s">
        <v>1138</v>
      </c>
      <c r="AL266" s="49" t="s">
        <v>1138</v>
      </c>
      <c r="AM266" s="50" t="s">
        <v>1138</v>
      </c>
      <c r="AN266" s="50" t="s">
        <v>1138</v>
      </c>
      <c r="AO266" s="80">
        <v>46293</v>
      </c>
      <c r="AP266" s="52">
        <f>Table2[[#This Row],[تاريخ انتهاء رخصة السير هجري]]</f>
        <v>46293</v>
      </c>
      <c r="AQ266" s="53">
        <f ca="1">IF(Table2[[#This Row],[تاريخ انتهاء رخصة السير ميلادي]]="","",IFERROR(_xlfn.DAYS(Table2[[#This Row],[تاريخ انتهاء رخصة السير ميلادي]],TODAY()),""))</f>
        <v>33</v>
      </c>
      <c r="AR266" s="131" t="s">
        <v>1137</v>
      </c>
      <c r="AS266" s="133" t="s">
        <v>1137</v>
      </c>
      <c r="AT266" s="133" t="s">
        <v>1137</v>
      </c>
      <c r="AU266" s="54" t="s">
        <v>1581</v>
      </c>
      <c r="AV266" s="1"/>
      <c r="BE266" s="3"/>
      <c r="BH266" s="1"/>
    </row>
    <row r="267" spans="1:60" x14ac:dyDescent="0.3">
      <c r="A267" s="39" t="s">
        <v>19</v>
      </c>
      <c r="B267" s="39" t="s">
        <v>1999</v>
      </c>
      <c r="C267" s="39" t="s">
        <v>1187</v>
      </c>
      <c r="D267" s="39" t="s">
        <v>620</v>
      </c>
      <c r="E267" s="39" t="s">
        <v>820</v>
      </c>
      <c r="F267" s="54">
        <v>7025667531</v>
      </c>
      <c r="G267" s="41" t="s">
        <v>622</v>
      </c>
      <c r="H267" s="39" t="s">
        <v>623</v>
      </c>
      <c r="I267" s="58">
        <v>659741020</v>
      </c>
      <c r="J267" s="39" t="s">
        <v>613</v>
      </c>
      <c r="K267" s="39" t="s">
        <v>614</v>
      </c>
      <c r="L267" s="39" t="s">
        <v>615</v>
      </c>
      <c r="M267" s="39">
        <v>2023</v>
      </c>
      <c r="N267" s="39" t="s">
        <v>621</v>
      </c>
      <c r="O267" s="39" t="s">
        <v>1975</v>
      </c>
      <c r="P267" s="58">
        <v>2592246322</v>
      </c>
      <c r="Q267" s="39" t="s">
        <v>1781</v>
      </c>
      <c r="R267" s="124">
        <v>46006</v>
      </c>
      <c r="S267" s="124">
        <v>46327</v>
      </c>
      <c r="T267" s="58">
        <f ca="1">IF(Table2[[#This Row],[تاريخ نهاية التفويض]]="","",IFERROR(_xlfn.DAYS(Table2[[#This Row],[تاريخ نهاية التفويض]],TODAY()),""))</f>
        <v>67</v>
      </c>
      <c r="U267" s="42" t="s">
        <v>619</v>
      </c>
      <c r="V267" s="43">
        <v>46387</v>
      </c>
      <c r="W267" s="44">
        <f ca="1">IF(Table2[[#This Row],[تاريخ انتهاء التأمين]]="","",IFERROR(_xlfn.DAYS(Table2[[#This Row],[تاريخ انتهاء التأمين]],TODAY()),""))</f>
        <v>127</v>
      </c>
      <c r="X267" s="42" t="s">
        <v>16</v>
      </c>
      <c r="Y267" s="42" t="s">
        <v>431</v>
      </c>
      <c r="Z267" s="45" t="s">
        <v>1546</v>
      </c>
      <c r="AA267" s="46">
        <v>624904</v>
      </c>
      <c r="AB267" s="46" t="s">
        <v>1453</v>
      </c>
      <c r="AC267" s="46" t="s">
        <v>861</v>
      </c>
      <c r="AD267" s="46" t="s">
        <v>938</v>
      </c>
      <c r="AE267" s="47">
        <v>1000</v>
      </c>
      <c r="AF267" s="48" t="s">
        <v>1138</v>
      </c>
      <c r="AG267" s="48" t="s">
        <v>1138</v>
      </c>
      <c r="AH267" s="48" t="s">
        <v>1138</v>
      </c>
      <c r="AI267" s="48" t="s">
        <v>1138</v>
      </c>
      <c r="AJ267" s="89" t="s">
        <v>1138</v>
      </c>
      <c r="AK267" s="89" t="s">
        <v>1138</v>
      </c>
      <c r="AL267" s="49" t="s">
        <v>1138</v>
      </c>
      <c r="AM267" s="50" t="s">
        <v>1138</v>
      </c>
      <c r="AN267" s="50" t="s">
        <v>1138</v>
      </c>
      <c r="AO267" s="80">
        <v>46244</v>
      </c>
      <c r="AP267" s="52">
        <f>Table2[[#This Row],[تاريخ انتهاء رخصة السير هجري]]</f>
        <v>46244</v>
      </c>
      <c r="AQ267" s="53">
        <f ca="1">IF(Table2[[#This Row],[تاريخ انتهاء رخصة السير ميلادي]]="","",IFERROR(_xlfn.DAYS(Table2[[#This Row],[تاريخ انتهاء رخصة السير ميلادي]],TODAY()),""))</f>
        <v>-16</v>
      </c>
      <c r="AR267" s="131" t="s">
        <v>1137</v>
      </c>
      <c r="AS267" s="133" t="s">
        <v>1137</v>
      </c>
      <c r="AT267" s="133" t="s">
        <v>1137</v>
      </c>
      <c r="AU267" s="54" t="s">
        <v>1581</v>
      </c>
      <c r="AV267" s="1"/>
      <c r="BE267" s="3"/>
      <c r="BH267" s="1"/>
    </row>
    <row r="268" spans="1:60" x14ac:dyDescent="0.3">
      <c r="A268" s="39" t="s">
        <v>19</v>
      </c>
      <c r="B268" s="39" t="s">
        <v>2007</v>
      </c>
      <c r="C268" s="39" t="s">
        <v>2004</v>
      </c>
      <c r="D268" s="39" t="s">
        <v>620</v>
      </c>
      <c r="E268" s="39" t="s">
        <v>820</v>
      </c>
      <c r="F268" s="54">
        <v>7025667531</v>
      </c>
      <c r="G268" s="41" t="s">
        <v>624</v>
      </c>
      <c r="H268" s="39" t="s">
        <v>625</v>
      </c>
      <c r="I268" s="58">
        <v>579741020</v>
      </c>
      <c r="J268" s="39" t="s">
        <v>613</v>
      </c>
      <c r="K268" s="39" t="s">
        <v>614</v>
      </c>
      <c r="L268" s="39" t="s">
        <v>615</v>
      </c>
      <c r="M268" s="39">
        <v>2023</v>
      </c>
      <c r="N268" s="39" t="s">
        <v>621</v>
      </c>
      <c r="O268" s="39" t="s">
        <v>1976</v>
      </c>
      <c r="P268" s="58">
        <v>2564244172</v>
      </c>
      <c r="Q268" s="39" t="s">
        <v>1782</v>
      </c>
      <c r="R268" s="124">
        <v>46202</v>
      </c>
      <c r="S268" s="124">
        <v>46387</v>
      </c>
      <c r="T268" s="58">
        <f ca="1">IF(Table2[[#This Row],[تاريخ نهاية التفويض]]="","",IFERROR(_xlfn.DAYS(Table2[[#This Row],[تاريخ نهاية التفويض]],TODAY()),""))</f>
        <v>127</v>
      </c>
      <c r="U268" s="42" t="s">
        <v>619</v>
      </c>
      <c r="V268" s="43">
        <v>46387</v>
      </c>
      <c r="W268" s="44">
        <f ca="1">IF(Table2[[#This Row],[تاريخ انتهاء التأمين]]="","",IFERROR(_xlfn.DAYS(Table2[[#This Row],[تاريخ انتهاء التأمين]],TODAY()),""))</f>
        <v>127</v>
      </c>
      <c r="X268" s="42" t="s">
        <v>16</v>
      </c>
      <c r="Y268" s="42" t="s">
        <v>431</v>
      </c>
      <c r="Z268" s="45" t="s">
        <v>1546</v>
      </c>
      <c r="AA268" s="46">
        <v>624901</v>
      </c>
      <c r="AB268" s="46" t="s">
        <v>1454</v>
      </c>
      <c r="AC268" s="46" t="s">
        <v>861</v>
      </c>
      <c r="AD268" s="46" t="s">
        <v>938</v>
      </c>
      <c r="AE268" s="47">
        <v>1000</v>
      </c>
      <c r="AF268" s="48" t="s">
        <v>1138</v>
      </c>
      <c r="AG268" s="48" t="s">
        <v>1138</v>
      </c>
      <c r="AH268" s="48" t="s">
        <v>1138</v>
      </c>
      <c r="AI268" s="48" t="s">
        <v>1138</v>
      </c>
      <c r="AJ268" s="89" t="s">
        <v>1138</v>
      </c>
      <c r="AK268" s="89" t="s">
        <v>1138</v>
      </c>
      <c r="AL268" s="49" t="s">
        <v>1138</v>
      </c>
      <c r="AM268" s="50" t="s">
        <v>1138</v>
      </c>
      <c r="AN268" s="50" t="s">
        <v>1138</v>
      </c>
      <c r="AO268" s="80">
        <v>46244</v>
      </c>
      <c r="AP268" s="52">
        <f>Table2[[#This Row],[تاريخ انتهاء رخصة السير هجري]]</f>
        <v>46244</v>
      </c>
      <c r="AQ268" s="53">
        <f ca="1">IF(Table2[[#This Row],[تاريخ انتهاء رخصة السير ميلادي]]="","",IFERROR(_xlfn.DAYS(Table2[[#This Row],[تاريخ انتهاء رخصة السير ميلادي]],TODAY()),""))</f>
        <v>-16</v>
      </c>
      <c r="AR268" s="131" t="s">
        <v>1137</v>
      </c>
      <c r="AS268" s="133" t="s">
        <v>1137</v>
      </c>
      <c r="AT268" s="133" t="s">
        <v>1137</v>
      </c>
      <c r="AU268" s="54" t="s">
        <v>1581</v>
      </c>
      <c r="AV268" s="1"/>
      <c r="BE268" s="3"/>
      <c r="BH268" s="1"/>
    </row>
    <row r="269" spans="1:60" x14ac:dyDescent="0.3">
      <c r="A269" s="39" t="s">
        <v>19</v>
      </c>
      <c r="B269" s="39" t="s">
        <v>1999</v>
      </c>
      <c r="C269" s="39" t="s">
        <v>1187</v>
      </c>
      <c r="D269" s="39" t="s">
        <v>620</v>
      </c>
      <c r="E269" s="39" t="s">
        <v>820</v>
      </c>
      <c r="F269" s="54">
        <v>7025667531</v>
      </c>
      <c r="G269" s="41" t="s">
        <v>626</v>
      </c>
      <c r="H269" s="39" t="s">
        <v>627</v>
      </c>
      <c r="I269" s="58">
        <v>800841020</v>
      </c>
      <c r="J269" s="39" t="s">
        <v>613</v>
      </c>
      <c r="K269" s="39" t="s">
        <v>614</v>
      </c>
      <c r="L269" s="39" t="s">
        <v>615</v>
      </c>
      <c r="M269" s="39">
        <v>2023</v>
      </c>
      <c r="N269" s="39" t="s">
        <v>621</v>
      </c>
      <c r="O269" s="39" t="s">
        <v>1799</v>
      </c>
      <c r="P269" s="58">
        <v>2621086426</v>
      </c>
      <c r="Q269" s="39" t="s">
        <v>1783</v>
      </c>
      <c r="R269" s="124">
        <v>46196</v>
      </c>
      <c r="S269" s="124">
        <v>46387</v>
      </c>
      <c r="T269" s="58">
        <f ca="1">IF(Table2[[#This Row],[تاريخ نهاية التفويض]]="","",IFERROR(_xlfn.DAYS(Table2[[#This Row],[تاريخ نهاية التفويض]],TODAY()),""))</f>
        <v>127</v>
      </c>
      <c r="U269" s="42" t="s">
        <v>619</v>
      </c>
      <c r="V269" s="43">
        <v>46387</v>
      </c>
      <c r="W269" s="44">
        <f ca="1">IF(Table2[[#This Row],[تاريخ انتهاء التأمين]]="","",IFERROR(_xlfn.DAYS(Table2[[#This Row],[تاريخ انتهاء التأمين]],TODAY()),""))</f>
        <v>127</v>
      </c>
      <c r="X269" s="42" t="s">
        <v>16</v>
      </c>
      <c r="Y269" s="42" t="s">
        <v>431</v>
      </c>
      <c r="Z269" s="45" t="s">
        <v>1546</v>
      </c>
      <c r="AA269" s="46">
        <v>624905</v>
      </c>
      <c r="AB269" s="46" t="s">
        <v>1455</v>
      </c>
      <c r="AC269" s="46" t="s">
        <v>861</v>
      </c>
      <c r="AD269" s="46" t="s">
        <v>938</v>
      </c>
      <c r="AE269" s="47">
        <v>1000</v>
      </c>
      <c r="AF269" s="48" t="s">
        <v>1138</v>
      </c>
      <c r="AG269" s="48" t="s">
        <v>1138</v>
      </c>
      <c r="AH269" s="48" t="s">
        <v>1138</v>
      </c>
      <c r="AI269" s="48" t="s">
        <v>1138</v>
      </c>
      <c r="AJ269" s="89" t="s">
        <v>1138</v>
      </c>
      <c r="AK269" s="89" t="s">
        <v>1138</v>
      </c>
      <c r="AL269" s="49" t="s">
        <v>1138</v>
      </c>
      <c r="AM269" s="50" t="s">
        <v>1138</v>
      </c>
      <c r="AN269" s="50" t="s">
        <v>1138</v>
      </c>
      <c r="AO269" s="80">
        <v>46244</v>
      </c>
      <c r="AP269" s="52">
        <f>Table2[[#This Row],[تاريخ انتهاء رخصة السير هجري]]</f>
        <v>46244</v>
      </c>
      <c r="AQ269" s="53">
        <f ca="1">IF(Table2[[#This Row],[تاريخ انتهاء رخصة السير ميلادي]]="","",IFERROR(_xlfn.DAYS(Table2[[#This Row],[تاريخ انتهاء رخصة السير ميلادي]],TODAY()),""))</f>
        <v>-16</v>
      </c>
      <c r="AR269" s="131" t="s">
        <v>1137</v>
      </c>
      <c r="AS269" s="133" t="s">
        <v>1137</v>
      </c>
      <c r="AT269" s="133" t="s">
        <v>1137</v>
      </c>
      <c r="AU269" s="54" t="s">
        <v>1581</v>
      </c>
      <c r="AV269" s="1"/>
      <c r="BE269" s="3"/>
      <c r="BH269" s="1"/>
    </row>
    <row r="270" spans="1:60" x14ac:dyDescent="0.3">
      <c r="A270" s="39" t="s">
        <v>19</v>
      </c>
      <c r="B270" s="39" t="s">
        <v>1183</v>
      </c>
      <c r="C270" s="39" t="s">
        <v>2004</v>
      </c>
      <c r="D270" s="39" t="s">
        <v>620</v>
      </c>
      <c r="E270" s="39" t="s">
        <v>820</v>
      </c>
      <c r="F270" s="54">
        <v>7025667531</v>
      </c>
      <c r="G270" s="41" t="s">
        <v>628</v>
      </c>
      <c r="H270" s="39" t="s">
        <v>629</v>
      </c>
      <c r="I270" s="58">
        <v>73482020</v>
      </c>
      <c r="J270" s="39" t="s">
        <v>613</v>
      </c>
      <c r="K270" s="39" t="s">
        <v>614</v>
      </c>
      <c r="L270" s="39" t="s">
        <v>615</v>
      </c>
      <c r="M270" s="39">
        <v>2023</v>
      </c>
      <c r="N270" s="39" t="s">
        <v>616</v>
      </c>
      <c r="O270" s="39" t="s">
        <v>1977</v>
      </c>
      <c r="P270" s="58">
        <v>2624542557</v>
      </c>
      <c r="Q270" s="39" t="s">
        <v>1784</v>
      </c>
      <c r="R270" s="124">
        <v>46180</v>
      </c>
      <c r="S270" s="124">
        <v>46387</v>
      </c>
      <c r="T270" s="58">
        <f ca="1">IF(Table2[[#This Row],[تاريخ نهاية التفويض]]="","",IFERROR(_xlfn.DAYS(Table2[[#This Row],[تاريخ نهاية التفويض]],TODAY()),""))</f>
        <v>127</v>
      </c>
      <c r="U270" s="42" t="s">
        <v>619</v>
      </c>
      <c r="V270" s="43">
        <v>46387</v>
      </c>
      <c r="W270" s="44">
        <f ca="1">IF(Table2[[#This Row],[تاريخ انتهاء التأمين]]="","",IFERROR(_xlfn.DAYS(Table2[[#This Row],[تاريخ انتهاء التأمين]],TODAY()),""))</f>
        <v>127</v>
      </c>
      <c r="X270" s="42" t="s">
        <v>16</v>
      </c>
      <c r="Y270" s="42" t="s">
        <v>431</v>
      </c>
      <c r="Z270" s="45" t="s">
        <v>1546</v>
      </c>
      <c r="AA270" s="46">
        <v>624908</v>
      </c>
      <c r="AB270" s="46" t="s">
        <v>1456</v>
      </c>
      <c r="AC270" s="46" t="s">
        <v>861</v>
      </c>
      <c r="AD270" s="46" t="s">
        <v>938</v>
      </c>
      <c r="AE270" s="47">
        <v>1000</v>
      </c>
      <c r="AF270" s="48" t="s">
        <v>1138</v>
      </c>
      <c r="AG270" s="48" t="s">
        <v>1138</v>
      </c>
      <c r="AH270" s="48" t="s">
        <v>1138</v>
      </c>
      <c r="AI270" s="48" t="s">
        <v>1138</v>
      </c>
      <c r="AJ270" s="89" t="s">
        <v>1138</v>
      </c>
      <c r="AK270" s="89" t="s">
        <v>1138</v>
      </c>
      <c r="AL270" s="49" t="s">
        <v>1138</v>
      </c>
      <c r="AM270" s="50" t="s">
        <v>1138</v>
      </c>
      <c r="AN270" s="50" t="s">
        <v>1138</v>
      </c>
      <c r="AO270" s="80">
        <v>46293</v>
      </c>
      <c r="AP270" s="52">
        <f>Table2[[#This Row],[تاريخ انتهاء رخصة السير هجري]]</f>
        <v>46293</v>
      </c>
      <c r="AQ270" s="53">
        <f ca="1">IF(Table2[[#This Row],[تاريخ انتهاء رخصة السير ميلادي]]="","",IFERROR(_xlfn.DAYS(Table2[[#This Row],[تاريخ انتهاء رخصة السير ميلادي]],TODAY()),""))</f>
        <v>33</v>
      </c>
      <c r="AR270" s="131" t="s">
        <v>1137</v>
      </c>
      <c r="AS270" s="133" t="s">
        <v>1137</v>
      </c>
      <c r="AT270" s="133" t="s">
        <v>1137</v>
      </c>
      <c r="AU270" s="54" t="s">
        <v>1581</v>
      </c>
      <c r="AV270" s="1"/>
      <c r="BE270" s="3"/>
      <c r="BH270" s="1"/>
    </row>
    <row r="271" spans="1:60" x14ac:dyDescent="0.3">
      <c r="A271" s="39" t="s">
        <v>19</v>
      </c>
      <c r="B271" s="39" t="s">
        <v>1193</v>
      </c>
      <c r="C271" s="39" t="s">
        <v>1193</v>
      </c>
      <c r="D271" s="39" t="s">
        <v>620</v>
      </c>
      <c r="E271" s="39" t="s">
        <v>820</v>
      </c>
      <c r="F271" s="54">
        <v>7025667531</v>
      </c>
      <c r="G271" s="41" t="s">
        <v>630</v>
      </c>
      <c r="H271" s="39" t="s">
        <v>631</v>
      </c>
      <c r="I271" s="58">
        <v>224482020</v>
      </c>
      <c r="J271" s="39" t="s">
        <v>613</v>
      </c>
      <c r="K271" s="39" t="s">
        <v>614</v>
      </c>
      <c r="L271" s="39" t="s">
        <v>615</v>
      </c>
      <c r="M271" s="39">
        <v>2023</v>
      </c>
      <c r="N271" s="39" t="s">
        <v>616</v>
      </c>
      <c r="O271" s="39" t="s">
        <v>1137</v>
      </c>
      <c r="P271" s="39" t="s">
        <v>1137</v>
      </c>
      <c r="Q271" s="39" t="s">
        <v>1137</v>
      </c>
      <c r="R271" s="124" t="s">
        <v>1137</v>
      </c>
      <c r="S271" s="124" t="s">
        <v>1137</v>
      </c>
      <c r="T271" s="124" t="s">
        <v>1137</v>
      </c>
      <c r="U271" s="42" t="s">
        <v>619</v>
      </c>
      <c r="V271" s="43">
        <v>46387</v>
      </c>
      <c r="W271" s="44">
        <f ca="1">IF(Table2[[#This Row],[تاريخ انتهاء التأمين]]="","",IFERROR(_xlfn.DAYS(Table2[[#This Row],[تاريخ انتهاء التأمين]],TODAY()),""))</f>
        <v>127</v>
      </c>
      <c r="X271" s="42" t="s">
        <v>16</v>
      </c>
      <c r="Y271" s="42" t="s">
        <v>431</v>
      </c>
      <c r="Z271" s="45" t="s">
        <v>1546</v>
      </c>
      <c r="AA271" s="46">
        <v>624907</v>
      </c>
      <c r="AB271" s="46" t="s">
        <v>1457</v>
      </c>
      <c r="AC271" s="46" t="s">
        <v>861</v>
      </c>
      <c r="AD271" s="46" t="s">
        <v>938</v>
      </c>
      <c r="AE271" s="47">
        <v>1000</v>
      </c>
      <c r="AF271" s="48" t="s">
        <v>1138</v>
      </c>
      <c r="AG271" s="48" t="s">
        <v>1138</v>
      </c>
      <c r="AH271" s="48" t="s">
        <v>1138</v>
      </c>
      <c r="AI271" s="48" t="s">
        <v>1138</v>
      </c>
      <c r="AJ271" s="89" t="s">
        <v>1138</v>
      </c>
      <c r="AK271" s="89" t="s">
        <v>1138</v>
      </c>
      <c r="AL271" s="49" t="s">
        <v>1138</v>
      </c>
      <c r="AM271" s="50" t="s">
        <v>1138</v>
      </c>
      <c r="AN271" s="50" t="s">
        <v>1138</v>
      </c>
      <c r="AO271" s="80">
        <v>46293</v>
      </c>
      <c r="AP271" s="52">
        <f>Table2[[#This Row],[تاريخ انتهاء رخصة السير هجري]]</f>
        <v>46293</v>
      </c>
      <c r="AQ271" s="53">
        <f ca="1">IF(Table2[[#This Row],[تاريخ انتهاء رخصة السير ميلادي]]="","",IFERROR(_xlfn.DAYS(Table2[[#This Row],[تاريخ انتهاء رخصة السير ميلادي]],TODAY()),""))</f>
        <v>33</v>
      </c>
      <c r="AR271" s="131" t="s">
        <v>1137</v>
      </c>
      <c r="AS271" s="133" t="s">
        <v>1137</v>
      </c>
      <c r="AT271" s="133" t="s">
        <v>1137</v>
      </c>
      <c r="AU271" s="54" t="s">
        <v>1581</v>
      </c>
      <c r="AV271" s="1"/>
      <c r="BE271" s="3"/>
      <c r="BH271" s="1"/>
    </row>
    <row r="272" spans="1:60" x14ac:dyDescent="0.3">
      <c r="A272" s="39" t="s">
        <v>19</v>
      </c>
      <c r="B272" s="39" t="s">
        <v>2000</v>
      </c>
      <c r="C272" s="39" t="s">
        <v>1187</v>
      </c>
      <c r="D272" s="39" t="s">
        <v>620</v>
      </c>
      <c r="E272" s="39" t="s">
        <v>820</v>
      </c>
      <c r="F272" s="54">
        <v>7025667531</v>
      </c>
      <c r="G272" s="41" t="s">
        <v>632</v>
      </c>
      <c r="H272" s="39" t="s">
        <v>633</v>
      </c>
      <c r="I272" s="58">
        <v>464482020</v>
      </c>
      <c r="J272" s="39" t="s">
        <v>613</v>
      </c>
      <c r="K272" s="39" t="s">
        <v>614</v>
      </c>
      <c r="L272" s="39" t="s">
        <v>615</v>
      </c>
      <c r="M272" s="39">
        <v>2023</v>
      </c>
      <c r="N272" s="39" t="s">
        <v>616</v>
      </c>
      <c r="O272" s="39" t="s">
        <v>1978</v>
      </c>
      <c r="P272" s="58">
        <v>2609179607</v>
      </c>
      <c r="Q272" s="39" t="s">
        <v>1785</v>
      </c>
      <c r="R272" s="124">
        <v>46095</v>
      </c>
      <c r="S272" s="124">
        <v>46387</v>
      </c>
      <c r="T272" s="58">
        <f ca="1">IF(Table2[[#This Row],[تاريخ نهاية التفويض]]="","",IFERROR(_xlfn.DAYS(Table2[[#This Row],[تاريخ نهاية التفويض]],TODAY()),""))</f>
        <v>127</v>
      </c>
      <c r="U272" s="42" t="s">
        <v>619</v>
      </c>
      <c r="V272" s="43">
        <v>46387</v>
      </c>
      <c r="W272" s="44">
        <f ca="1">IF(Table2[[#This Row],[تاريخ انتهاء التأمين]]="","",IFERROR(_xlfn.DAYS(Table2[[#This Row],[تاريخ انتهاء التأمين]],TODAY()),""))</f>
        <v>127</v>
      </c>
      <c r="X272" s="42" t="s">
        <v>16</v>
      </c>
      <c r="Y272" s="42" t="s">
        <v>431</v>
      </c>
      <c r="Z272" s="45" t="s">
        <v>1546</v>
      </c>
      <c r="AA272" s="46">
        <v>624900</v>
      </c>
      <c r="AB272" s="46" t="s">
        <v>1458</v>
      </c>
      <c r="AC272" s="46" t="s">
        <v>861</v>
      </c>
      <c r="AD272" s="46" t="s">
        <v>938</v>
      </c>
      <c r="AE272" s="47">
        <v>1000</v>
      </c>
      <c r="AF272" s="48" t="s">
        <v>1481</v>
      </c>
      <c r="AG272" s="48" t="s">
        <v>861</v>
      </c>
      <c r="AH272" s="48" t="s">
        <v>1149</v>
      </c>
      <c r="AI272" s="90">
        <v>864275074223424</v>
      </c>
      <c r="AJ272" s="89">
        <v>46173</v>
      </c>
      <c r="AK272" s="102">
        <f ca="1">IF(Table2[[#This Row],[تاريخ انتهاء ال GPS]]="","",IFERROR(_xlfn.DAYS(Table2[[#This Row],[تاريخ انتهاء ال GPS]],TODAY()),""))</f>
        <v>-87</v>
      </c>
      <c r="AL272" s="49" t="s">
        <v>1138</v>
      </c>
      <c r="AM272" s="50" t="s">
        <v>1138</v>
      </c>
      <c r="AN272" s="50" t="s">
        <v>1138</v>
      </c>
      <c r="AO272" s="80">
        <v>46293</v>
      </c>
      <c r="AP272" s="52">
        <f>Table2[[#This Row],[تاريخ انتهاء رخصة السير هجري]]</f>
        <v>46293</v>
      </c>
      <c r="AQ272" s="53">
        <f ca="1">IF(Table2[[#This Row],[تاريخ انتهاء رخصة السير ميلادي]]="","",IFERROR(_xlfn.DAYS(Table2[[#This Row],[تاريخ انتهاء رخصة السير ميلادي]],TODAY()),""))</f>
        <v>33</v>
      </c>
      <c r="AR272" s="131" t="s">
        <v>1137</v>
      </c>
      <c r="AS272" s="133" t="s">
        <v>1137</v>
      </c>
      <c r="AT272" s="133" t="s">
        <v>1137</v>
      </c>
      <c r="AU272" s="54" t="s">
        <v>1581</v>
      </c>
      <c r="AV272" s="1"/>
      <c r="BE272" s="3"/>
      <c r="BH272" s="1"/>
    </row>
    <row r="273" spans="1:60" x14ac:dyDescent="0.3">
      <c r="A273" s="39" t="s">
        <v>19</v>
      </c>
      <c r="B273" s="39" t="s">
        <v>2007</v>
      </c>
      <c r="C273" s="39" t="s">
        <v>2004</v>
      </c>
      <c r="D273" s="39" t="s">
        <v>620</v>
      </c>
      <c r="E273" s="39" t="s">
        <v>820</v>
      </c>
      <c r="F273" s="54">
        <v>7025667531</v>
      </c>
      <c r="G273" s="41" t="s">
        <v>634</v>
      </c>
      <c r="H273" s="39" t="s">
        <v>635</v>
      </c>
      <c r="I273" s="58">
        <v>5482020</v>
      </c>
      <c r="J273" s="39" t="s">
        <v>613</v>
      </c>
      <c r="K273" s="39" t="s">
        <v>614</v>
      </c>
      <c r="L273" s="39" t="s">
        <v>615</v>
      </c>
      <c r="M273" s="39">
        <v>2023</v>
      </c>
      <c r="N273" s="39" t="s">
        <v>616</v>
      </c>
      <c r="O273" s="39" t="s">
        <v>1979</v>
      </c>
      <c r="P273" s="58">
        <v>2572515928</v>
      </c>
      <c r="Q273" s="39" t="s">
        <v>1786</v>
      </c>
      <c r="R273" s="124">
        <v>46181</v>
      </c>
      <c r="S273" s="124">
        <v>46387</v>
      </c>
      <c r="T273" s="58">
        <f ca="1">IF(Table2[[#This Row],[تاريخ نهاية التفويض]]="","",IFERROR(_xlfn.DAYS(Table2[[#This Row],[تاريخ نهاية التفويض]],TODAY()),""))</f>
        <v>127</v>
      </c>
      <c r="U273" s="42" t="s">
        <v>619</v>
      </c>
      <c r="V273" s="43">
        <v>46387</v>
      </c>
      <c r="W273" s="44">
        <f ca="1">IF(Table2[[#This Row],[تاريخ انتهاء التأمين]]="","",IFERROR(_xlfn.DAYS(Table2[[#This Row],[تاريخ انتهاء التأمين]],TODAY()),""))</f>
        <v>127</v>
      </c>
      <c r="X273" s="42" t="s">
        <v>16</v>
      </c>
      <c r="Y273" s="42" t="s">
        <v>431</v>
      </c>
      <c r="Z273" s="45" t="s">
        <v>1546</v>
      </c>
      <c r="AA273" s="46">
        <v>624903</v>
      </c>
      <c r="AB273" s="46" t="s">
        <v>1459</v>
      </c>
      <c r="AC273" s="46" t="s">
        <v>861</v>
      </c>
      <c r="AD273" s="46" t="s">
        <v>938</v>
      </c>
      <c r="AE273" s="47">
        <v>1000</v>
      </c>
      <c r="AF273" s="48" t="s">
        <v>1138</v>
      </c>
      <c r="AG273" s="48" t="s">
        <v>1138</v>
      </c>
      <c r="AH273" s="48" t="s">
        <v>1138</v>
      </c>
      <c r="AI273" s="90" t="s">
        <v>1138</v>
      </c>
      <c r="AJ273" s="89" t="s">
        <v>1138</v>
      </c>
      <c r="AK273" s="89" t="s">
        <v>1138</v>
      </c>
      <c r="AL273" s="49" t="s">
        <v>1138</v>
      </c>
      <c r="AM273" s="50" t="s">
        <v>1138</v>
      </c>
      <c r="AN273" s="50" t="s">
        <v>1138</v>
      </c>
      <c r="AO273" s="80">
        <v>46293</v>
      </c>
      <c r="AP273" s="52">
        <f>Table2[[#This Row],[تاريخ انتهاء رخصة السير هجري]]</f>
        <v>46293</v>
      </c>
      <c r="AQ273" s="53">
        <f ca="1">IF(Table2[[#This Row],[تاريخ انتهاء رخصة السير ميلادي]]="","",IFERROR(_xlfn.DAYS(Table2[[#This Row],[تاريخ انتهاء رخصة السير ميلادي]],TODAY()),""))</f>
        <v>33</v>
      </c>
      <c r="AR273" s="131" t="s">
        <v>1137</v>
      </c>
      <c r="AS273" s="133" t="s">
        <v>1137</v>
      </c>
      <c r="AT273" s="133" t="s">
        <v>1137</v>
      </c>
      <c r="AU273" s="54" t="s">
        <v>1581</v>
      </c>
      <c r="AV273" s="1"/>
      <c r="BE273" s="3"/>
      <c r="BH273" s="1"/>
    </row>
    <row r="274" spans="1:60" x14ac:dyDescent="0.3">
      <c r="A274" s="39" t="s">
        <v>19</v>
      </c>
      <c r="B274" s="39" t="s">
        <v>1193</v>
      </c>
      <c r="C274" s="39" t="s">
        <v>1193</v>
      </c>
      <c r="D274" s="39" t="s">
        <v>620</v>
      </c>
      <c r="E274" s="39" t="s">
        <v>1138</v>
      </c>
      <c r="F274" s="54" t="s">
        <v>1138</v>
      </c>
      <c r="G274" s="41" t="s">
        <v>636</v>
      </c>
      <c r="H274" s="39" t="s">
        <v>637</v>
      </c>
      <c r="I274" s="58">
        <v>316482020</v>
      </c>
      <c r="J274" s="39" t="s">
        <v>613</v>
      </c>
      <c r="K274" s="39" t="s">
        <v>614</v>
      </c>
      <c r="L274" s="39" t="s">
        <v>615</v>
      </c>
      <c r="M274" s="39">
        <v>2023</v>
      </c>
      <c r="N274" s="39" t="s">
        <v>427</v>
      </c>
      <c r="O274" s="39" t="s">
        <v>1923</v>
      </c>
      <c r="P274" s="58">
        <v>2605532643</v>
      </c>
      <c r="Q274" s="39" t="s">
        <v>1787</v>
      </c>
      <c r="R274" s="124">
        <v>46160</v>
      </c>
      <c r="S274" s="124">
        <v>46387</v>
      </c>
      <c r="T274" s="58">
        <f ca="1">IF(Table2[[#This Row],[تاريخ نهاية التفويض]]="","",IFERROR(_xlfn.DAYS(Table2[[#This Row],[تاريخ نهاية التفويض]],TODAY()),""))</f>
        <v>127</v>
      </c>
      <c r="U274" s="42" t="s">
        <v>619</v>
      </c>
      <c r="V274" s="43">
        <v>46387</v>
      </c>
      <c r="W274" s="44">
        <f ca="1">IF(Table2[[#This Row],[تاريخ انتهاء التأمين]]="","",IFERROR(_xlfn.DAYS(Table2[[#This Row],[تاريخ انتهاء التأمين]],TODAY()),""))</f>
        <v>127</v>
      </c>
      <c r="X274" s="42" t="s">
        <v>16</v>
      </c>
      <c r="Y274" s="42" t="s">
        <v>431</v>
      </c>
      <c r="Z274" s="45" t="s">
        <v>1546</v>
      </c>
      <c r="AA274" s="46">
        <v>624902</v>
      </c>
      <c r="AB274" s="46" t="s">
        <v>1460</v>
      </c>
      <c r="AC274" s="46" t="s">
        <v>861</v>
      </c>
      <c r="AD274" s="46" t="s">
        <v>938</v>
      </c>
      <c r="AE274" s="47">
        <v>1000</v>
      </c>
      <c r="AF274" s="48" t="s">
        <v>1138</v>
      </c>
      <c r="AG274" s="48" t="s">
        <v>1138</v>
      </c>
      <c r="AH274" s="48" t="s">
        <v>1138</v>
      </c>
      <c r="AI274" s="90" t="s">
        <v>1138</v>
      </c>
      <c r="AJ274" s="89" t="s">
        <v>1138</v>
      </c>
      <c r="AK274" s="89" t="s">
        <v>1138</v>
      </c>
      <c r="AL274" s="49" t="s">
        <v>1138</v>
      </c>
      <c r="AM274" s="50" t="s">
        <v>1138</v>
      </c>
      <c r="AN274" s="50" t="s">
        <v>1138</v>
      </c>
      <c r="AO274" s="80">
        <v>46293</v>
      </c>
      <c r="AP274" s="52">
        <f>Table2[[#This Row],[تاريخ انتهاء رخصة السير هجري]]</f>
        <v>46293</v>
      </c>
      <c r="AQ274" s="53">
        <f ca="1">IF(Table2[[#This Row],[تاريخ انتهاء رخصة السير ميلادي]]="","",IFERROR(_xlfn.DAYS(Table2[[#This Row],[تاريخ انتهاء رخصة السير ميلادي]],TODAY()),""))</f>
        <v>33</v>
      </c>
      <c r="AR274" s="131" t="s">
        <v>1137</v>
      </c>
      <c r="AS274" s="133" t="s">
        <v>1137</v>
      </c>
      <c r="AT274" s="133" t="s">
        <v>1137</v>
      </c>
      <c r="AU274" s="54" t="s">
        <v>1581</v>
      </c>
      <c r="AV274" s="1"/>
      <c r="BE274" s="3"/>
      <c r="BH274" s="1"/>
    </row>
    <row r="275" spans="1:60" x14ac:dyDescent="0.3">
      <c r="A275" s="39" t="s">
        <v>19</v>
      </c>
      <c r="B275" s="39" t="s">
        <v>2005</v>
      </c>
      <c r="C275" s="39" t="s">
        <v>1187</v>
      </c>
      <c r="D275" s="39" t="s">
        <v>620</v>
      </c>
      <c r="E275" s="39" t="s">
        <v>820</v>
      </c>
      <c r="F275" s="54">
        <v>7025667531</v>
      </c>
      <c r="G275" s="41" t="s">
        <v>638</v>
      </c>
      <c r="H275" s="39" t="s">
        <v>639</v>
      </c>
      <c r="I275" s="58">
        <v>144482020</v>
      </c>
      <c r="J275" s="39" t="s">
        <v>613</v>
      </c>
      <c r="K275" s="39" t="s">
        <v>614</v>
      </c>
      <c r="L275" s="39" t="s">
        <v>615</v>
      </c>
      <c r="M275" s="39">
        <v>2023</v>
      </c>
      <c r="N275" s="39" t="s">
        <v>616</v>
      </c>
      <c r="O275" s="39" t="s">
        <v>1980</v>
      </c>
      <c r="P275" s="58">
        <v>2559532565</v>
      </c>
      <c r="Q275" s="39" t="s">
        <v>1788</v>
      </c>
      <c r="R275" s="124">
        <v>46249</v>
      </c>
      <c r="S275" s="124">
        <v>46387</v>
      </c>
      <c r="T275" s="58">
        <f ca="1">IF(Table2[[#This Row],[تاريخ نهاية التفويض]]="","",IFERROR(_xlfn.DAYS(Table2[[#This Row],[تاريخ نهاية التفويض]],TODAY()),""))</f>
        <v>127</v>
      </c>
      <c r="U275" s="42" t="s">
        <v>619</v>
      </c>
      <c r="V275" s="43">
        <v>46387</v>
      </c>
      <c r="W275" s="44">
        <f ca="1">IF(Table2[[#This Row],[تاريخ انتهاء التأمين]]="","",IFERROR(_xlfn.DAYS(Table2[[#This Row],[تاريخ انتهاء التأمين]],TODAY()),""))</f>
        <v>127</v>
      </c>
      <c r="X275" s="42" t="s">
        <v>16</v>
      </c>
      <c r="Y275" s="42" t="s">
        <v>431</v>
      </c>
      <c r="Z275" s="45" t="s">
        <v>1546</v>
      </c>
      <c r="AA275" s="46">
        <v>624906</v>
      </c>
      <c r="AB275" s="46" t="s">
        <v>1461</v>
      </c>
      <c r="AC275" s="46" t="s">
        <v>861</v>
      </c>
      <c r="AD275" s="46" t="s">
        <v>938</v>
      </c>
      <c r="AE275" s="47">
        <v>1000</v>
      </c>
      <c r="AF275" s="48" t="s">
        <v>1138</v>
      </c>
      <c r="AG275" s="48" t="s">
        <v>1138</v>
      </c>
      <c r="AH275" s="48" t="s">
        <v>1138</v>
      </c>
      <c r="AI275" s="90" t="s">
        <v>1138</v>
      </c>
      <c r="AJ275" s="89" t="s">
        <v>1138</v>
      </c>
      <c r="AK275" s="89" t="s">
        <v>1138</v>
      </c>
      <c r="AL275" s="49" t="s">
        <v>1138</v>
      </c>
      <c r="AM275" s="50" t="s">
        <v>1138</v>
      </c>
      <c r="AN275" s="50" t="s">
        <v>1138</v>
      </c>
      <c r="AO275" s="80">
        <v>46293</v>
      </c>
      <c r="AP275" s="52">
        <f>Table2[[#This Row],[تاريخ انتهاء رخصة السير هجري]]</f>
        <v>46293</v>
      </c>
      <c r="AQ275" s="53">
        <f ca="1">IF(Table2[[#This Row],[تاريخ انتهاء رخصة السير ميلادي]]="","",IFERROR(_xlfn.DAYS(Table2[[#This Row],[تاريخ انتهاء رخصة السير ميلادي]],TODAY()),""))</f>
        <v>33</v>
      </c>
      <c r="AR275" s="131" t="s">
        <v>1137</v>
      </c>
      <c r="AS275" s="133" t="s">
        <v>1137</v>
      </c>
      <c r="AT275" s="133" t="s">
        <v>1137</v>
      </c>
      <c r="AU275" s="54" t="s">
        <v>1581</v>
      </c>
      <c r="AV275" s="1"/>
      <c r="BE275" s="3"/>
      <c r="BH275" s="1"/>
    </row>
    <row r="276" spans="1:60" x14ac:dyDescent="0.3">
      <c r="A276" s="39" t="s">
        <v>1125</v>
      </c>
      <c r="B276" s="39" t="s">
        <v>1180</v>
      </c>
      <c r="C276" s="39" t="s">
        <v>1187</v>
      </c>
      <c r="D276" s="39" t="s">
        <v>17</v>
      </c>
      <c r="E276" s="39" t="s">
        <v>819</v>
      </c>
      <c r="F276" s="40">
        <v>7025667531</v>
      </c>
      <c r="G276" s="41" t="s">
        <v>643</v>
      </c>
      <c r="H276" s="39" t="s">
        <v>644</v>
      </c>
      <c r="I276" s="58">
        <v>538189120</v>
      </c>
      <c r="J276" s="39" t="s">
        <v>613</v>
      </c>
      <c r="K276" s="39" t="s">
        <v>640</v>
      </c>
      <c r="L276" s="39" t="s">
        <v>641</v>
      </c>
      <c r="M276" s="39">
        <v>2024</v>
      </c>
      <c r="N276" s="39" t="s">
        <v>642</v>
      </c>
      <c r="O276" s="39" t="s">
        <v>1487</v>
      </c>
      <c r="P276" s="58">
        <v>2595239118</v>
      </c>
      <c r="Q276" s="39" t="s">
        <v>1789</v>
      </c>
      <c r="R276" s="124">
        <v>46219</v>
      </c>
      <c r="S276" s="124">
        <v>46387</v>
      </c>
      <c r="T276" s="58">
        <f ca="1">IF(Table2[[#This Row],[تاريخ نهاية التفويض]]="","",IFERROR(_xlfn.DAYS(Table2[[#This Row],[تاريخ نهاية التفويض]],TODAY()),""))</f>
        <v>127</v>
      </c>
      <c r="U276" s="42" t="s">
        <v>480</v>
      </c>
      <c r="V276" s="43">
        <v>46596</v>
      </c>
      <c r="W276" s="44">
        <f ca="1">IF(Table2[[#This Row],[تاريخ انتهاء التأمين]]="","",IFERROR(_xlfn.DAYS(Table2[[#This Row],[تاريخ انتهاء التأمين]],TODAY()),""))</f>
        <v>336</v>
      </c>
      <c r="X276" s="42" t="s">
        <v>16</v>
      </c>
      <c r="Y276" s="42" t="s">
        <v>431</v>
      </c>
      <c r="Z276" s="45">
        <v>4500</v>
      </c>
      <c r="AA276" s="46">
        <v>828743</v>
      </c>
      <c r="AB276" s="46" t="s">
        <v>1248</v>
      </c>
      <c r="AC276" s="46" t="s">
        <v>861</v>
      </c>
      <c r="AD276" s="46" t="s">
        <v>939</v>
      </c>
      <c r="AE276" s="47" t="s">
        <v>939</v>
      </c>
      <c r="AF276" s="114" t="s">
        <v>1137</v>
      </c>
      <c r="AG276" s="114" t="s">
        <v>1137</v>
      </c>
      <c r="AH276" s="114" t="s">
        <v>1137</v>
      </c>
      <c r="AI276" s="115" t="s">
        <v>1137</v>
      </c>
      <c r="AJ276" s="129" t="s">
        <v>1137</v>
      </c>
      <c r="AK276" s="129" t="s">
        <v>1137</v>
      </c>
      <c r="AL276" s="49" t="s">
        <v>1138</v>
      </c>
      <c r="AM276" s="50" t="s">
        <v>1138</v>
      </c>
      <c r="AN276" s="50" t="s">
        <v>1138</v>
      </c>
      <c r="AO276" s="80">
        <v>46873</v>
      </c>
      <c r="AP276" s="52">
        <f>Table2[[#This Row],[تاريخ انتهاء رخصة السير هجري]]</f>
        <v>46873</v>
      </c>
      <c r="AQ276" s="53">
        <f ca="1">IF(Table2[[#This Row],[تاريخ انتهاء رخصة السير ميلادي]]="","",IFERROR(_xlfn.DAYS(Table2[[#This Row],[تاريخ انتهاء رخصة السير ميلادي]],TODAY()),""))</f>
        <v>613</v>
      </c>
      <c r="AR276" s="55">
        <f>Table2[[#This Row],[تاريخ انتهاء الفحص ميلادي]]</f>
        <v>46022</v>
      </c>
      <c r="AS276" s="56">
        <v>46022</v>
      </c>
      <c r="AT276" s="106">
        <f ca="1">IF(Table2[[#This Row],[تاريخ انتهاء الفحص ميلادي]]="","",IFERROR(_xlfn.DAYS(Table2[[#This Row],[تاريخ انتهاء الفحص ميلادي]],TODAY()),""))</f>
        <v>-238</v>
      </c>
      <c r="AU276" s="54" t="s">
        <v>1501</v>
      </c>
      <c r="AV276" s="1"/>
      <c r="BE276" s="3"/>
      <c r="BH276" s="1"/>
    </row>
    <row r="277" spans="1:60" x14ac:dyDescent="0.3">
      <c r="A277" s="39" t="s">
        <v>1125</v>
      </c>
      <c r="B277" s="39" t="s">
        <v>1179</v>
      </c>
      <c r="C277" s="39" t="s">
        <v>1192</v>
      </c>
      <c r="D277" s="39" t="s">
        <v>17</v>
      </c>
      <c r="E277" s="39" t="s">
        <v>819</v>
      </c>
      <c r="F277" s="40">
        <v>7025667531</v>
      </c>
      <c r="G277" s="41" t="s">
        <v>645</v>
      </c>
      <c r="H277" s="39" t="s">
        <v>646</v>
      </c>
      <c r="I277" s="58">
        <v>783851220</v>
      </c>
      <c r="J277" s="39" t="s">
        <v>613</v>
      </c>
      <c r="K277" s="39" t="s">
        <v>640</v>
      </c>
      <c r="L277" s="39" t="s">
        <v>641</v>
      </c>
      <c r="M277" s="39">
        <v>2026</v>
      </c>
      <c r="N277" s="39" t="s">
        <v>427</v>
      </c>
      <c r="O277" s="39" t="s">
        <v>1493</v>
      </c>
      <c r="P277" s="58">
        <v>2425848534</v>
      </c>
      <c r="Q277" s="39" t="s">
        <v>1790</v>
      </c>
      <c r="R277" s="124">
        <v>46145</v>
      </c>
      <c r="S277" s="124">
        <v>46387</v>
      </c>
      <c r="T277" s="58">
        <f ca="1">IF(Table2[[#This Row],[تاريخ نهاية التفويض]]="","",IFERROR(_xlfn.DAYS(Table2[[#This Row],[تاريخ نهاية التفويض]],TODAY()),""))</f>
        <v>127</v>
      </c>
      <c r="U277" s="42" t="s">
        <v>480</v>
      </c>
      <c r="V277" s="43">
        <v>46596</v>
      </c>
      <c r="W277" s="44">
        <f ca="1">IF(Table2[[#This Row],[تاريخ انتهاء التأمين]]="","",IFERROR(_xlfn.DAYS(Table2[[#This Row],[تاريخ انتهاء التأمين]],TODAY()),""))</f>
        <v>336</v>
      </c>
      <c r="X277" s="42" t="s">
        <v>16</v>
      </c>
      <c r="Y277" s="42" t="s">
        <v>431</v>
      </c>
      <c r="Z277" s="45">
        <v>4500</v>
      </c>
      <c r="AA277" s="46">
        <v>856440</v>
      </c>
      <c r="AB277" s="46" t="s">
        <v>1262</v>
      </c>
      <c r="AC277" s="46" t="s">
        <v>861</v>
      </c>
      <c r="AD277" s="46" t="s">
        <v>939</v>
      </c>
      <c r="AE277" s="47" t="s">
        <v>939</v>
      </c>
      <c r="AF277" s="114" t="s">
        <v>1137</v>
      </c>
      <c r="AG277" s="114" t="s">
        <v>1137</v>
      </c>
      <c r="AH277" s="114" t="s">
        <v>1137</v>
      </c>
      <c r="AI277" s="115" t="s">
        <v>1137</v>
      </c>
      <c r="AJ277" s="129" t="s">
        <v>1137</v>
      </c>
      <c r="AK277" s="129" t="s">
        <v>1137</v>
      </c>
      <c r="AL277" s="49" t="s">
        <v>1138</v>
      </c>
      <c r="AM277" s="50" t="s">
        <v>1138</v>
      </c>
      <c r="AN277" s="50" t="s">
        <v>1138</v>
      </c>
      <c r="AO277" s="80">
        <v>46940</v>
      </c>
      <c r="AP277" s="52">
        <f>Table2[[#This Row],[تاريخ انتهاء رخصة السير هجري]]</f>
        <v>46940</v>
      </c>
      <c r="AQ277" s="53">
        <f ca="1">IF(Table2[[#This Row],[تاريخ انتهاء رخصة السير ميلادي]]="","",IFERROR(_xlfn.DAYS(Table2[[#This Row],[تاريخ انتهاء رخصة السير ميلادي]],TODAY()),""))</f>
        <v>680</v>
      </c>
      <c r="AR277" s="55">
        <f>Table2[[#This Row],[تاريخ انتهاء الفحص ميلادي]]</f>
        <v>46752</v>
      </c>
      <c r="AS277" s="56">
        <v>46752</v>
      </c>
      <c r="AT277" s="106">
        <f ca="1">IF(Table2[[#This Row],[تاريخ انتهاء الفحص ميلادي]]="","",IFERROR(_xlfn.DAYS(Table2[[#This Row],[تاريخ انتهاء الفحص ميلادي]],TODAY()),""))</f>
        <v>492</v>
      </c>
      <c r="AU277" s="54" t="s">
        <v>1501</v>
      </c>
      <c r="AV277" s="1"/>
      <c r="BE277" s="3"/>
      <c r="BH277" s="1"/>
    </row>
    <row r="278" spans="1:60" x14ac:dyDescent="0.3">
      <c r="A278" s="39" t="s">
        <v>1125</v>
      </c>
      <c r="B278" s="39" t="s">
        <v>1179</v>
      </c>
      <c r="C278" s="39" t="s">
        <v>1187</v>
      </c>
      <c r="D278" s="39" t="s">
        <v>929</v>
      </c>
      <c r="E278" s="39" t="s">
        <v>1138</v>
      </c>
      <c r="F278" s="54">
        <v>7025667531</v>
      </c>
      <c r="G278" s="41" t="s">
        <v>647</v>
      </c>
      <c r="H278" s="39" t="s">
        <v>648</v>
      </c>
      <c r="I278" s="58">
        <v>849209120</v>
      </c>
      <c r="J278" s="39" t="s">
        <v>613</v>
      </c>
      <c r="K278" s="39" t="s">
        <v>640</v>
      </c>
      <c r="L278" s="39" t="s">
        <v>641</v>
      </c>
      <c r="M278" s="58">
        <v>2024</v>
      </c>
      <c r="N278" s="39" t="s">
        <v>427</v>
      </c>
      <c r="O278" s="39" t="s">
        <v>1496</v>
      </c>
      <c r="P278" s="58">
        <v>2595239118</v>
      </c>
      <c r="Q278" s="59" t="s">
        <v>1137</v>
      </c>
      <c r="R278" s="124" t="s">
        <v>1137</v>
      </c>
      <c r="S278" s="111" t="s">
        <v>1137</v>
      </c>
      <c r="T278" s="111" t="s">
        <v>1137</v>
      </c>
      <c r="U278" s="42" t="s">
        <v>1544</v>
      </c>
      <c r="V278" s="43">
        <v>46512</v>
      </c>
      <c r="W278" s="44">
        <f ca="1">IF(Table2[[#This Row],[تاريخ انتهاء التأمين]]="","",IFERROR(_xlfn.DAYS(Table2[[#This Row],[تاريخ انتهاء التأمين]],TODAY()),""))</f>
        <v>252</v>
      </c>
      <c r="X278" s="42" t="s">
        <v>790</v>
      </c>
      <c r="Y278" s="42" t="s">
        <v>431</v>
      </c>
      <c r="Z278" s="42" t="s">
        <v>1544</v>
      </c>
      <c r="AA278" s="46">
        <v>831567</v>
      </c>
      <c r="AB278" s="46" t="s">
        <v>1249</v>
      </c>
      <c r="AC278" s="46" t="s">
        <v>861</v>
      </c>
      <c r="AD278" s="46" t="s">
        <v>939</v>
      </c>
      <c r="AE278" s="47" t="s">
        <v>939</v>
      </c>
      <c r="AF278" s="48" t="s">
        <v>1481</v>
      </c>
      <c r="AG278" s="48" t="s">
        <v>861</v>
      </c>
      <c r="AH278" s="48" t="s">
        <v>1149</v>
      </c>
      <c r="AI278" s="90">
        <v>864275075082951</v>
      </c>
      <c r="AJ278" s="89">
        <v>46171</v>
      </c>
      <c r="AK278" s="102">
        <f ca="1">IF(Table2[[#This Row],[تاريخ انتهاء ال GPS]]="","",IFERROR(_xlfn.DAYS(Table2[[#This Row],[تاريخ انتهاء ال GPS]],TODAY()),""))</f>
        <v>-89</v>
      </c>
      <c r="AL278" s="49" t="s">
        <v>1138</v>
      </c>
      <c r="AM278" s="50" t="s">
        <v>1138</v>
      </c>
      <c r="AN278" s="50" t="s">
        <v>1138</v>
      </c>
      <c r="AO278" s="80">
        <v>46848</v>
      </c>
      <c r="AP278" s="52">
        <f>Table2[[#This Row],[تاريخ انتهاء رخصة السير هجري]]</f>
        <v>46848</v>
      </c>
      <c r="AQ278" s="53">
        <f ca="1">IF(Table2[[#This Row],[تاريخ انتهاء رخصة السير ميلادي]]="","",IFERROR(_xlfn.DAYS(Table2[[#This Row],[تاريخ انتهاء رخصة السير ميلادي]],TODAY()),""))</f>
        <v>588</v>
      </c>
      <c r="AR278" s="131" t="s">
        <v>1137</v>
      </c>
      <c r="AS278" s="133" t="s">
        <v>1137</v>
      </c>
      <c r="AT278" s="133" t="s">
        <v>1137</v>
      </c>
      <c r="AU278" s="54" t="s">
        <v>1581</v>
      </c>
      <c r="AV278" s="1"/>
      <c r="BE278" s="3"/>
      <c r="BH278" s="1"/>
    </row>
    <row r="279" spans="1:60" x14ac:dyDescent="0.3">
      <c r="A279" s="39" t="s">
        <v>1125</v>
      </c>
      <c r="B279" s="39" t="s">
        <v>1179</v>
      </c>
      <c r="C279" s="39" t="s">
        <v>1189</v>
      </c>
      <c r="D279" s="39" t="s">
        <v>930</v>
      </c>
      <c r="E279" s="39" t="s">
        <v>1138</v>
      </c>
      <c r="F279" s="54">
        <v>7025667531</v>
      </c>
      <c r="G279" s="41" t="s">
        <v>649</v>
      </c>
      <c r="H279" s="39" t="s">
        <v>650</v>
      </c>
      <c r="I279" s="58">
        <v>404902120</v>
      </c>
      <c r="J279" s="39" t="s">
        <v>613</v>
      </c>
      <c r="K279" s="39" t="s">
        <v>640</v>
      </c>
      <c r="L279" s="39" t="s">
        <v>641</v>
      </c>
      <c r="M279" s="58">
        <v>2024</v>
      </c>
      <c r="N279" s="39" t="s">
        <v>427</v>
      </c>
      <c r="O279" s="39" t="s">
        <v>1488</v>
      </c>
      <c r="P279" s="58">
        <v>2558653974</v>
      </c>
      <c r="Q279" s="59" t="s">
        <v>1137</v>
      </c>
      <c r="R279" s="124" t="s">
        <v>1137</v>
      </c>
      <c r="S279" s="111" t="s">
        <v>1137</v>
      </c>
      <c r="T279" s="111" t="s">
        <v>1137</v>
      </c>
      <c r="U279" s="42" t="s">
        <v>1544</v>
      </c>
      <c r="V279" s="43">
        <v>46280</v>
      </c>
      <c r="W279" s="44">
        <f ca="1">IF(Table2[[#This Row],[تاريخ انتهاء التأمين]]="","",IFERROR(_xlfn.DAYS(Table2[[#This Row],[تاريخ انتهاء التأمين]],TODAY()),""))</f>
        <v>20</v>
      </c>
      <c r="X279" s="42" t="s">
        <v>1134</v>
      </c>
      <c r="Y279" s="45" t="s">
        <v>431</v>
      </c>
      <c r="Z279" s="42" t="s">
        <v>1544</v>
      </c>
      <c r="AA279" s="46">
        <v>712465</v>
      </c>
      <c r="AB279" s="46" t="s">
        <v>1250</v>
      </c>
      <c r="AC279" s="46" t="s">
        <v>861</v>
      </c>
      <c r="AD279" s="46" t="s">
        <v>939</v>
      </c>
      <c r="AE279" s="47" t="s">
        <v>939</v>
      </c>
      <c r="AF279" s="48" t="s">
        <v>1481</v>
      </c>
      <c r="AG279" s="48" t="s">
        <v>861</v>
      </c>
      <c r="AH279" s="48" t="s">
        <v>1149</v>
      </c>
      <c r="AI279" s="90">
        <v>864275070417426</v>
      </c>
      <c r="AJ279" s="89">
        <v>45699</v>
      </c>
      <c r="AK279" s="102">
        <f ca="1">IF(Table2[[#This Row],[تاريخ انتهاء ال GPS]]="","",IFERROR(_xlfn.DAYS(Table2[[#This Row],[تاريخ انتهاء ال GPS]],TODAY()),""))</f>
        <v>-561</v>
      </c>
      <c r="AL279" s="49" t="s">
        <v>1138</v>
      </c>
      <c r="AM279" s="50" t="s">
        <v>1138</v>
      </c>
      <c r="AN279" s="50" t="s">
        <v>1138</v>
      </c>
      <c r="AO279" s="80">
        <v>46616</v>
      </c>
      <c r="AP279" s="52">
        <f>Table2[[#This Row],[تاريخ انتهاء رخصة السير هجري]]</f>
        <v>46616</v>
      </c>
      <c r="AQ279" s="53">
        <f ca="1">IF(Table2[[#This Row],[تاريخ انتهاء رخصة السير ميلادي]]="","",IFERROR(_xlfn.DAYS(Table2[[#This Row],[تاريخ انتهاء رخصة السير ميلادي]],TODAY()),""))</f>
        <v>356</v>
      </c>
      <c r="AR279" s="131" t="s">
        <v>1137</v>
      </c>
      <c r="AS279" s="133" t="s">
        <v>1137</v>
      </c>
      <c r="AT279" s="133" t="s">
        <v>1137</v>
      </c>
      <c r="AU279" s="54" t="s">
        <v>1581</v>
      </c>
      <c r="AV279" s="1"/>
      <c r="BE279" s="3"/>
      <c r="BH279" s="1"/>
    </row>
    <row r="280" spans="1:60" x14ac:dyDescent="0.3">
      <c r="A280" s="39" t="s">
        <v>1125</v>
      </c>
      <c r="B280" s="39" t="s">
        <v>1180</v>
      </c>
      <c r="C280" s="39" t="s">
        <v>1188</v>
      </c>
      <c r="D280" s="39" t="s">
        <v>931</v>
      </c>
      <c r="E280" s="39" t="s">
        <v>1138</v>
      </c>
      <c r="F280" s="54">
        <v>7025667531</v>
      </c>
      <c r="G280" s="41" t="s">
        <v>651</v>
      </c>
      <c r="H280" s="39" t="s">
        <v>652</v>
      </c>
      <c r="I280" s="58">
        <v>34412120</v>
      </c>
      <c r="J280" s="39" t="s">
        <v>613</v>
      </c>
      <c r="K280" s="39" t="s">
        <v>640</v>
      </c>
      <c r="L280" s="39" t="s">
        <v>641</v>
      </c>
      <c r="M280" s="58">
        <v>2024</v>
      </c>
      <c r="N280" s="39" t="s">
        <v>427</v>
      </c>
      <c r="O280" s="39" t="s">
        <v>1489</v>
      </c>
      <c r="P280" s="58">
        <v>2617425794</v>
      </c>
      <c r="Q280" s="59" t="s">
        <v>1137</v>
      </c>
      <c r="R280" s="124" t="s">
        <v>1137</v>
      </c>
      <c r="S280" s="111" t="s">
        <v>1137</v>
      </c>
      <c r="T280" s="111" t="s">
        <v>1137</v>
      </c>
      <c r="U280" s="42" t="s">
        <v>1544</v>
      </c>
      <c r="V280" s="43">
        <v>46283</v>
      </c>
      <c r="W280" s="44">
        <f ca="1">IF(Table2[[#This Row],[تاريخ انتهاء التأمين]]="","",IFERROR(_xlfn.DAYS(Table2[[#This Row],[تاريخ انتهاء التأمين]],TODAY()),""))</f>
        <v>23</v>
      </c>
      <c r="X280" s="42" t="s">
        <v>1134</v>
      </c>
      <c r="Y280" s="45" t="s">
        <v>431</v>
      </c>
      <c r="Z280" s="42" t="s">
        <v>1544</v>
      </c>
      <c r="AA280" s="46">
        <v>712464</v>
      </c>
      <c r="AB280" s="46" t="s">
        <v>1251</v>
      </c>
      <c r="AC280" s="46" t="s">
        <v>861</v>
      </c>
      <c r="AD280" s="46" t="s">
        <v>939</v>
      </c>
      <c r="AE280" s="47" t="s">
        <v>939</v>
      </c>
      <c r="AF280" s="48" t="s">
        <v>1481</v>
      </c>
      <c r="AG280" s="48" t="s">
        <v>861</v>
      </c>
      <c r="AH280" s="48" t="s">
        <v>1149</v>
      </c>
      <c r="AI280" s="90">
        <v>864636067940854</v>
      </c>
      <c r="AJ280" s="89">
        <v>46207</v>
      </c>
      <c r="AK280" s="102">
        <f ca="1">IF(Table2[[#This Row],[تاريخ انتهاء ال GPS]]="","",IFERROR(_xlfn.DAYS(Table2[[#This Row],[تاريخ انتهاء ال GPS]],TODAY()),""))</f>
        <v>-53</v>
      </c>
      <c r="AL280" s="49" t="s">
        <v>1138</v>
      </c>
      <c r="AM280" s="50" t="s">
        <v>1138</v>
      </c>
      <c r="AN280" s="50" t="s">
        <v>1138</v>
      </c>
      <c r="AO280" s="80">
        <v>46617</v>
      </c>
      <c r="AP280" s="52">
        <f>Table2[[#This Row],[تاريخ انتهاء رخصة السير هجري]]</f>
        <v>46617</v>
      </c>
      <c r="AQ280" s="53">
        <f ca="1">IF(Table2[[#This Row],[تاريخ انتهاء رخصة السير ميلادي]]="","",IFERROR(_xlfn.DAYS(Table2[[#This Row],[تاريخ انتهاء رخصة السير ميلادي]],TODAY()),""))</f>
        <v>357</v>
      </c>
      <c r="AR280" s="131" t="s">
        <v>1137</v>
      </c>
      <c r="AS280" s="133" t="s">
        <v>1137</v>
      </c>
      <c r="AT280" s="133" t="s">
        <v>1137</v>
      </c>
      <c r="AU280" s="54" t="s">
        <v>1581</v>
      </c>
      <c r="AV280" s="1"/>
      <c r="BE280" s="3"/>
      <c r="BH280" s="1"/>
    </row>
    <row r="281" spans="1:60" x14ac:dyDescent="0.3">
      <c r="A281" s="39" t="s">
        <v>1125</v>
      </c>
      <c r="B281" s="39" t="s">
        <v>1184</v>
      </c>
      <c r="C281" s="39" t="s">
        <v>1187</v>
      </c>
      <c r="D281" s="39" t="s">
        <v>932</v>
      </c>
      <c r="E281" s="39" t="s">
        <v>1138</v>
      </c>
      <c r="F281" s="54">
        <v>7025667531</v>
      </c>
      <c r="G281" s="41" t="s">
        <v>654</v>
      </c>
      <c r="H281" s="39" t="s">
        <v>655</v>
      </c>
      <c r="I281" s="58">
        <v>928097120</v>
      </c>
      <c r="J281" s="39" t="s">
        <v>613</v>
      </c>
      <c r="K281" s="39" t="s">
        <v>640</v>
      </c>
      <c r="L281" s="39" t="s">
        <v>641</v>
      </c>
      <c r="M281" s="58">
        <v>2024</v>
      </c>
      <c r="N281" s="39" t="s">
        <v>653</v>
      </c>
      <c r="O281" s="39" t="s">
        <v>1490</v>
      </c>
      <c r="P281" s="58">
        <v>2582489270</v>
      </c>
      <c r="Q281" s="59" t="s">
        <v>1137</v>
      </c>
      <c r="R281" s="124" t="s">
        <v>1137</v>
      </c>
      <c r="S281" s="111" t="s">
        <v>1137</v>
      </c>
      <c r="T281" s="111" t="s">
        <v>1137</v>
      </c>
      <c r="U281" s="42" t="s">
        <v>1544</v>
      </c>
      <c r="V281" s="43">
        <v>46469</v>
      </c>
      <c r="W281" s="44">
        <f ca="1">IF(Table2[[#This Row],[تاريخ انتهاء التأمين]]="","",IFERROR(_xlfn.DAYS(Table2[[#This Row],[تاريخ انتهاء التأمين]],TODAY()),""))</f>
        <v>209</v>
      </c>
      <c r="X281" s="42" t="s">
        <v>790</v>
      </c>
      <c r="Y281" s="45" t="s">
        <v>431</v>
      </c>
      <c r="Z281" s="42" t="s">
        <v>1544</v>
      </c>
      <c r="AA281" s="46">
        <v>799055</v>
      </c>
      <c r="AB281" s="46" t="s">
        <v>1252</v>
      </c>
      <c r="AC281" s="46" t="s">
        <v>861</v>
      </c>
      <c r="AD281" s="46" t="s">
        <v>939</v>
      </c>
      <c r="AE281" s="47" t="s">
        <v>939</v>
      </c>
      <c r="AF281" s="48" t="s">
        <v>1481</v>
      </c>
      <c r="AG281" s="48" t="s">
        <v>861</v>
      </c>
      <c r="AH281" s="48" t="s">
        <v>1149</v>
      </c>
      <c r="AI281" s="90">
        <v>864275073530621</v>
      </c>
      <c r="AJ281" s="89">
        <v>46171</v>
      </c>
      <c r="AK281" s="102">
        <f ca="1">IF(Table2[[#This Row],[تاريخ انتهاء ال GPS]]="","",IFERROR(_xlfn.DAYS(Table2[[#This Row],[تاريخ انتهاء ال GPS]],TODAY()),""))</f>
        <v>-89</v>
      </c>
      <c r="AL281" s="49" t="s">
        <v>1138</v>
      </c>
      <c r="AM281" s="50" t="s">
        <v>1138</v>
      </c>
      <c r="AN281" s="50" t="s">
        <v>1138</v>
      </c>
      <c r="AO281" s="80">
        <v>46804</v>
      </c>
      <c r="AP281" s="52">
        <f>Table2[[#This Row],[تاريخ انتهاء رخصة السير هجري]]</f>
        <v>46804</v>
      </c>
      <c r="AQ281" s="53">
        <f ca="1">IF(Table2[[#This Row],[تاريخ انتهاء رخصة السير ميلادي]]="","",IFERROR(_xlfn.DAYS(Table2[[#This Row],[تاريخ انتهاء رخصة السير ميلادي]],TODAY()),""))</f>
        <v>544</v>
      </c>
      <c r="AR281" s="131" t="s">
        <v>1137</v>
      </c>
      <c r="AS281" s="133" t="s">
        <v>1137</v>
      </c>
      <c r="AT281" s="133" t="s">
        <v>1137</v>
      </c>
      <c r="AU281" s="54" t="s">
        <v>1581</v>
      </c>
      <c r="AV281" s="1"/>
      <c r="BE281" s="3"/>
      <c r="BH281" s="1"/>
    </row>
    <row r="282" spans="1:60" x14ac:dyDescent="0.3">
      <c r="A282" s="39" t="s">
        <v>1125</v>
      </c>
      <c r="B282" s="39" t="s">
        <v>1179</v>
      </c>
      <c r="C282" s="39" t="s">
        <v>1187</v>
      </c>
      <c r="D282" s="39" t="s">
        <v>933</v>
      </c>
      <c r="E282" s="39" t="s">
        <v>1138</v>
      </c>
      <c r="F282" s="54">
        <v>7025667531</v>
      </c>
      <c r="G282" s="41" t="s">
        <v>658</v>
      </c>
      <c r="H282" s="39" t="s">
        <v>659</v>
      </c>
      <c r="I282" s="58">
        <v>963620020</v>
      </c>
      <c r="J282" s="39" t="s">
        <v>613</v>
      </c>
      <c r="K282" s="39" t="s">
        <v>640</v>
      </c>
      <c r="L282" s="39" t="s">
        <v>656</v>
      </c>
      <c r="M282" s="58">
        <v>2023</v>
      </c>
      <c r="N282" s="39" t="s">
        <v>657</v>
      </c>
      <c r="O282" s="39" t="s">
        <v>1499</v>
      </c>
      <c r="P282" s="58">
        <v>2517102568</v>
      </c>
      <c r="Q282" s="59" t="s">
        <v>1137</v>
      </c>
      <c r="R282" s="124" t="s">
        <v>1137</v>
      </c>
      <c r="S282" s="111" t="s">
        <v>1137</v>
      </c>
      <c r="T282" s="111" t="s">
        <v>1137</v>
      </c>
      <c r="U282" s="42" t="s">
        <v>1544</v>
      </c>
      <c r="V282" s="43">
        <v>46591</v>
      </c>
      <c r="W282" s="44">
        <f ca="1">IF(Table2[[#This Row],[تاريخ انتهاء التأمين]]="","",IFERROR(_xlfn.DAYS(Table2[[#This Row],[تاريخ انتهاء التأمين]],TODAY()),""))</f>
        <v>331</v>
      </c>
      <c r="X282" s="42" t="s">
        <v>790</v>
      </c>
      <c r="Y282" s="45" t="s">
        <v>431</v>
      </c>
      <c r="Z282" s="42" t="s">
        <v>1544</v>
      </c>
      <c r="AA282" s="46">
        <v>624812</v>
      </c>
      <c r="AB282" s="46" t="s">
        <v>1253</v>
      </c>
      <c r="AC282" s="46" t="s">
        <v>861</v>
      </c>
      <c r="AD282" s="46" t="s">
        <v>939</v>
      </c>
      <c r="AE282" s="47">
        <v>1000</v>
      </c>
      <c r="AF282" s="48" t="s">
        <v>1481</v>
      </c>
      <c r="AG282" s="48" t="s">
        <v>861</v>
      </c>
      <c r="AH282" s="48" t="s">
        <v>1149</v>
      </c>
      <c r="AI282" s="90">
        <v>864636065130011</v>
      </c>
      <c r="AJ282" s="89">
        <v>45855</v>
      </c>
      <c r="AK282" s="102">
        <f ca="1">IF(Table2[[#This Row],[تاريخ انتهاء ال GPS]]="","",IFERROR(_xlfn.DAYS(Table2[[#This Row],[تاريخ انتهاء ال GPS]],TODAY()),""))</f>
        <v>-405</v>
      </c>
      <c r="AL282" s="49" t="s">
        <v>1138</v>
      </c>
      <c r="AM282" s="50" t="s">
        <v>1138</v>
      </c>
      <c r="AN282" s="50" t="s">
        <v>1138</v>
      </c>
      <c r="AO282" s="81" t="s">
        <v>1137</v>
      </c>
      <c r="AP282" s="129" t="s">
        <v>1137</v>
      </c>
      <c r="AQ282" s="129" t="s">
        <v>1137</v>
      </c>
      <c r="AR282" s="131" t="s">
        <v>1137</v>
      </c>
      <c r="AS282" s="133" t="s">
        <v>1137</v>
      </c>
      <c r="AT282" s="133" t="s">
        <v>1137</v>
      </c>
      <c r="AU282" s="54" t="s">
        <v>1580</v>
      </c>
      <c r="AV282" s="1"/>
      <c r="BE282" s="3"/>
      <c r="BH282" s="1"/>
    </row>
    <row r="283" spans="1:60" x14ac:dyDescent="0.3">
      <c r="A283" s="39" t="s">
        <v>1125</v>
      </c>
      <c r="B283" s="39" t="s">
        <v>1179</v>
      </c>
      <c r="C283" s="39" t="s">
        <v>1190</v>
      </c>
      <c r="D283" s="39" t="s">
        <v>934</v>
      </c>
      <c r="E283" s="39" t="s">
        <v>1138</v>
      </c>
      <c r="F283" s="54">
        <v>7025667531</v>
      </c>
      <c r="G283" s="41" t="s">
        <v>660</v>
      </c>
      <c r="H283" s="39" t="s">
        <v>661</v>
      </c>
      <c r="I283" s="58">
        <v>948130020</v>
      </c>
      <c r="J283" s="39" t="s">
        <v>613</v>
      </c>
      <c r="K283" s="39" t="s">
        <v>640</v>
      </c>
      <c r="L283" s="39" t="s">
        <v>656</v>
      </c>
      <c r="M283" s="58">
        <v>2023</v>
      </c>
      <c r="N283" s="39" t="s">
        <v>657</v>
      </c>
      <c r="O283" s="39" t="s">
        <v>1491</v>
      </c>
      <c r="P283" s="58">
        <v>2566127847</v>
      </c>
      <c r="Q283" s="59" t="s">
        <v>1137</v>
      </c>
      <c r="R283" s="124" t="s">
        <v>1137</v>
      </c>
      <c r="S283" s="111" t="s">
        <v>1137</v>
      </c>
      <c r="T283" s="111" t="s">
        <v>1137</v>
      </c>
      <c r="U283" s="42" t="s">
        <v>1544</v>
      </c>
      <c r="V283" s="43">
        <v>46597</v>
      </c>
      <c r="W283" s="44">
        <f ca="1">IF(Table2[[#This Row],[تاريخ انتهاء التأمين]]="","",IFERROR(_xlfn.DAYS(Table2[[#This Row],[تاريخ انتهاء التأمين]],TODAY()),""))</f>
        <v>337</v>
      </c>
      <c r="X283" s="42" t="s">
        <v>790</v>
      </c>
      <c r="Y283" s="42" t="s">
        <v>431</v>
      </c>
      <c r="Z283" s="42" t="s">
        <v>1544</v>
      </c>
      <c r="AA283" s="46">
        <v>647609</v>
      </c>
      <c r="AB283" s="46" t="s">
        <v>1254</v>
      </c>
      <c r="AC283" s="46" t="s">
        <v>861</v>
      </c>
      <c r="AD283" s="46" t="s">
        <v>938</v>
      </c>
      <c r="AE283" s="47">
        <v>1000</v>
      </c>
      <c r="AF283" s="48" t="s">
        <v>1481</v>
      </c>
      <c r="AG283" s="48" t="s">
        <v>861</v>
      </c>
      <c r="AH283" s="48" t="s">
        <v>1149</v>
      </c>
      <c r="AI283" s="90">
        <v>864636066848389</v>
      </c>
      <c r="AJ283" s="89">
        <v>45855</v>
      </c>
      <c r="AK283" s="102">
        <f ca="1">IF(Table2[[#This Row],[تاريخ انتهاء ال GPS]]="","",IFERROR(_xlfn.DAYS(Table2[[#This Row],[تاريخ انتهاء ال GPS]],TODAY()),""))</f>
        <v>-405</v>
      </c>
      <c r="AL283" s="49" t="s">
        <v>1138</v>
      </c>
      <c r="AM283" s="50" t="s">
        <v>1138</v>
      </c>
      <c r="AN283" s="50" t="s">
        <v>1138</v>
      </c>
      <c r="AO283" s="81" t="s">
        <v>1137</v>
      </c>
      <c r="AP283" s="129" t="s">
        <v>1137</v>
      </c>
      <c r="AQ283" s="129" t="s">
        <v>1137</v>
      </c>
      <c r="AR283" s="131" t="s">
        <v>1137</v>
      </c>
      <c r="AS283" s="133" t="s">
        <v>1137</v>
      </c>
      <c r="AT283" s="133" t="s">
        <v>1137</v>
      </c>
      <c r="AU283" s="54" t="s">
        <v>1579</v>
      </c>
      <c r="AV283" s="1"/>
      <c r="BE283" s="3"/>
      <c r="BH283" s="1"/>
    </row>
    <row r="284" spans="1:60" x14ac:dyDescent="0.3">
      <c r="A284" s="39" t="s">
        <v>1125</v>
      </c>
      <c r="B284" s="39" t="s">
        <v>1179</v>
      </c>
      <c r="C284" s="39" t="s">
        <v>1188</v>
      </c>
      <c r="D284" s="39" t="s">
        <v>17</v>
      </c>
      <c r="E284" s="39" t="s">
        <v>819</v>
      </c>
      <c r="F284" s="40">
        <v>7025667531</v>
      </c>
      <c r="G284" s="41" t="s">
        <v>662</v>
      </c>
      <c r="H284" s="39" t="s">
        <v>663</v>
      </c>
      <c r="I284" s="58">
        <v>292334910</v>
      </c>
      <c r="J284" s="39" t="s">
        <v>613</v>
      </c>
      <c r="K284" s="39" t="s">
        <v>640</v>
      </c>
      <c r="L284" s="39" t="s">
        <v>656</v>
      </c>
      <c r="M284" s="58">
        <v>2023</v>
      </c>
      <c r="N284" s="39" t="s">
        <v>427</v>
      </c>
      <c r="O284" s="39" t="s">
        <v>1494</v>
      </c>
      <c r="P284" s="58">
        <v>2552219772</v>
      </c>
      <c r="Q284" s="39" t="s">
        <v>1791</v>
      </c>
      <c r="R284" s="124">
        <v>46225</v>
      </c>
      <c r="S284" s="124">
        <v>46387</v>
      </c>
      <c r="T284" s="58">
        <f ca="1">IF(Table2[[#This Row],[تاريخ نهاية التفويض]]="","",IFERROR(_xlfn.DAYS(Table2[[#This Row],[تاريخ نهاية التفويض]],TODAY()),""))</f>
        <v>127</v>
      </c>
      <c r="U284" s="44" t="s">
        <v>480</v>
      </c>
      <c r="V284" s="43">
        <v>46596</v>
      </c>
      <c r="W284" s="44">
        <f ca="1">IF(Table2[[#This Row],[تاريخ انتهاء التأمين]]="","",IFERROR(_xlfn.DAYS(Table2[[#This Row],[تاريخ انتهاء التأمين]],TODAY()),""))</f>
        <v>336</v>
      </c>
      <c r="X284" s="42" t="s">
        <v>16</v>
      </c>
      <c r="Y284" s="42" t="s">
        <v>431</v>
      </c>
      <c r="Z284" s="45">
        <v>4500</v>
      </c>
      <c r="AA284" s="46">
        <v>624810</v>
      </c>
      <c r="AB284" s="46" t="s">
        <v>1255</v>
      </c>
      <c r="AC284" s="46" t="s">
        <v>861</v>
      </c>
      <c r="AD284" s="46" t="s">
        <v>939</v>
      </c>
      <c r="AE284" s="47">
        <v>1000</v>
      </c>
      <c r="AF284" s="48" t="s">
        <v>1481</v>
      </c>
      <c r="AG284" s="48" t="s">
        <v>861</v>
      </c>
      <c r="AH284" s="48" t="s">
        <v>1149</v>
      </c>
      <c r="AI284" s="90">
        <v>864636065364156</v>
      </c>
      <c r="AJ284" s="89">
        <v>45855</v>
      </c>
      <c r="AK284" s="102">
        <f ca="1">IF(Table2[[#This Row],[تاريخ انتهاء ال GPS]]="","",IFERROR(_xlfn.DAYS(Table2[[#This Row],[تاريخ انتهاء ال GPS]],TODAY()),""))</f>
        <v>-405</v>
      </c>
      <c r="AL284" s="49" t="s">
        <v>1138</v>
      </c>
      <c r="AM284" s="50" t="s">
        <v>1138</v>
      </c>
      <c r="AN284" s="50" t="s">
        <v>1138</v>
      </c>
      <c r="AO284" s="80">
        <v>46992</v>
      </c>
      <c r="AP284" s="52">
        <f>Table2[[#This Row],[تاريخ انتهاء رخصة السير هجري]]</f>
        <v>46992</v>
      </c>
      <c r="AQ284" s="53">
        <f ca="1">IF(Table2[[#This Row],[تاريخ انتهاء رخصة السير ميلادي]]="","",IFERROR(_xlfn.DAYS(Table2[[#This Row],[تاريخ انتهاء رخصة السير ميلادي]],TODAY()),""))</f>
        <v>732</v>
      </c>
      <c r="AR284" s="55">
        <v>46580</v>
      </c>
      <c r="AS284" s="56">
        <f>Table2[[#This Row],[تاريخ انتهاء الفحص هجري]]</f>
        <v>46580</v>
      </c>
      <c r="AT284" s="106">
        <f ca="1">IF(Table2[[#This Row],[تاريخ انتهاء الفحص ميلادي]]="","",IFERROR(_xlfn.DAYS(Table2[[#This Row],[تاريخ انتهاء الفحص ميلادي]],TODAY()),""))</f>
        <v>320</v>
      </c>
      <c r="AU284" s="54"/>
      <c r="AV284" s="1"/>
      <c r="BE284" s="3"/>
      <c r="BH284" s="1"/>
    </row>
    <row r="285" spans="1:60" x14ac:dyDescent="0.3">
      <c r="A285" s="39" t="s">
        <v>1125</v>
      </c>
      <c r="B285" s="39" t="s">
        <v>1179</v>
      </c>
      <c r="C285" s="39" t="s">
        <v>1187</v>
      </c>
      <c r="D285" s="39" t="s">
        <v>935</v>
      </c>
      <c r="E285" s="39" t="s">
        <v>1138</v>
      </c>
      <c r="F285" s="54">
        <v>7025667531</v>
      </c>
      <c r="G285" s="41" t="s">
        <v>667</v>
      </c>
      <c r="H285" s="39" t="s">
        <v>668</v>
      </c>
      <c r="I285" s="58">
        <v>982551910</v>
      </c>
      <c r="J285" s="39" t="s">
        <v>613</v>
      </c>
      <c r="K285" s="39" t="s">
        <v>664</v>
      </c>
      <c r="L285" s="39" t="s">
        <v>665</v>
      </c>
      <c r="M285" s="58">
        <v>2022</v>
      </c>
      <c r="N285" s="39" t="s">
        <v>666</v>
      </c>
      <c r="O285" s="39" t="s">
        <v>1498</v>
      </c>
      <c r="P285" s="58">
        <v>2337919969</v>
      </c>
      <c r="Q285" s="59" t="s">
        <v>1137</v>
      </c>
      <c r="R285" s="124" t="s">
        <v>1137</v>
      </c>
      <c r="S285" s="111" t="s">
        <v>1137</v>
      </c>
      <c r="T285" s="111" t="s">
        <v>1137</v>
      </c>
      <c r="U285" s="42" t="s">
        <v>1544</v>
      </c>
      <c r="V285" s="43">
        <v>46542</v>
      </c>
      <c r="W285" s="44">
        <f ca="1">IF(Table2[[#This Row],[تاريخ انتهاء التأمين]]="","",IFERROR(_xlfn.DAYS(Table2[[#This Row],[تاريخ انتهاء التأمين]],TODAY()),""))</f>
        <v>282</v>
      </c>
      <c r="X285" s="42" t="s">
        <v>1136</v>
      </c>
      <c r="Y285" s="42" t="s">
        <v>431</v>
      </c>
      <c r="Z285" s="42" t="s">
        <v>1544</v>
      </c>
      <c r="AA285" s="46">
        <v>624813</v>
      </c>
      <c r="AB285" s="46" t="s">
        <v>1256</v>
      </c>
      <c r="AC285" s="46" t="s">
        <v>861</v>
      </c>
      <c r="AD285" s="46" t="s">
        <v>939</v>
      </c>
      <c r="AE285" s="47">
        <v>1000</v>
      </c>
      <c r="AF285" s="48" t="s">
        <v>1481</v>
      </c>
      <c r="AG285" s="48" t="s">
        <v>861</v>
      </c>
      <c r="AH285" s="48" t="s">
        <v>1149</v>
      </c>
      <c r="AI285" s="90">
        <v>864636067507505</v>
      </c>
      <c r="AJ285" s="89">
        <v>45855</v>
      </c>
      <c r="AK285" s="102">
        <f ca="1">IF(Table2[[#This Row],[تاريخ انتهاء ال GPS]]="","",IFERROR(_xlfn.DAYS(Table2[[#This Row],[تاريخ انتهاء ال GPS]],TODAY()),""))</f>
        <v>-405</v>
      </c>
      <c r="AL285" s="49" t="s">
        <v>1138</v>
      </c>
      <c r="AM285" s="50" t="s">
        <v>1138</v>
      </c>
      <c r="AN285" s="50" t="s">
        <v>1138</v>
      </c>
      <c r="AO285" s="81" t="s">
        <v>1137</v>
      </c>
      <c r="AP285" s="129" t="s">
        <v>1137</v>
      </c>
      <c r="AQ285" s="129" t="s">
        <v>1137</v>
      </c>
      <c r="AR285" s="131" t="s">
        <v>1137</v>
      </c>
      <c r="AS285" s="133" t="s">
        <v>1137</v>
      </c>
      <c r="AT285" s="133" t="s">
        <v>1137</v>
      </c>
      <c r="AU285" s="54" t="s">
        <v>1578</v>
      </c>
      <c r="AV285" s="1"/>
      <c r="BE285" s="3"/>
      <c r="BH285" s="1"/>
    </row>
    <row r="286" spans="1:60" x14ac:dyDescent="0.3">
      <c r="A286" s="39" t="s">
        <v>1126</v>
      </c>
      <c r="B286" s="39" t="s">
        <v>819</v>
      </c>
      <c r="C286" s="39" t="s">
        <v>1138</v>
      </c>
      <c r="D286" s="39" t="s">
        <v>1506</v>
      </c>
      <c r="E286" s="39" t="s">
        <v>819</v>
      </c>
      <c r="F286" s="58">
        <v>1064442229</v>
      </c>
      <c r="G286" s="41" t="s">
        <v>671</v>
      </c>
      <c r="H286" s="39" t="s">
        <v>672</v>
      </c>
      <c r="I286" s="58">
        <v>481971810</v>
      </c>
      <c r="J286" s="39" t="s">
        <v>613</v>
      </c>
      <c r="K286" s="39" t="s">
        <v>669</v>
      </c>
      <c r="L286" s="39" t="s">
        <v>670</v>
      </c>
      <c r="M286" s="39">
        <v>2021</v>
      </c>
      <c r="N286" s="39" t="s">
        <v>64</v>
      </c>
      <c r="O286" s="39" t="s">
        <v>1138</v>
      </c>
      <c r="P286" s="58" t="s">
        <v>1138</v>
      </c>
      <c r="Q286" s="39" t="s">
        <v>1138</v>
      </c>
      <c r="R286" s="124" t="s">
        <v>1138</v>
      </c>
      <c r="S286" s="124" t="s">
        <v>1138</v>
      </c>
      <c r="T286" s="124" t="s">
        <v>1138</v>
      </c>
      <c r="U286" s="42" t="s">
        <v>480</v>
      </c>
      <c r="V286" s="43">
        <v>46596</v>
      </c>
      <c r="W286" s="44">
        <f ca="1">IF(Table2[[#This Row],[تاريخ انتهاء التأمين]]="","",IFERROR(_xlfn.DAYS(Table2[[#This Row],[تاريخ انتهاء التأمين]],TODAY()),""))</f>
        <v>336</v>
      </c>
      <c r="X286" s="42" t="s">
        <v>16</v>
      </c>
      <c r="Y286" s="42" t="s">
        <v>431</v>
      </c>
      <c r="Z286" s="45">
        <v>4500</v>
      </c>
      <c r="AA286" s="46">
        <v>624808</v>
      </c>
      <c r="AB286" s="46" t="s">
        <v>1462</v>
      </c>
      <c r="AC286" s="46" t="s">
        <v>861</v>
      </c>
      <c r="AD286" s="46" t="s">
        <v>939</v>
      </c>
      <c r="AE286" s="47">
        <v>1000</v>
      </c>
      <c r="AF286" s="48" t="s">
        <v>1138</v>
      </c>
      <c r="AG286" s="48" t="s">
        <v>1138</v>
      </c>
      <c r="AH286" s="48" t="s">
        <v>1138</v>
      </c>
      <c r="AI286" s="90" t="s">
        <v>1138</v>
      </c>
      <c r="AJ286" s="89" t="s">
        <v>1138</v>
      </c>
      <c r="AK286" s="89" t="s">
        <v>1138</v>
      </c>
      <c r="AL286" s="49" t="s">
        <v>1138</v>
      </c>
      <c r="AM286" s="50" t="s">
        <v>1138</v>
      </c>
      <c r="AN286" s="50" t="s">
        <v>1138</v>
      </c>
      <c r="AO286" s="80">
        <v>46333</v>
      </c>
      <c r="AP286" s="52">
        <f>Table2[[#This Row],[تاريخ انتهاء رخصة السير هجري]]</f>
        <v>46333</v>
      </c>
      <c r="AQ286" s="53">
        <f ca="1">IF(Table2[[#This Row],[تاريخ انتهاء رخصة السير ميلادي]]="","",IFERROR(_xlfn.DAYS(Table2[[#This Row],[تاريخ انتهاء رخصة السير ميلادي]],TODAY()),""))</f>
        <v>73</v>
      </c>
      <c r="AR286" s="55">
        <v>46447</v>
      </c>
      <c r="AS286" s="56">
        <f>Table2[[#This Row],[تاريخ انتهاء الفحص هجري]]</f>
        <v>46447</v>
      </c>
      <c r="AT286" s="106">
        <f ca="1">IF(Table2[[#This Row],[تاريخ انتهاء الفحص ميلادي]]="","",IFERROR(_xlfn.DAYS(Table2[[#This Row],[تاريخ انتهاء الفحص ميلادي]],TODAY()),""))</f>
        <v>187</v>
      </c>
      <c r="AU286" s="54"/>
      <c r="AV286" s="1"/>
      <c r="BE286" s="3"/>
      <c r="BH286" s="1"/>
    </row>
    <row r="287" spans="1:60" x14ac:dyDescent="0.3">
      <c r="A287" s="39" t="s">
        <v>1130</v>
      </c>
      <c r="B287" s="39" t="s">
        <v>450</v>
      </c>
      <c r="C287" s="39" t="s">
        <v>1187</v>
      </c>
      <c r="D287" s="39" t="s">
        <v>17</v>
      </c>
      <c r="E287" s="39" t="s">
        <v>819</v>
      </c>
      <c r="F287" s="40">
        <v>7025667531</v>
      </c>
      <c r="G287" s="41" t="s">
        <v>676</v>
      </c>
      <c r="H287" s="39" t="s">
        <v>677</v>
      </c>
      <c r="I287" s="58">
        <v>776335610</v>
      </c>
      <c r="J287" s="39" t="s">
        <v>673</v>
      </c>
      <c r="K287" s="39" t="s">
        <v>674</v>
      </c>
      <c r="L287" s="39" t="s">
        <v>675</v>
      </c>
      <c r="M287" s="58">
        <v>2017</v>
      </c>
      <c r="N287" s="39" t="s">
        <v>427</v>
      </c>
      <c r="O287" s="39" t="s">
        <v>1495</v>
      </c>
      <c r="P287" s="58">
        <v>2571767439</v>
      </c>
      <c r="Q287" s="39" t="s">
        <v>1792</v>
      </c>
      <c r="R287" s="124">
        <v>46047</v>
      </c>
      <c r="S287" s="124">
        <v>46387</v>
      </c>
      <c r="T287" s="58">
        <f ca="1">IF(Table2[[#This Row],[تاريخ نهاية التفويض]]="","",IFERROR(_xlfn.DAYS(Table2[[#This Row],[تاريخ نهاية التفويض]],TODAY()),""))</f>
        <v>127</v>
      </c>
      <c r="U287" s="42" t="s">
        <v>430</v>
      </c>
      <c r="V287" s="43">
        <v>46393</v>
      </c>
      <c r="W287" s="44">
        <f ca="1">IF(Table2[[#This Row],[تاريخ انتهاء التأمين]]="","",IFERROR(_xlfn.DAYS(Table2[[#This Row],[تاريخ انتهاء التأمين]],TODAY()),""))</f>
        <v>133</v>
      </c>
      <c r="X287" s="42" t="s">
        <v>27</v>
      </c>
      <c r="Y287" s="42" t="s">
        <v>431</v>
      </c>
      <c r="Z287" s="45">
        <v>2500</v>
      </c>
      <c r="AA287" s="46">
        <v>676043</v>
      </c>
      <c r="AB287" s="46" t="s">
        <v>1257</v>
      </c>
      <c r="AC287" s="46" t="s">
        <v>861</v>
      </c>
      <c r="AD287" s="46" t="s">
        <v>939</v>
      </c>
      <c r="AE287" s="47" t="s">
        <v>939</v>
      </c>
      <c r="AF287" s="48" t="s">
        <v>1481</v>
      </c>
      <c r="AG287" s="48" t="s">
        <v>861</v>
      </c>
      <c r="AH287" s="48" t="s">
        <v>1149</v>
      </c>
      <c r="AI287" s="90">
        <v>864636065129484</v>
      </c>
      <c r="AJ287" s="89">
        <v>45855</v>
      </c>
      <c r="AK287" s="102">
        <f ca="1">IF(Table2[[#This Row],[تاريخ انتهاء ال GPS]]="","",IFERROR(_xlfn.DAYS(Table2[[#This Row],[تاريخ انتهاء ال GPS]],TODAY()),""))</f>
        <v>-405</v>
      </c>
      <c r="AL287" s="49" t="s">
        <v>1138</v>
      </c>
      <c r="AM287" s="50" t="s">
        <v>1138</v>
      </c>
      <c r="AN287" s="50" t="s">
        <v>1138</v>
      </c>
      <c r="AO287" s="80">
        <v>46377</v>
      </c>
      <c r="AP287" s="52">
        <f>Table2[[#This Row],[تاريخ انتهاء رخصة السير هجري]]</f>
        <v>46377</v>
      </c>
      <c r="AQ287" s="53">
        <f ca="1">IF(Table2[[#This Row],[تاريخ انتهاء رخصة السير ميلادي]]="","",IFERROR(_xlfn.DAYS(Table2[[#This Row],[تاريخ انتهاء رخصة السير ميلادي]],TODAY()),""))</f>
        <v>117</v>
      </c>
      <c r="AR287" s="55">
        <v>46336</v>
      </c>
      <c r="AS287" s="56">
        <f>Table2[[#This Row],[تاريخ انتهاء الفحص هجري]]</f>
        <v>46336</v>
      </c>
      <c r="AT287" s="106">
        <f ca="1">IF(Table2[[#This Row],[تاريخ انتهاء الفحص ميلادي]]="","",IFERROR(_xlfn.DAYS(Table2[[#This Row],[تاريخ انتهاء الفحص ميلادي]],TODAY()),""))</f>
        <v>76</v>
      </c>
      <c r="AU287" s="54"/>
      <c r="AV287" s="1"/>
      <c r="BE287" s="3"/>
      <c r="BH287" s="1"/>
    </row>
    <row r="288" spans="1:60" x14ac:dyDescent="0.3">
      <c r="A288" s="39" t="s">
        <v>1130</v>
      </c>
      <c r="B288" s="39" t="s">
        <v>450</v>
      </c>
      <c r="C288" s="39" t="s">
        <v>1187</v>
      </c>
      <c r="D288" s="39" t="s">
        <v>17</v>
      </c>
      <c r="E288" s="39" t="s">
        <v>819</v>
      </c>
      <c r="F288" s="40">
        <v>7025667531</v>
      </c>
      <c r="G288" s="41" t="s">
        <v>679</v>
      </c>
      <c r="H288" s="39" t="s">
        <v>680</v>
      </c>
      <c r="I288" s="58">
        <v>560658310</v>
      </c>
      <c r="J288" s="39" t="s">
        <v>673</v>
      </c>
      <c r="K288" s="39" t="s">
        <v>640</v>
      </c>
      <c r="L288" s="39" t="s">
        <v>678</v>
      </c>
      <c r="M288" s="39">
        <v>2015</v>
      </c>
      <c r="N288" s="39" t="s">
        <v>427</v>
      </c>
      <c r="O288" s="39" t="s">
        <v>1492</v>
      </c>
      <c r="P288" s="58">
        <v>2555616065</v>
      </c>
      <c r="Q288" s="39" t="s">
        <v>1793</v>
      </c>
      <c r="R288" s="124">
        <v>46047</v>
      </c>
      <c r="S288" s="124">
        <v>46387</v>
      </c>
      <c r="T288" s="58">
        <f ca="1">IF(Table2[[#This Row],[تاريخ نهاية التفويض]]="","",IFERROR(_xlfn.DAYS(Table2[[#This Row],[تاريخ نهاية التفويض]],TODAY()),""))</f>
        <v>127</v>
      </c>
      <c r="U288" s="42" t="s">
        <v>480</v>
      </c>
      <c r="V288" s="43">
        <v>46596</v>
      </c>
      <c r="W288" s="44">
        <f ca="1">IF(Table2[[#This Row],[تاريخ انتهاء التأمين]]="","",IFERROR(_xlfn.DAYS(Table2[[#This Row],[تاريخ انتهاء التأمين]],TODAY()),""))</f>
        <v>336</v>
      </c>
      <c r="X288" s="42" t="s">
        <v>16</v>
      </c>
      <c r="Y288" s="42" t="s">
        <v>431</v>
      </c>
      <c r="Z288" s="45">
        <v>4200</v>
      </c>
      <c r="AA288" s="46">
        <v>872718</v>
      </c>
      <c r="AB288" s="46" t="s">
        <v>1263</v>
      </c>
      <c r="AC288" s="46" t="s">
        <v>861</v>
      </c>
      <c r="AD288" s="46" t="s">
        <v>939</v>
      </c>
      <c r="AE288" s="47" t="s">
        <v>939</v>
      </c>
      <c r="AF288" s="114" t="s">
        <v>1137</v>
      </c>
      <c r="AG288" s="114" t="s">
        <v>1137</v>
      </c>
      <c r="AH288" s="114" t="s">
        <v>1137</v>
      </c>
      <c r="AI288" s="115" t="s">
        <v>1137</v>
      </c>
      <c r="AJ288" s="129" t="s">
        <v>1137</v>
      </c>
      <c r="AK288" s="129" t="s">
        <v>1137</v>
      </c>
      <c r="AL288" s="49" t="s">
        <v>1138</v>
      </c>
      <c r="AM288" s="50" t="s">
        <v>1138</v>
      </c>
      <c r="AN288" s="50" t="s">
        <v>1138</v>
      </c>
      <c r="AO288" s="80">
        <v>47290</v>
      </c>
      <c r="AP288" s="52">
        <f>Table2[[#This Row],[تاريخ انتهاء رخصة السير هجري]]</f>
        <v>47290</v>
      </c>
      <c r="AQ288" s="53">
        <f ca="1">IF(Table2[[#This Row],[تاريخ انتهاء رخصة السير ميلادي]]="","",IFERROR(_xlfn.DAYS(Table2[[#This Row],[تاريخ انتهاء رخصة السير ميلادي]],TODAY()),""))</f>
        <v>1030</v>
      </c>
      <c r="AR288" s="55">
        <v>46420</v>
      </c>
      <c r="AS288" s="56">
        <f>Table2[[#This Row],[تاريخ انتهاء الفحص هجري]]</f>
        <v>46420</v>
      </c>
      <c r="AT288" s="106">
        <f ca="1">IF(Table2[[#This Row],[تاريخ انتهاء الفحص ميلادي]]="","",IFERROR(_xlfn.DAYS(Table2[[#This Row],[تاريخ انتهاء الفحص ميلادي]],TODAY()),""))</f>
        <v>160</v>
      </c>
      <c r="AU288" s="54" t="s">
        <v>1501</v>
      </c>
      <c r="AV288" s="1"/>
      <c r="BE288" s="3"/>
      <c r="BH288" s="1"/>
    </row>
    <row r="289" spans="1:60" x14ac:dyDescent="0.3">
      <c r="A289" s="39" t="s">
        <v>1125</v>
      </c>
      <c r="B289" s="39" t="s">
        <v>1179</v>
      </c>
      <c r="C289" s="39" t="s">
        <v>1191</v>
      </c>
      <c r="D289" s="39" t="s">
        <v>17</v>
      </c>
      <c r="E289" s="39" t="s">
        <v>819</v>
      </c>
      <c r="F289" s="40">
        <v>7025667531</v>
      </c>
      <c r="G289" s="41" t="s">
        <v>683</v>
      </c>
      <c r="H289" s="39" t="s">
        <v>684</v>
      </c>
      <c r="I289" s="58">
        <v>367871220</v>
      </c>
      <c r="J289" s="39" t="s">
        <v>673</v>
      </c>
      <c r="K289" s="39" t="s">
        <v>681</v>
      </c>
      <c r="L289" s="39" t="s">
        <v>682</v>
      </c>
      <c r="M289" s="39">
        <v>2024</v>
      </c>
      <c r="N289" s="39" t="s">
        <v>427</v>
      </c>
      <c r="O289" s="39" t="s">
        <v>1497</v>
      </c>
      <c r="P289" s="58">
        <v>2559108770</v>
      </c>
      <c r="Q289" s="39" t="s">
        <v>1794</v>
      </c>
      <c r="R289" s="124">
        <v>46145</v>
      </c>
      <c r="S289" s="124">
        <v>46387</v>
      </c>
      <c r="T289" s="58">
        <f ca="1">IF(Table2[[#This Row],[تاريخ نهاية التفويض]]="","",IFERROR(_xlfn.DAYS(Table2[[#This Row],[تاريخ نهاية التفويض]],TODAY()),""))</f>
        <v>127</v>
      </c>
      <c r="U289" s="42" t="s">
        <v>480</v>
      </c>
      <c r="V289" s="43">
        <v>46596</v>
      </c>
      <c r="W289" s="44">
        <f ca="1">IF(Table2[[#This Row],[تاريخ انتهاء التأمين]]="","",IFERROR(_xlfn.DAYS(Table2[[#This Row],[تاريخ انتهاء التأمين]],TODAY()),""))</f>
        <v>336</v>
      </c>
      <c r="X289" s="42" t="s">
        <v>16</v>
      </c>
      <c r="Y289" s="42" t="s">
        <v>431</v>
      </c>
      <c r="Z289" s="45">
        <v>4200</v>
      </c>
      <c r="AA289" s="46">
        <v>872720</v>
      </c>
      <c r="AB289" s="46" t="s">
        <v>1258</v>
      </c>
      <c r="AC289" s="46" t="s">
        <v>861</v>
      </c>
      <c r="AD289" s="46" t="s">
        <v>939</v>
      </c>
      <c r="AE289" s="47" t="s">
        <v>939</v>
      </c>
      <c r="AF289" s="114" t="s">
        <v>1137</v>
      </c>
      <c r="AG289" s="114" t="s">
        <v>1137</v>
      </c>
      <c r="AH289" s="114" t="s">
        <v>1137</v>
      </c>
      <c r="AI289" s="115" t="s">
        <v>1137</v>
      </c>
      <c r="AJ289" s="129" t="s">
        <v>1137</v>
      </c>
      <c r="AK289" s="129" t="s">
        <v>1137</v>
      </c>
      <c r="AL289" s="49" t="s">
        <v>1138</v>
      </c>
      <c r="AM289" s="50" t="s">
        <v>1138</v>
      </c>
      <c r="AN289" s="50" t="s">
        <v>1138</v>
      </c>
      <c r="AO289" s="80">
        <v>46947</v>
      </c>
      <c r="AP289" s="52">
        <f>Table2[[#This Row],[تاريخ انتهاء رخصة السير هجري]]</f>
        <v>46947</v>
      </c>
      <c r="AQ289" s="53">
        <f ca="1">IF(Table2[[#This Row],[تاريخ انتهاء رخصة السير ميلادي]]="","",IFERROR(_xlfn.DAYS(Table2[[#This Row],[تاريخ انتهاء رخصة السير ميلادي]],TODAY()),""))</f>
        <v>687</v>
      </c>
      <c r="AR289" s="55">
        <f>Table2[[#This Row],[تاريخ انتهاء الفحص ميلادي]]</f>
        <v>46022</v>
      </c>
      <c r="AS289" s="56">
        <v>46022</v>
      </c>
      <c r="AT289" s="106">
        <f ca="1">IF(Table2[[#This Row],[تاريخ انتهاء الفحص ميلادي]]="","",IFERROR(_xlfn.DAYS(Table2[[#This Row],[تاريخ انتهاء الفحص ميلادي]],TODAY()),""))</f>
        <v>-238</v>
      </c>
      <c r="AU289" s="54" t="s">
        <v>1501</v>
      </c>
      <c r="AV289" s="1"/>
      <c r="BE289" s="3"/>
      <c r="BH289" s="1"/>
    </row>
    <row r="290" spans="1:60" x14ac:dyDescent="0.3">
      <c r="A290" s="39" t="s">
        <v>450</v>
      </c>
      <c r="B290" s="39" t="s">
        <v>450</v>
      </c>
      <c r="C290" s="39" t="s">
        <v>1187</v>
      </c>
      <c r="D290" s="39" t="s">
        <v>420</v>
      </c>
      <c r="E290" s="39" t="s">
        <v>1138</v>
      </c>
      <c r="F290" s="40">
        <v>7025667531</v>
      </c>
      <c r="G290" s="41" t="s">
        <v>686</v>
      </c>
      <c r="H290" s="39" t="s">
        <v>687</v>
      </c>
      <c r="I290" s="58">
        <v>160000110</v>
      </c>
      <c r="J290" s="39" t="s">
        <v>673</v>
      </c>
      <c r="K290" s="39" t="s">
        <v>685</v>
      </c>
      <c r="L290" s="39" t="s">
        <v>524</v>
      </c>
      <c r="M290" s="58">
        <v>2005</v>
      </c>
      <c r="N290" s="39" t="s">
        <v>427</v>
      </c>
      <c r="O290" s="39" t="s">
        <v>1997</v>
      </c>
      <c r="P290" s="58">
        <v>2621465596</v>
      </c>
      <c r="Q290" s="59" t="s">
        <v>1137</v>
      </c>
      <c r="R290" s="111" t="s">
        <v>1137</v>
      </c>
      <c r="S290" s="111" t="s">
        <v>1137</v>
      </c>
      <c r="T290" s="111" t="s">
        <v>1137</v>
      </c>
      <c r="U290" s="42" t="s">
        <v>688</v>
      </c>
      <c r="V290" s="43">
        <v>46523</v>
      </c>
      <c r="W290" s="44">
        <f ca="1">IF(Table2[[#This Row],[تاريخ انتهاء التأمين]]="","",IFERROR(_xlfn.DAYS(Table2[[#This Row],[تاريخ انتهاء التأمين]],TODAY()),""))</f>
        <v>263</v>
      </c>
      <c r="X290" s="42" t="s">
        <v>509</v>
      </c>
      <c r="Y290" s="42" t="s">
        <v>28</v>
      </c>
      <c r="Z290" s="45">
        <v>956</v>
      </c>
      <c r="AA290" s="46">
        <v>856469</v>
      </c>
      <c r="AB290" s="46" t="s">
        <v>1259</v>
      </c>
      <c r="AC290" s="46" t="s">
        <v>861</v>
      </c>
      <c r="AD290" s="46" t="s">
        <v>939</v>
      </c>
      <c r="AE290" s="47">
        <v>13000</v>
      </c>
      <c r="AF290" s="48" t="s">
        <v>1481</v>
      </c>
      <c r="AG290" s="48" t="s">
        <v>861</v>
      </c>
      <c r="AH290" s="48" t="s">
        <v>1149</v>
      </c>
      <c r="AI290" s="90">
        <v>864275074546162</v>
      </c>
      <c r="AJ290" s="89">
        <v>46174</v>
      </c>
      <c r="AK290" s="102">
        <f ca="1">IF(Table2[[#This Row],[تاريخ انتهاء ال GPS]]="","",IFERROR(_xlfn.DAYS(Table2[[#This Row],[تاريخ انتهاء ال GPS]],TODAY()),""))</f>
        <v>-86</v>
      </c>
      <c r="AL290" s="49" t="s">
        <v>1527</v>
      </c>
      <c r="AM290" s="50">
        <v>46614</v>
      </c>
      <c r="AN290" s="51">
        <f ca="1">IF(Table2[[#This Row],[تاريخ انتهاء بطاقة التشغيل]]="","",IFERROR(_xlfn.DAYS(Table2[[#This Row],[تاريخ انتهاء بطاقة التشغيل]],TODAY()),""))</f>
        <v>354</v>
      </c>
      <c r="AO290" s="104">
        <v>46904</v>
      </c>
      <c r="AP290" s="52">
        <f>Table2[[#This Row],[تاريخ انتهاء رخصة السير هجري]]</f>
        <v>46904</v>
      </c>
      <c r="AQ290" s="53">
        <f ca="1">IF(Table2[[#This Row],[تاريخ انتهاء رخصة السير ميلادي]]="","",IFERROR(_xlfn.DAYS(Table2[[#This Row],[تاريخ انتهاء رخصة السير ميلادي]],TODAY()),""))</f>
        <v>644</v>
      </c>
      <c r="AR290" s="55">
        <f>Table2[[#This Row],[تاريخ انتهاء الفحص ميلادي]]</f>
        <v>46546</v>
      </c>
      <c r="AS290" s="109">
        <v>46546</v>
      </c>
      <c r="AT290" s="106">
        <f ca="1">IF(Table2[[#This Row],[تاريخ انتهاء الفحص ميلادي]]="","",IFERROR(_xlfn.DAYS(Table2[[#This Row],[تاريخ انتهاء الفحص ميلادي]],TODAY()),""))</f>
        <v>286</v>
      </c>
      <c r="AU290" s="54"/>
      <c r="AV290" s="1"/>
      <c r="BE290" s="3"/>
      <c r="BH290" s="1"/>
    </row>
    <row r="291" spans="1:60" x14ac:dyDescent="0.3">
      <c r="A291" s="39" t="s">
        <v>1126</v>
      </c>
      <c r="B291" s="39" t="s">
        <v>1181</v>
      </c>
      <c r="C291" s="39" t="s">
        <v>1138</v>
      </c>
      <c r="D291" s="39" t="s">
        <v>936</v>
      </c>
      <c r="E291" s="39" t="s">
        <v>819</v>
      </c>
      <c r="F291" s="40">
        <v>7025667531</v>
      </c>
      <c r="G291" s="41" t="s">
        <v>691</v>
      </c>
      <c r="H291" s="39" t="s">
        <v>692</v>
      </c>
      <c r="I291" s="58">
        <v>932225710</v>
      </c>
      <c r="J291" s="39" t="s">
        <v>673</v>
      </c>
      <c r="K291" s="39" t="s">
        <v>689</v>
      </c>
      <c r="L291" s="39" t="s">
        <v>690</v>
      </c>
      <c r="M291" s="39">
        <v>2019</v>
      </c>
      <c r="N291" s="39" t="s">
        <v>427</v>
      </c>
      <c r="O291" s="39" t="s">
        <v>1138</v>
      </c>
      <c r="P291" s="58" t="s">
        <v>1138</v>
      </c>
      <c r="Q291" s="39" t="s">
        <v>1138</v>
      </c>
      <c r="R291" s="124" t="s">
        <v>1138</v>
      </c>
      <c r="S291" s="124" t="s">
        <v>1138</v>
      </c>
      <c r="T291" s="124" t="s">
        <v>1138</v>
      </c>
      <c r="U291" s="42" t="s">
        <v>480</v>
      </c>
      <c r="V291" s="43">
        <v>46596</v>
      </c>
      <c r="W291" s="44">
        <f ca="1">IF(Table2[[#This Row],[تاريخ انتهاء التأمين]]="","",IFERROR(_xlfn.DAYS(Table2[[#This Row],[تاريخ انتهاء التأمين]],TODAY()),""))</f>
        <v>336</v>
      </c>
      <c r="X291" s="42" t="s">
        <v>16</v>
      </c>
      <c r="Y291" s="42" t="s">
        <v>431</v>
      </c>
      <c r="Z291" s="60">
        <v>4400</v>
      </c>
      <c r="AA291" s="46">
        <v>767078</v>
      </c>
      <c r="AB291" s="46" t="s">
        <v>1138</v>
      </c>
      <c r="AC291" s="46" t="s">
        <v>861</v>
      </c>
      <c r="AD291" s="46" t="s">
        <v>938</v>
      </c>
      <c r="AE291" s="47">
        <v>1000</v>
      </c>
      <c r="AF291" s="48" t="s">
        <v>1138</v>
      </c>
      <c r="AG291" s="48" t="s">
        <v>1138</v>
      </c>
      <c r="AH291" s="48" t="s">
        <v>1138</v>
      </c>
      <c r="AI291" s="90" t="s">
        <v>1138</v>
      </c>
      <c r="AJ291" s="89" t="s">
        <v>1138</v>
      </c>
      <c r="AK291" s="89" t="s">
        <v>1138</v>
      </c>
      <c r="AL291" s="49" t="s">
        <v>1138</v>
      </c>
      <c r="AM291" s="50" t="s">
        <v>1138</v>
      </c>
      <c r="AN291" s="50" t="s">
        <v>1138</v>
      </c>
      <c r="AO291" s="80">
        <v>45928</v>
      </c>
      <c r="AP291" s="52">
        <f>Table2[[#This Row],[تاريخ انتهاء رخصة السير هجري]]</f>
        <v>45928</v>
      </c>
      <c r="AQ291" s="53">
        <f ca="1">IF(Table2[[#This Row],[تاريخ انتهاء رخصة السير ميلادي]]="","",IFERROR(_xlfn.DAYS(Table2[[#This Row],[تاريخ انتهاء رخصة السير ميلادي]],TODAY()),""))</f>
        <v>-332</v>
      </c>
      <c r="AR291" s="55">
        <v>46019</v>
      </c>
      <c r="AS291" s="56">
        <f>Table2[[#This Row],[تاريخ انتهاء الفحص هجري]]</f>
        <v>46019</v>
      </c>
      <c r="AT291" s="106">
        <f ca="1">IF(Table2[[#This Row],[تاريخ انتهاء الفحص ميلادي]]="","",IFERROR(_xlfn.DAYS(Table2[[#This Row],[تاريخ انتهاء الفحص ميلادي]],TODAY()),""))</f>
        <v>-241</v>
      </c>
      <c r="AU291" s="54"/>
      <c r="AV291" s="1"/>
      <c r="BE291" s="3"/>
      <c r="BH291" s="1"/>
    </row>
    <row r="292" spans="1:60" x14ac:dyDescent="0.3">
      <c r="A292" s="39" t="s">
        <v>1126</v>
      </c>
      <c r="B292" s="39" t="s">
        <v>1138</v>
      </c>
      <c r="C292" s="39" t="s">
        <v>1187</v>
      </c>
      <c r="D292" s="39" t="s">
        <v>937</v>
      </c>
      <c r="E292" s="39" t="s">
        <v>819</v>
      </c>
      <c r="F292" s="40">
        <v>7025667531</v>
      </c>
      <c r="G292" s="41" t="s">
        <v>694</v>
      </c>
      <c r="H292" s="39" t="s">
        <v>695</v>
      </c>
      <c r="I292" s="58">
        <v>524398800</v>
      </c>
      <c r="J292" s="39" t="s">
        <v>424</v>
      </c>
      <c r="K292" s="39" t="s">
        <v>674</v>
      </c>
      <c r="L292" s="39" t="s">
        <v>693</v>
      </c>
      <c r="M292" s="39">
        <v>2008</v>
      </c>
      <c r="N292" s="39" t="s">
        <v>427</v>
      </c>
      <c r="O292" s="39" t="s">
        <v>1524</v>
      </c>
      <c r="P292" s="58">
        <v>2226465819</v>
      </c>
      <c r="Q292" s="39" t="s">
        <v>1795</v>
      </c>
      <c r="R292" s="124">
        <v>46047</v>
      </c>
      <c r="S292" s="124">
        <v>46387</v>
      </c>
      <c r="T292" s="58">
        <f ca="1">IF(Table2[[#This Row],[تاريخ نهاية التفويض]]="","",IFERROR(_xlfn.DAYS(Table2[[#This Row],[تاريخ نهاية التفويض]],TODAY()),""))</f>
        <v>127</v>
      </c>
      <c r="U292" s="42" t="s">
        <v>1138</v>
      </c>
      <c r="V292" s="43" t="s">
        <v>1138</v>
      </c>
      <c r="W292" s="43" t="s">
        <v>1138</v>
      </c>
      <c r="X292" s="42" t="s">
        <v>1138</v>
      </c>
      <c r="Y292" s="42" t="s">
        <v>1138</v>
      </c>
      <c r="Z292" s="42" t="s">
        <v>1138</v>
      </c>
      <c r="AA292" s="46" t="s">
        <v>1138</v>
      </c>
      <c r="AB292" s="46" t="s">
        <v>1138</v>
      </c>
      <c r="AC292" s="46" t="s">
        <v>1138</v>
      </c>
      <c r="AD292" s="46" t="s">
        <v>1138</v>
      </c>
      <c r="AE292" s="46" t="s">
        <v>1138</v>
      </c>
      <c r="AF292" s="48" t="s">
        <v>1481</v>
      </c>
      <c r="AG292" s="48" t="s">
        <v>861</v>
      </c>
      <c r="AH292" s="48" t="s">
        <v>1149</v>
      </c>
      <c r="AI292" s="90">
        <v>864636064987759</v>
      </c>
      <c r="AJ292" s="89">
        <v>45889</v>
      </c>
      <c r="AK292" s="102">
        <f ca="1">IF(Table2[[#This Row],[تاريخ انتهاء ال GPS]]="","",IFERROR(_xlfn.DAYS(Table2[[#This Row],[تاريخ انتهاء ال GPS]],TODAY()),""))</f>
        <v>-371</v>
      </c>
      <c r="AL292" s="49" t="s">
        <v>1480</v>
      </c>
      <c r="AM292" s="50">
        <v>46320</v>
      </c>
      <c r="AN292" s="51">
        <f ca="1">IF(Table2[[#This Row],[تاريخ انتهاء بطاقة التشغيل]]="","",IFERROR(_xlfn.DAYS(Table2[[#This Row],[تاريخ انتهاء بطاقة التشغيل]],TODAY()),""))</f>
        <v>60</v>
      </c>
      <c r="AO292" s="80">
        <v>46187</v>
      </c>
      <c r="AP292" s="52">
        <v>47250</v>
      </c>
      <c r="AQ292" s="53">
        <f ca="1">IF(Table2[[#This Row],[تاريخ انتهاء رخصة السير ميلادي]]="","",IFERROR(_xlfn.DAYS(Table2[[#This Row],[تاريخ انتهاء رخصة السير ميلادي]],TODAY()),""))</f>
        <v>990</v>
      </c>
      <c r="AR292" s="55">
        <v>46258</v>
      </c>
      <c r="AS292" s="56">
        <f>Table2[[#This Row],[تاريخ انتهاء الفحص هجري]]</f>
        <v>46258</v>
      </c>
      <c r="AT292" s="106">
        <f ca="1">IF(Table2[[#This Row],[تاريخ انتهاء الفحص ميلادي]]="","",IFERROR(_xlfn.DAYS(Table2[[#This Row],[تاريخ انتهاء الفحص ميلادي]],TODAY()),""))</f>
        <v>-2</v>
      </c>
      <c r="AU292" s="54"/>
      <c r="AV292" s="1"/>
      <c r="BE292" s="3"/>
      <c r="BH292" s="1"/>
    </row>
    <row r="293" spans="1:60" s="22" customFormat="1" x14ac:dyDescent="0.3">
      <c r="A293" s="61" t="s">
        <v>818</v>
      </c>
      <c r="B293" s="61" t="s">
        <v>1138</v>
      </c>
      <c r="C293" s="61" t="s">
        <v>1138</v>
      </c>
      <c r="D293" s="61" t="s">
        <v>17</v>
      </c>
      <c r="E293" s="61" t="s">
        <v>819</v>
      </c>
      <c r="F293" s="62">
        <v>7025667531</v>
      </c>
      <c r="G293" s="63" t="s">
        <v>696</v>
      </c>
      <c r="H293" s="61" t="s">
        <v>697</v>
      </c>
      <c r="I293" s="77">
        <v>1764020</v>
      </c>
      <c r="J293" s="61" t="s">
        <v>20</v>
      </c>
      <c r="K293" s="61" t="s">
        <v>67</v>
      </c>
      <c r="L293" s="61" t="s">
        <v>22</v>
      </c>
      <c r="M293" s="61">
        <v>2024</v>
      </c>
      <c r="N293" s="61" t="s">
        <v>64</v>
      </c>
      <c r="O293" s="61" t="s">
        <v>1842</v>
      </c>
      <c r="P293" s="77">
        <v>2567989856</v>
      </c>
      <c r="Q293" s="61" t="s">
        <v>1796</v>
      </c>
      <c r="R293" s="127">
        <v>45993</v>
      </c>
      <c r="S293" s="127">
        <v>46327</v>
      </c>
      <c r="T293" s="77">
        <f ca="1">IF(Table2[[#This Row],[تاريخ نهاية التفويض]]="","",IFERROR(_xlfn.DAYS(Table2[[#This Row],[تاريخ نهاية التفويض]],TODAY()),""))</f>
        <v>67</v>
      </c>
      <c r="U293" s="64" t="s">
        <v>26</v>
      </c>
      <c r="V293" s="65">
        <v>46393</v>
      </c>
      <c r="W293" s="66">
        <f ca="1">IF(Table2[[#This Row],[تاريخ انتهاء التأمين]]="","",IFERROR(_xlfn.DAYS(Table2[[#This Row],[تاريخ انتهاء التأمين]],TODAY()),""))</f>
        <v>133</v>
      </c>
      <c r="X293" s="64" t="s">
        <v>27</v>
      </c>
      <c r="Y293" s="64" t="s">
        <v>28</v>
      </c>
      <c r="Z293" s="67">
        <v>1180</v>
      </c>
      <c r="AA293" s="68">
        <v>609234</v>
      </c>
      <c r="AB293" s="68" t="s">
        <v>1138</v>
      </c>
      <c r="AC293" s="68" t="s">
        <v>1138</v>
      </c>
      <c r="AD293" s="68" t="s">
        <v>1138</v>
      </c>
      <c r="AE293" s="68" t="s">
        <v>1138</v>
      </c>
      <c r="AF293" s="91" t="s">
        <v>1147</v>
      </c>
      <c r="AG293" s="91" t="s">
        <v>1138</v>
      </c>
      <c r="AH293" s="91" t="s">
        <v>1149</v>
      </c>
      <c r="AI293" s="92">
        <v>867747074929140</v>
      </c>
      <c r="AJ293" s="93">
        <v>46119</v>
      </c>
      <c r="AK293" s="102">
        <f ca="1">IF(Table2[[#This Row],[تاريخ انتهاء ال GPS]]="","",IFERROR(_xlfn.DAYS(Table2[[#This Row],[تاريخ انتهاء ال GPS]],TODAY()),""))</f>
        <v>-141</v>
      </c>
      <c r="AL293" s="69" t="s">
        <v>1138</v>
      </c>
      <c r="AM293" s="130" t="s">
        <v>1138</v>
      </c>
      <c r="AN293" s="130" t="s">
        <v>1138</v>
      </c>
      <c r="AO293" s="82">
        <v>46361</v>
      </c>
      <c r="AP293" s="70">
        <f>Table2[[#This Row],[تاريخ انتهاء رخصة السير هجري]]</f>
        <v>46361</v>
      </c>
      <c r="AQ293" s="71">
        <f ca="1">IF(Table2[[#This Row],[تاريخ انتهاء رخصة السير ميلادي]]="","",IFERROR(_xlfn.DAYS(Table2[[#This Row],[تاريخ انتهاء رخصة السير ميلادي]],TODAY()),""))</f>
        <v>101</v>
      </c>
      <c r="AR293" s="72">
        <v>46405</v>
      </c>
      <c r="AS293" s="73">
        <f>Table2[[#This Row],[تاريخ انتهاء الفحص هجري]]</f>
        <v>46405</v>
      </c>
      <c r="AT293" s="119">
        <f ca="1">IF(Table2[[#This Row],[تاريخ انتهاء الفحص ميلادي]]="","",IFERROR(_xlfn.DAYS(Table2[[#This Row],[تاريخ انتهاء الفحص ميلادي]],TODAY()),""))</f>
        <v>145</v>
      </c>
      <c r="AU293" s="61" t="s">
        <v>941</v>
      </c>
      <c r="BE293" s="23"/>
    </row>
    <row r="294" spans="1:60" s="22" customFormat="1" x14ac:dyDescent="0.3">
      <c r="A294" s="61" t="s">
        <v>818</v>
      </c>
      <c r="B294" s="61" t="s">
        <v>1138</v>
      </c>
      <c r="C294" s="61" t="s">
        <v>1138</v>
      </c>
      <c r="D294" s="61" t="s">
        <v>17</v>
      </c>
      <c r="E294" s="61" t="s">
        <v>819</v>
      </c>
      <c r="F294" s="62">
        <v>7025667531</v>
      </c>
      <c r="G294" s="63" t="s">
        <v>698</v>
      </c>
      <c r="H294" s="61" t="s">
        <v>699</v>
      </c>
      <c r="I294" s="77">
        <v>888565020</v>
      </c>
      <c r="J294" s="61" t="s">
        <v>20</v>
      </c>
      <c r="K294" s="61" t="s">
        <v>67</v>
      </c>
      <c r="L294" s="61" t="s">
        <v>22</v>
      </c>
      <c r="M294" s="61">
        <v>2024</v>
      </c>
      <c r="N294" s="61" t="s">
        <v>64</v>
      </c>
      <c r="O294" s="61" t="s">
        <v>1846</v>
      </c>
      <c r="P294" s="77">
        <v>2562201877</v>
      </c>
      <c r="Q294" s="61" t="s">
        <v>1797</v>
      </c>
      <c r="R294" s="127">
        <v>45994</v>
      </c>
      <c r="S294" s="127">
        <v>46327</v>
      </c>
      <c r="T294" s="77">
        <f ca="1">IF(Table2[[#This Row],[تاريخ نهاية التفويض]]="","",IFERROR(_xlfn.DAYS(Table2[[#This Row],[تاريخ نهاية التفويض]],TODAY()),""))</f>
        <v>67</v>
      </c>
      <c r="U294" s="64" t="s">
        <v>26</v>
      </c>
      <c r="V294" s="65">
        <v>46393</v>
      </c>
      <c r="W294" s="66">
        <f ca="1">IF(Table2[[#This Row],[تاريخ انتهاء التأمين]]="","",IFERROR(_xlfn.DAYS(Table2[[#This Row],[تاريخ انتهاء التأمين]],TODAY()),""))</f>
        <v>133</v>
      </c>
      <c r="X294" s="64" t="s">
        <v>27</v>
      </c>
      <c r="Y294" s="64" t="s">
        <v>28</v>
      </c>
      <c r="Z294" s="67">
        <v>1180</v>
      </c>
      <c r="AA294" s="68">
        <v>624842</v>
      </c>
      <c r="AB294" s="68" t="s">
        <v>1138</v>
      </c>
      <c r="AC294" s="68" t="s">
        <v>1138</v>
      </c>
      <c r="AD294" s="68" t="s">
        <v>1138</v>
      </c>
      <c r="AE294" s="68" t="s">
        <v>1138</v>
      </c>
      <c r="AF294" s="91" t="s">
        <v>1147</v>
      </c>
      <c r="AG294" s="91" t="s">
        <v>1138</v>
      </c>
      <c r="AH294" s="91" t="s">
        <v>1149</v>
      </c>
      <c r="AI294" s="92">
        <v>864454079675199</v>
      </c>
      <c r="AJ294" s="93">
        <v>46127</v>
      </c>
      <c r="AK294" s="102">
        <f ca="1">IF(Table2[[#This Row],[تاريخ انتهاء ال GPS]]="","",IFERROR(_xlfn.DAYS(Table2[[#This Row],[تاريخ انتهاء ال GPS]],TODAY()),""))</f>
        <v>-133</v>
      </c>
      <c r="AL294" s="69" t="s">
        <v>1138</v>
      </c>
      <c r="AM294" s="130" t="s">
        <v>1138</v>
      </c>
      <c r="AN294" s="130" t="s">
        <v>1138</v>
      </c>
      <c r="AO294" s="82">
        <v>46398</v>
      </c>
      <c r="AP294" s="70">
        <f>Table2[[#This Row],[تاريخ انتهاء رخصة السير هجري]]</f>
        <v>46398</v>
      </c>
      <c r="AQ294" s="71">
        <f ca="1">IF(Table2[[#This Row],[تاريخ انتهاء رخصة السير ميلادي]]="","",IFERROR(_xlfn.DAYS(Table2[[#This Row],[تاريخ انتهاء رخصة السير ميلادي]],TODAY()),""))</f>
        <v>138</v>
      </c>
      <c r="AR294" s="72">
        <v>46397</v>
      </c>
      <c r="AS294" s="73">
        <f>Table2[[#This Row],[تاريخ انتهاء الفحص هجري]]</f>
        <v>46397</v>
      </c>
      <c r="AT294" s="119">
        <f ca="1">IF(Table2[[#This Row],[تاريخ انتهاء الفحص ميلادي]]="","",IFERROR(_xlfn.DAYS(Table2[[#This Row],[تاريخ انتهاء الفحص ميلادي]],TODAY()),""))</f>
        <v>137</v>
      </c>
      <c r="AU294" s="61" t="s">
        <v>941</v>
      </c>
      <c r="BE294" s="23"/>
    </row>
    <row r="295" spans="1:60" s="22" customFormat="1" x14ac:dyDescent="0.3">
      <c r="A295" s="61" t="s">
        <v>818</v>
      </c>
      <c r="B295" s="61" t="s">
        <v>1138</v>
      </c>
      <c r="C295" s="61" t="s">
        <v>1138</v>
      </c>
      <c r="D295" s="61" t="s">
        <v>17</v>
      </c>
      <c r="E295" s="61" t="s">
        <v>819</v>
      </c>
      <c r="F295" s="62">
        <v>7025667531</v>
      </c>
      <c r="G295" s="63" t="s">
        <v>700</v>
      </c>
      <c r="H295" s="61" t="s">
        <v>701</v>
      </c>
      <c r="I295" s="77">
        <v>855955020</v>
      </c>
      <c r="J295" s="61" t="s">
        <v>20</v>
      </c>
      <c r="K295" s="61" t="s">
        <v>67</v>
      </c>
      <c r="L295" s="61" t="s">
        <v>22</v>
      </c>
      <c r="M295" s="61">
        <v>2024</v>
      </c>
      <c r="N295" s="61" t="s">
        <v>64</v>
      </c>
      <c r="O295" s="61" t="s">
        <v>1138</v>
      </c>
      <c r="P295" s="77" t="s">
        <v>1138</v>
      </c>
      <c r="Q295" s="77" t="s">
        <v>1138</v>
      </c>
      <c r="R295" s="127" t="s">
        <v>1138</v>
      </c>
      <c r="S295" s="127" t="s">
        <v>1138</v>
      </c>
      <c r="T295" s="127" t="s">
        <v>1138</v>
      </c>
      <c r="U295" s="64" t="s">
        <v>1138</v>
      </c>
      <c r="V295" s="65" t="s">
        <v>1138</v>
      </c>
      <c r="W295" s="64" t="s">
        <v>1138</v>
      </c>
      <c r="X295" s="64" t="s">
        <v>1138</v>
      </c>
      <c r="Y295" s="64" t="s">
        <v>1138</v>
      </c>
      <c r="Z295" s="64" t="s">
        <v>1138</v>
      </c>
      <c r="AA295" s="68">
        <v>624851</v>
      </c>
      <c r="AB295" s="68" t="s">
        <v>1138</v>
      </c>
      <c r="AC295" s="68" t="s">
        <v>1138</v>
      </c>
      <c r="AD295" s="68" t="s">
        <v>1138</v>
      </c>
      <c r="AE295" s="68" t="s">
        <v>1138</v>
      </c>
      <c r="AF295" s="91" t="s">
        <v>1138</v>
      </c>
      <c r="AG295" s="91" t="s">
        <v>1138</v>
      </c>
      <c r="AH295" s="91" t="s">
        <v>1138</v>
      </c>
      <c r="AI295" s="91" t="s">
        <v>1138</v>
      </c>
      <c r="AJ295" s="93" t="s">
        <v>1138</v>
      </c>
      <c r="AK295" s="93" t="s">
        <v>1138</v>
      </c>
      <c r="AL295" s="69" t="s">
        <v>1138</v>
      </c>
      <c r="AM295" s="130" t="s">
        <v>1138</v>
      </c>
      <c r="AN295" s="130" t="s">
        <v>1138</v>
      </c>
      <c r="AO295" s="82">
        <v>46396</v>
      </c>
      <c r="AP295" s="70">
        <f>Table2[[#This Row],[تاريخ انتهاء رخصة السير هجري]]</f>
        <v>46396</v>
      </c>
      <c r="AQ295" s="71">
        <f ca="1">IF(Table2[[#This Row],[تاريخ انتهاء رخصة السير ميلادي]]="","",IFERROR(_xlfn.DAYS(Table2[[#This Row],[تاريخ انتهاء رخصة السير ميلادي]],TODAY()),""))</f>
        <v>136</v>
      </c>
      <c r="AR295" s="72">
        <v>46022</v>
      </c>
      <c r="AS295" s="73">
        <f>Table2[[#This Row],[تاريخ انتهاء الفحص هجري]]</f>
        <v>46022</v>
      </c>
      <c r="AT295" s="106">
        <f ca="1">IF(Table2[[#This Row],[تاريخ انتهاء الفحص ميلادي]]="","",IFERROR(_xlfn.DAYS(Table2[[#This Row],[تاريخ انتهاء الفحص ميلادي]],TODAY()),""))</f>
        <v>-238</v>
      </c>
      <c r="AU295" s="61"/>
      <c r="BE295" s="23"/>
    </row>
    <row r="296" spans="1:60" s="22" customFormat="1" x14ac:dyDescent="0.3">
      <c r="A296" s="61" t="s">
        <v>818</v>
      </c>
      <c r="B296" s="61" t="s">
        <v>1138</v>
      </c>
      <c r="C296" s="61" t="s">
        <v>1138</v>
      </c>
      <c r="D296" s="61" t="s">
        <v>17</v>
      </c>
      <c r="E296" s="61" t="s">
        <v>819</v>
      </c>
      <c r="F296" s="62">
        <v>7025667531</v>
      </c>
      <c r="G296" s="63" t="s">
        <v>702</v>
      </c>
      <c r="H296" s="61" t="s">
        <v>703</v>
      </c>
      <c r="I296" s="77">
        <v>149860020</v>
      </c>
      <c r="J296" s="61" t="s">
        <v>20</v>
      </c>
      <c r="K296" s="61" t="s">
        <v>21</v>
      </c>
      <c r="L296" s="61" t="s">
        <v>22</v>
      </c>
      <c r="M296" s="61">
        <v>2023</v>
      </c>
      <c r="N296" s="61" t="s">
        <v>23</v>
      </c>
      <c r="O296" s="61" t="s">
        <v>1138</v>
      </c>
      <c r="P296" s="77" t="s">
        <v>1138</v>
      </c>
      <c r="Q296" s="77" t="s">
        <v>1138</v>
      </c>
      <c r="R296" s="127" t="s">
        <v>1138</v>
      </c>
      <c r="S296" s="127" t="s">
        <v>1138</v>
      </c>
      <c r="T296" s="127" t="s">
        <v>1138</v>
      </c>
      <c r="U296" s="64" t="s">
        <v>1138</v>
      </c>
      <c r="V296" s="65" t="s">
        <v>1138</v>
      </c>
      <c r="W296" s="64" t="s">
        <v>1138</v>
      </c>
      <c r="X296" s="64" t="s">
        <v>1138</v>
      </c>
      <c r="Y296" s="64" t="s">
        <v>1138</v>
      </c>
      <c r="Z296" s="64" t="s">
        <v>1138</v>
      </c>
      <c r="AA296" s="68">
        <v>624897</v>
      </c>
      <c r="AB296" s="68" t="s">
        <v>1138</v>
      </c>
      <c r="AC296" s="68" t="s">
        <v>1138</v>
      </c>
      <c r="AD296" s="68" t="s">
        <v>1138</v>
      </c>
      <c r="AE296" s="68" t="s">
        <v>1138</v>
      </c>
      <c r="AF296" s="91" t="s">
        <v>1138</v>
      </c>
      <c r="AG296" s="91" t="s">
        <v>1138</v>
      </c>
      <c r="AH296" s="91" t="s">
        <v>1138</v>
      </c>
      <c r="AI296" s="91" t="s">
        <v>1138</v>
      </c>
      <c r="AJ296" s="93" t="s">
        <v>1138</v>
      </c>
      <c r="AK296" s="93" t="s">
        <v>1138</v>
      </c>
      <c r="AL296" s="69" t="s">
        <v>1138</v>
      </c>
      <c r="AM296" s="130" t="s">
        <v>1138</v>
      </c>
      <c r="AN296" s="130" t="s">
        <v>1138</v>
      </c>
      <c r="AO296" s="82">
        <v>46216</v>
      </c>
      <c r="AP296" s="70">
        <f>Table2[[#This Row],[تاريخ انتهاء رخصة السير هجري]]</f>
        <v>46216</v>
      </c>
      <c r="AQ296" s="120">
        <f ca="1">IF(Table2[[#This Row],[تاريخ انتهاء رخصة السير ميلادي]]="","",IFERROR(_xlfn.DAYS(Table2[[#This Row],[تاريخ انتهاء رخصة السير ميلادي]],TODAY()),""))</f>
        <v>-44</v>
      </c>
      <c r="AR296" s="72" t="s">
        <v>1138</v>
      </c>
      <c r="AS296" s="73" t="s">
        <v>1138</v>
      </c>
      <c r="AT296" s="73" t="s">
        <v>1138</v>
      </c>
      <c r="AU296" s="61"/>
      <c r="BE296" s="23"/>
    </row>
    <row r="297" spans="1:60" s="22" customFormat="1" x14ac:dyDescent="0.3">
      <c r="A297" s="61" t="s">
        <v>818</v>
      </c>
      <c r="B297" s="61" t="s">
        <v>1138</v>
      </c>
      <c r="C297" s="61" t="s">
        <v>1138</v>
      </c>
      <c r="D297" s="61" t="s">
        <v>17</v>
      </c>
      <c r="E297" s="61" t="s">
        <v>819</v>
      </c>
      <c r="F297" s="62">
        <v>7025667531</v>
      </c>
      <c r="G297" s="63" t="s">
        <v>704</v>
      </c>
      <c r="H297" s="61" t="s">
        <v>705</v>
      </c>
      <c r="I297" s="77">
        <v>694917020</v>
      </c>
      <c r="J297" s="61" t="s">
        <v>20</v>
      </c>
      <c r="K297" s="61" t="s">
        <v>67</v>
      </c>
      <c r="L297" s="61" t="s">
        <v>22</v>
      </c>
      <c r="M297" s="61">
        <v>2024</v>
      </c>
      <c r="N297" s="61" t="s">
        <v>64</v>
      </c>
      <c r="O297" s="61" t="s">
        <v>1138</v>
      </c>
      <c r="P297" s="77" t="s">
        <v>1138</v>
      </c>
      <c r="Q297" s="77" t="s">
        <v>1138</v>
      </c>
      <c r="R297" s="127" t="s">
        <v>1138</v>
      </c>
      <c r="S297" s="127" t="s">
        <v>1138</v>
      </c>
      <c r="T297" s="127" t="s">
        <v>1138</v>
      </c>
      <c r="U297" s="64" t="s">
        <v>1138</v>
      </c>
      <c r="V297" s="65" t="s">
        <v>1138</v>
      </c>
      <c r="W297" s="64" t="s">
        <v>1138</v>
      </c>
      <c r="X297" s="64" t="s">
        <v>1138</v>
      </c>
      <c r="Y297" s="64" t="s">
        <v>1138</v>
      </c>
      <c r="Z297" s="64" t="s">
        <v>1138</v>
      </c>
      <c r="AA297" s="68">
        <v>755951</v>
      </c>
      <c r="AB297" s="68" t="s">
        <v>1138</v>
      </c>
      <c r="AC297" s="68" t="s">
        <v>1138</v>
      </c>
      <c r="AD297" s="68" t="s">
        <v>1138</v>
      </c>
      <c r="AE297" s="68" t="s">
        <v>1138</v>
      </c>
      <c r="AF297" s="91" t="s">
        <v>1138</v>
      </c>
      <c r="AG297" s="91" t="s">
        <v>1138</v>
      </c>
      <c r="AH297" s="91" t="s">
        <v>1138</v>
      </c>
      <c r="AI297" s="91" t="s">
        <v>1138</v>
      </c>
      <c r="AJ297" s="93" t="s">
        <v>1138</v>
      </c>
      <c r="AK297" s="93" t="s">
        <v>1138</v>
      </c>
      <c r="AL297" s="69" t="s">
        <v>1138</v>
      </c>
      <c r="AM297" s="130" t="s">
        <v>1138</v>
      </c>
      <c r="AN297" s="130" t="s">
        <v>1138</v>
      </c>
      <c r="AO297" s="82">
        <v>46460</v>
      </c>
      <c r="AP297" s="70">
        <f>Table2[[#This Row],[تاريخ انتهاء رخصة السير هجري]]</f>
        <v>46460</v>
      </c>
      <c r="AQ297" s="71">
        <f ca="1">IF(Table2[[#This Row],[تاريخ انتهاء رخصة السير ميلادي]]="","",IFERROR(_xlfn.DAYS(Table2[[#This Row],[تاريخ انتهاء رخصة السير ميلادي]],TODAY()),""))</f>
        <v>200</v>
      </c>
      <c r="AR297" s="72">
        <v>46022</v>
      </c>
      <c r="AS297" s="73">
        <f>Table2[[#This Row],[تاريخ انتهاء الفحص هجري]]</f>
        <v>46022</v>
      </c>
      <c r="AT297" s="106">
        <f ca="1">IF(Table2[[#This Row],[تاريخ انتهاء الفحص ميلادي]]="","",IFERROR(_xlfn.DAYS(Table2[[#This Row],[تاريخ انتهاء الفحص ميلادي]],TODAY()),""))</f>
        <v>-238</v>
      </c>
      <c r="AU297" s="61"/>
      <c r="BE297" s="23"/>
    </row>
    <row r="298" spans="1:60" s="22" customFormat="1" x14ac:dyDescent="0.3">
      <c r="A298" s="61" t="s">
        <v>818</v>
      </c>
      <c r="B298" s="61" t="s">
        <v>1138</v>
      </c>
      <c r="C298" s="61" t="s">
        <v>1138</v>
      </c>
      <c r="D298" s="61" t="s">
        <v>17</v>
      </c>
      <c r="E298" s="61" t="s">
        <v>819</v>
      </c>
      <c r="F298" s="62">
        <v>7025667531</v>
      </c>
      <c r="G298" s="63" t="s">
        <v>706</v>
      </c>
      <c r="H298" s="61" t="s">
        <v>707</v>
      </c>
      <c r="I298" s="77">
        <v>77284020</v>
      </c>
      <c r="J298" s="61" t="s">
        <v>20</v>
      </c>
      <c r="K298" s="61" t="s">
        <v>67</v>
      </c>
      <c r="L298" s="61" t="s">
        <v>22</v>
      </c>
      <c r="M298" s="61">
        <v>2024</v>
      </c>
      <c r="N298" s="61" t="s">
        <v>64</v>
      </c>
      <c r="O298" s="61" t="s">
        <v>1138</v>
      </c>
      <c r="P298" s="77" t="s">
        <v>1138</v>
      </c>
      <c r="Q298" s="77" t="s">
        <v>1138</v>
      </c>
      <c r="R298" s="127" t="s">
        <v>1138</v>
      </c>
      <c r="S298" s="127" t="s">
        <v>1138</v>
      </c>
      <c r="T298" s="127" t="s">
        <v>1138</v>
      </c>
      <c r="U298" s="64" t="s">
        <v>1138</v>
      </c>
      <c r="V298" s="65" t="s">
        <v>1138</v>
      </c>
      <c r="W298" s="64" t="s">
        <v>1138</v>
      </c>
      <c r="X298" s="64" t="s">
        <v>1138</v>
      </c>
      <c r="Y298" s="64" t="s">
        <v>1138</v>
      </c>
      <c r="Z298" s="64" t="s">
        <v>1138</v>
      </c>
      <c r="AA298" s="68">
        <v>609255</v>
      </c>
      <c r="AB298" s="68" t="s">
        <v>1138</v>
      </c>
      <c r="AC298" s="68" t="s">
        <v>1138</v>
      </c>
      <c r="AD298" s="68" t="s">
        <v>1138</v>
      </c>
      <c r="AE298" s="68" t="s">
        <v>1138</v>
      </c>
      <c r="AF298" s="91" t="s">
        <v>1138</v>
      </c>
      <c r="AG298" s="91" t="s">
        <v>1138</v>
      </c>
      <c r="AH298" s="91" t="s">
        <v>1138</v>
      </c>
      <c r="AI298" s="91" t="s">
        <v>1138</v>
      </c>
      <c r="AJ298" s="93" t="s">
        <v>1138</v>
      </c>
      <c r="AK298" s="93" t="s">
        <v>1138</v>
      </c>
      <c r="AL298" s="69" t="s">
        <v>1138</v>
      </c>
      <c r="AM298" s="130" t="s">
        <v>1138</v>
      </c>
      <c r="AN298" s="130" t="s">
        <v>1138</v>
      </c>
      <c r="AO298" s="82">
        <v>46367</v>
      </c>
      <c r="AP298" s="70">
        <f>Table2[[#This Row],[تاريخ انتهاء رخصة السير هجري]]</f>
        <v>46367</v>
      </c>
      <c r="AQ298" s="71">
        <f ca="1">IF(Table2[[#This Row],[تاريخ انتهاء رخصة السير ميلادي]]="","",IFERROR(_xlfn.DAYS(Table2[[#This Row],[تاريخ انتهاء رخصة السير ميلادي]],TODAY()),""))</f>
        <v>107</v>
      </c>
      <c r="AR298" s="72">
        <v>46023</v>
      </c>
      <c r="AS298" s="73">
        <f>Table2[[#This Row],[تاريخ انتهاء الفحص هجري]]</f>
        <v>46023</v>
      </c>
      <c r="AT298" s="106">
        <f ca="1">IF(Table2[[#This Row],[تاريخ انتهاء الفحص ميلادي]]="","",IFERROR(_xlfn.DAYS(Table2[[#This Row],[تاريخ انتهاء الفحص ميلادي]],TODAY()),""))</f>
        <v>-237</v>
      </c>
      <c r="AU298" s="61"/>
      <c r="BE298" s="23"/>
    </row>
    <row r="299" spans="1:60" s="22" customFormat="1" x14ac:dyDescent="0.3">
      <c r="A299" s="61" t="s">
        <v>818</v>
      </c>
      <c r="B299" s="61" t="s">
        <v>1138</v>
      </c>
      <c r="C299" s="61" t="s">
        <v>1138</v>
      </c>
      <c r="D299" s="61" t="s">
        <v>17</v>
      </c>
      <c r="E299" s="61" t="s">
        <v>819</v>
      </c>
      <c r="F299" s="62">
        <v>7025667531</v>
      </c>
      <c r="G299" s="63" t="s">
        <v>708</v>
      </c>
      <c r="H299" s="61" t="s">
        <v>709</v>
      </c>
      <c r="I299" s="77">
        <v>281655020</v>
      </c>
      <c r="J299" s="61" t="s">
        <v>20</v>
      </c>
      <c r="K299" s="61" t="s">
        <v>67</v>
      </c>
      <c r="L299" s="61" t="s">
        <v>22</v>
      </c>
      <c r="M299" s="61">
        <v>2024</v>
      </c>
      <c r="N299" s="61" t="s">
        <v>64</v>
      </c>
      <c r="O299" s="61" t="s">
        <v>1138</v>
      </c>
      <c r="P299" s="77" t="s">
        <v>1138</v>
      </c>
      <c r="Q299" s="77" t="s">
        <v>1138</v>
      </c>
      <c r="R299" s="127" t="s">
        <v>1138</v>
      </c>
      <c r="S299" s="127" t="s">
        <v>1138</v>
      </c>
      <c r="T299" s="127" t="s">
        <v>1138</v>
      </c>
      <c r="U299" s="64" t="s">
        <v>1138</v>
      </c>
      <c r="V299" s="65" t="s">
        <v>1138</v>
      </c>
      <c r="W299" s="64" t="s">
        <v>1138</v>
      </c>
      <c r="X299" s="64" t="s">
        <v>1138</v>
      </c>
      <c r="Y299" s="64" t="s">
        <v>1138</v>
      </c>
      <c r="Z299" s="64" t="s">
        <v>1138</v>
      </c>
      <c r="AA299" s="68">
        <v>624829</v>
      </c>
      <c r="AB299" s="68" t="s">
        <v>1138</v>
      </c>
      <c r="AC299" s="68" t="s">
        <v>1138</v>
      </c>
      <c r="AD299" s="68" t="s">
        <v>1138</v>
      </c>
      <c r="AE299" s="68" t="s">
        <v>1138</v>
      </c>
      <c r="AF299" s="91" t="s">
        <v>1147</v>
      </c>
      <c r="AG299" s="91" t="s">
        <v>1138</v>
      </c>
      <c r="AH299" s="91" t="s">
        <v>1149</v>
      </c>
      <c r="AI299" s="92">
        <v>867747075447068</v>
      </c>
      <c r="AJ299" s="93">
        <v>46109</v>
      </c>
      <c r="AK299" s="102">
        <f ca="1">IF(Table2[[#This Row],[تاريخ انتهاء ال GPS]]="","",IFERROR(_xlfn.DAYS(Table2[[#This Row],[تاريخ انتهاء ال GPS]],TODAY()),""))</f>
        <v>-151</v>
      </c>
      <c r="AL299" s="69" t="s">
        <v>1138</v>
      </c>
      <c r="AM299" s="130" t="s">
        <v>1138</v>
      </c>
      <c r="AN299" s="130" t="s">
        <v>1138</v>
      </c>
      <c r="AO299" s="82">
        <v>46392</v>
      </c>
      <c r="AP299" s="70">
        <f>Table2[[#This Row],[تاريخ انتهاء رخصة السير هجري]]</f>
        <v>46392</v>
      </c>
      <c r="AQ299" s="71">
        <f ca="1">IF(Table2[[#This Row],[تاريخ انتهاء رخصة السير ميلادي]]="","",IFERROR(_xlfn.DAYS(Table2[[#This Row],[تاريخ انتهاء رخصة السير ميلادي]],TODAY()),""))</f>
        <v>132</v>
      </c>
      <c r="AR299" s="72" t="s">
        <v>1138</v>
      </c>
      <c r="AS299" s="73" t="s">
        <v>1138</v>
      </c>
      <c r="AT299" s="73" t="s">
        <v>1138</v>
      </c>
      <c r="AU299" s="61"/>
      <c r="BE299" s="23"/>
    </row>
    <row r="300" spans="1:60" s="22" customFormat="1" x14ac:dyDescent="0.3">
      <c r="A300" s="61" t="s">
        <v>818</v>
      </c>
      <c r="B300" s="61" t="s">
        <v>1138</v>
      </c>
      <c r="C300" s="61" t="s">
        <v>1138</v>
      </c>
      <c r="D300" s="61" t="s">
        <v>17</v>
      </c>
      <c r="E300" s="61" t="s">
        <v>819</v>
      </c>
      <c r="F300" s="62">
        <v>7025667531</v>
      </c>
      <c r="G300" s="63" t="s">
        <v>710</v>
      </c>
      <c r="H300" s="61" t="s">
        <v>711</v>
      </c>
      <c r="I300" s="77">
        <v>914384020</v>
      </c>
      <c r="J300" s="61" t="s">
        <v>20</v>
      </c>
      <c r="K300" s="61" t="s">
        <v>67</v>
      </c>
      <c r="L300" s="61" t="s">
        <v>22</v>
      </c>
      <c r="M300" s="61">
        <v>2024</v>
      </c>
      <c r="N300" s="61" t="s">
        <v>64</v>
      </c>
      <c r="O300" s="61" t="s">
        <v>1138</v>
      </c>
      <c r="P300" s="77" t="s">
        <v>1138</v>
      </c>
      <c r="Q300" s="77" t="s">
        <v>1138</v>
      </c>
      <c r="R300" s="127" t="s">
        <v>1138</v>
      </c>
      <c r="S300" s="127" t="s">
        <v>1138</v>
      </c>
      <c r="T300" s="127" t="s">
        <v>1138</v>
      </c>
      <c r="U300" s="64" t="s">
        <v>1138</v>
      </c>
      <c r="V300" s="65" t="s">
        <v>1138</v>
      </c>
      <c r="W300" s="64" t="s">
        <v>1138</v>
      </c>
      <c r="X300" s="64" t="s">
        <v>1138</v>
      </c>
      <c r="Y300" s="64" t="s">
        <v>1138</v>
      </c>
      <c r="Z300" s="64" t="s">
        <v>1138</v>
      </c>
      <c r="AA300" s="68">
        <v>609243</v>
      </c>
      <c r="AB300" s="68" t="s">
        <v>1138</v>
      </c>
      <c r="AC300" s="68" t="s">
        <v>1138</v>
      </c>
      <c r="AD300" s="68" t="s">
        <v>1138</v>
      </c>
      <c r="AE300" s="68" t="s">
        <v>1138</v>
      </c>
      <c r="AF300" s="91" t="s">
        <v>1147</v>
      </c>
      <c r="AG300" s="91" t="s">
        <v>1138</v>
      </c>
      <c r="AH300" s="91" t="s">
        <v>1149</v>
      </c>
      <c r="AI300" s="92">
        <v>867747075358752</v>
      </c>
      <c r="AJ300" s="93">
        <v>46125</v>
      </c>
      <c r="AK300" s="102">
        <f ca="1">IF(Table2[[#This Row],[تاريخ انتهاء ال GPS]]="","",IFERROR(_xlfn.DAYS(Table2[[#This Row],[تاريخ انتهاء ال GPS]],TODAY()),""))</f>
        <v>-135</v>
      </c>
      <c r="AL300" s="69" t="s">
        <v>1138</v>
      </c>
      <c r="AM300" s="130" t="s">
        <v>1138</v>
      </c>
      <c r="AN300" s="130" t="s">
        <v>1138</v>
      </c>
      <c r="AO300" s="82">
        <v>46367</v>
      </c>
      <c r="AP300" s="70">
        <f>Table2[[#This Row],[تاريخ انتهاء رخصة السير هجري]]</f>
        <v>46367</v>
      </c>
      <c r="AQ300" s="71">
        <f ca="1">IF(Table2[[#This Row],[تاريخ انتهاء رخصة السير ميلادي]]="","",IFERROR(_xlfn.DAYS(Table2[[#This Row],[تاريخ انتهاء رخصة السير ميلادي]],TODAY()),""))</f>
        <v>107</v>
      </c>
      <c r="AR300" s="72">
        <v>46022</v>
      </c>
      <c r="AS300" s="73">
        <f>Table2[[#This Row],[تاريخ انتهاء الفحص هجري]]</f>
        <v>46022</v>
      </c>
      <c r="AT300" s="106">
        <f ca="1">IF(Table2[[#This Row],[تاريخ انتهاء الفحص ميلادي]]="","",IFERROR(_xlfn.DAYS(Table2[[#This Row],[تاريخ انتهاء الفحص ميلادي]],TODAY()),""))</f>
        <v>-238</v>
      </c>
      <c r="AU300" s="61"/>
      <c r="BE300" s="23"/>
    </row>
    <row r="301" spans="1:60" s="22" customFormat="1" x14ac:dyDescent="0.3">
      <c r="A301" s="61" t="s">
        <v>818</v>
      </c>
      <c r="B301" s="61" t="s">
        <v>1138</v>
      </c>
      <c r="C301" s="61" t="s">
        <v>1138</v>
      </c>
      <c r="D301" s="61" t="s">
        <v>17</v>
      </c>
      <c r="E301" s="61" t="s">
        <v>819</v>
      </c>
      <c r="F301" s="62">
        <v>7025667531</v>
      </c>
      <c r="G301" s="63" t="s">
        <v>712</v>
      </c>
      <c r="H301" s="61" t="s">
        <v>713</v>
      </c>
      <c r="I301" s="77">
        <v>585917020</v>
      </c>
      <c r="J301" s="61" t="s">
        <v>20</v>
      </c>
      <c r="K301" s="61" t="s">
        <v>67</v>
      </c>
      <c r="L301" s="61" t="s">
        <v>22</v>
      </c>
      <c r="M301" s="61">
        <v>2024</v>
      </c>
      <c r="N301" s="61" t="s">
        <v>64</v>
      </c>
      <c r="O301" s="61" t="s">
        <v>1138</v>
      </c>
      <c r="P301" s="77" t="s">
        <v>1138</v>
      </c>
      <c r="Q301" s="77" t="s">
        <v>1138</v>
      </c>
      <c r="R301" s="127" t="s">
        <v>1138</v>
      </c>
      <c r="S301" s="127" t="s">
        <v>1138</v>
      </c>
      <c r="T301" s="127" t="s">
        <v>1138</v>
      </c>
      <c r="U301" s="64" t="s">
        <v>1138</v>
      </c>
      <c r="V301" s="65" t="s">
        <v>1138</v>
      </c>
      <c r="W301" s="64" t="s">
        <v>1138</v>
      </c>
      <c r="X301" s="64" t="s">
        <v>1138</v>
      </c>
      <c r="Y301" s="64" t="s">
        <v>1138</v>
      </c>
      <c r="Z301" s="64" t="s">
        <v>1138</v>
      </c>
      <c r="AA301" s="68">
        <v>650590</v>
      </c>
      <c r="AB301" s="68" t="s">
        <v>1138</v>
      </c>
      <c r="AC301" s="68" t="s">
        <v>1138</v>
      </c>
      <c r="AD301" s="68" t="s">
        <v>1138</v>
      </c>
      <c r="AE301" s="68" t="s">
        <v>1138</v>
      </c>
      <c r="AF301" s="91" t="s">
        <v>1147</v>
      </c>
      <c r="AG301" s="91" t="s">
        <v>1138</v>
      </c>
      <c r="AH301" s="91" t="s">
        <v>1149</v>
      </c>
      <c r="AI301" s="92">
        <v>867747071401101</v>
      </c>
      <c r="AJ301" s="93">
        <v>46109</v>
      </c>
      <c r="AK301" s="102">
        <f ca="1">IF(Table2[[#This Row],[تاريخ انتهاء ال GPS]]="","",IFERROR(_xlfn.DAYS(Table2[[#This Row],[تاريخ انتهاء ال GPS]],TODAY()),""))</f>
        <v>-151</v>
      </c>
      <c r="AL301" s="69" t="s">
        <v>1138</v>
      </c>
      <c r="AM301" s="130" t="s">
        <v>1138</v>
      </c>
      <c r="AN301" s="130" t="s">
        <v>1138</v>
      </c>
      <c r="AO301" s="82">
        <v>46460</v>
      </c>
      <c r="AP301" s="70">
        <f>Table2[[#This Row],[تاريخ انتهاء رخصة السير هجري]]</f>
        <v>46460</v>
      </c>
      <c r="AQ301" s="71">
        <f ca="1">IF(Table2[[#This Row],[تاريخ انتهاء رخصة السير ميلادي]]="","",IFERROR(_xlfn.DAYS(Table2[[#This Row],[تاريخ انتهاء رخصة السير ميلادي]],TODAY()),""))</f>
        <v>200</v>
      </c>
      <c r="AR301" s="72" t="s">
        <v>1138</v>
      </c>
      <c r="AS301" s="73" t="s">
        <v>1138</v>
      </c>
      <c r="AT301" s="73" t="s">
        <v>1138</v>
      </c>
      <c r="AU301" s="61"/>
      <c r="BE301" s="23"/>
    </row>
    <row r="302" spans="1:60" s="22" customFormat="1" x14ac:dyDescent="0.3">
      <c r="A302" s="61" t="s">
        <v>818</v>
      </c>
      <c r="B302" s="61" t="s">
        <v>1138</v>
      </c>
      <c r="C302" s="61" t="s">
        <v>1138</v>
      </c>
      <c r="D302" s="61" t="s">
        <v>17</v>
      </c>
      <c r="E302" s="61" t="s">
        <v>819</v>
      </c>
      <c r="F302" s="62">
        <v>7025667531</v>
      </c>
      <c r="G302" s="63" t="s">
        <v>714</v>
      </c>
      <c r="H302" s="61" t="s">
        <v>715</v>
      </c>
      <c r="I302" s="77">
        <v>704384020</v>
      </c>
      <c r="J302" s="61" t="s">
        <v>20</v>
      </c>
      <c r="K302" s="61" t="s">
        <v>67</v>
      </c>
      <c r="L302" s="61" t="s">
        <v>22</v>
      </c>
      <c r="M302" s="61">
        <v>2024</v>
      </c>
      <c r="N302" s="61" t="s">
        <v>64</v>
      </c>
      <c r="O302" s="61" t="s">
        <v>1138</v>
      </c>
      <c r="P302" s="77" t="s">
        <v>1138</v>
      </c>
      <c r="Q302" s="77" t="s">
        <v>1138</v>
      </c>
      <c r="R302" s="127" t="s">
        <v>1138</v>
      </c>
      <c r="S302" s="127" t="s">
        <v>1138</v>
      </c>
      <c r="T302" s="127" t="s">
        <v>1138</v>
      </c>
      <c r="U302" s="64" t="s">
        <v>1138</v>
      </c>
      <c r="V302" s="65" t="s">
        <v>1138</v>
      </c>
      <c r="W302" s="64" t="s">
        <v>1138</v>
      </c>
      <c r="X302" s="64" t="s">
        <v>1138</v>
      </c>
      <c r="Y302" s="64" t="s">
        <v>1138</v>
      </c>
      <c r="Z302" s="64" t="s">
        <v>1138</v>
      </c>
      <c r="AA302" s="68">
        <v>609242</v>
      </c>
      <c r="AB302" s="68" t="s">
        <v>1138</v>
      </c>
      <c r="AC302" s="68" t="s">
        <v>1138</v>
      </c>
      <c r="AD302" s="68" t="s">
        <v>1138</v>
      </c>
      <c r="AE302" s="68" t="s">
        <v>1138</v>
      </c>
      <c r="AF302" s="91" t="s">
        <v>1138</v>
      </c>
      <c r="AG302" s="91" t="s">
        <v>1138</v>
      </c>
      <c r="AH302" s="91" t="s">
        <v>1138</v>
      </c>
      <c r="AI302" s="91" t="s">
        <v>1138</v>
      </c>
      <c r="AJ302" s="93" t="s">
        <v>1138</v>
      </c>
      <c r="AK302" s="93" t="s">
        <v>1138</v>
      </c>
      <c r="AL302" s="69" t="s">
        <v>1138</v>
      </c>
      <c r="AM302" s="130" t="s">
        <v>1138</v>
      </c>
      <c r="AN302" s="130" t="s">
        <v>1138</v>
      </c>
      <c r="AO302" s="82">
        <v>46367</v>
      </c>
      <c r="AP302" s="70">
        <f>Table2[[#This Row],[تاريخ انتهاء رخصة السير هجري]]</f>
        <v>46367</v>
      </c>
      <c r="AQ302" s="71">
        <f ca="1">IF(Table2[[#This Row],[تاريخ انتهاء رخصة السير ميلادي]]="","",IFERROR(_xlfn.DAYS(Table2[[#This Row],[تاريخ انتهاء رخصة السير ميلادي]],TODAY()),""))</f>
        <v>107</v>
      </c>
      <c r="AR302" s="72" t="s">
        <v>1138</v>
      </c>
      <c r="AS302" s="73" t="s">
        <v>1138</v>
      </c>
      <c r="AT302" s="73" t="s">
        <v>1138</v>
      </c>
      <c r="AU302" s="61"/>
      <c r="BE302" s="23"/>
    </row>
    <row r="303" spans="1:60" s="22" customFormat="1" x14ac:dyDescent="0.3">
      <c r="A303" s="61" t="s">
        <v>818</v>
      </c>
      <c r="B303" s="61" t="s">
        <v>1138</v>
      </c>
      <c r="C303" s="61" t="s">
        <v>1138</v>
      </c>
      <c r="D303" s="61" t="s">
        <v>17</v>
      </c>
      <c r="E303" s="61" t="s">
        <v>819</v>
      </c>
      <c r="F303" s="62">
        <v>7025667531</v>
      </c>
      <c r="G303" s="63" t="s">
        <v>716</v>
      </c>
      <c r="H303" s="61" t="s">
        <v>717</v>
      </c>
      <c r="I303" s="77">
        <v>205917020</v>
      </c>
      <c r="J303" s="61" t="s">
        <v>20</v>
      </c>
      <c r="K303" s="61" t="s">
        <v>67</v>
      </c>
      <c r="L303" s="61" t="s">
        <v>22</v>
      </c>
      <c r="M303" s="61">
        <v>2024</v>
      </c>
      <c r="N303" s="61" t="s">
        <v>64</v>
      </c>
      <c r="O303" s="61" t="s">
        <v>1138</v>
      </c>
      <c r="P303" s="77" t="s">
        <v>1138</v>
      </c>
      <c r="Q303" s="77" t="s">
        <v>1138</v>
      </c>
      <c r="R303" s="127" t="s">
        <v>1138</v>
      </c>
      <c r="S303" s="127" t="s">
        <v>1138</v>
      </c>
      <c r="T303" s="127" t="s">
        <v>1138</v>
      </c>
      <c r="U303" s="64" t="s">
        <v>1138</v>
      </c>
      <c r="V303" s="65" t="s">
        <v>1138</v>
      </c>
      <c r="W303" s="64" t="s">
        <v>1138</v>
      </c>
      <c r="X303" s="64" t="s">
        <v>1138</v>
      </c>
      <c r="Y303" s="64" t="s">
        <v>1138</v>
      </c>
      <c r="Z303" s="64" t="s">
        <v>1138</v>
      </c>
      <c r="AA303" s="68">
        <v>755965</v>
      </c>
      <c r="AB303" s="68" t="s">
        <v>1138</v>
      </c>
      <c r="AC303" s="68" t="s">
        <v>1138</v>
      </c>
      <c r="AD303" s="68" t="s">
        <v>1138</v>
      </c>
      <c r="AE303" s="68" t="s">
        <v>1138</v>
      </c>
      <c r="AF303" s="91" t="s">
        <v>1138</v>
      </c>
      <c r="AG303" s="91" t="s">
        <v>1138</v>
      </c>
      <c r="AH303" s="91" t="s">
        <v>1138</v>
      </c>
      <c r="AI303" s="91" t="s">
        <v>1138</v>
      </c>
      <c r="AJ303" s="93" t="s">
        <v>1138</v>
      </c>
      <c r="AK303" s="93" t="s">
        <v>1138</v>
      </c>
      <c r="AL303" s="69" t="s">
        <v>1138</v>
      </c>
      <c r="AM303" s="130" t="s">
        <v>1138</v>
      </c>
      <c r="AN303" s="130" t="s">
        <v>1138</v>
      </c>
      <c r="AO303" s="82">
        <v>46460</v>
      </c>
      <c r="AP303" s="70">
        <f>Table2[[#This Row],[تاريخ انتهاء رخصة السير هجري]]</f>
        <v>46460</v>
      </c>
      <c r="AQ303" s="71">
        <f ca="1">IF(Table2[[#This Row],[تاريخ انتهاء رخصة السير ميلادي]]="","",IFERROR(_xlfn.DAYS(Table2[[#This Row],[تاريخ انتهاء رخصة السير ميلادي]],TODAY()),""))</f>
        <v>200</v>
      </c>
      <c r="AR303" s="72">
        <v>46022</v>
      </c>
      <c r="AS303" s="73">
        <f>Table2[[#This Row],[تاريخ انتهاء الفحص هجري]]</f>
        <v>46022</v>
      </c>
      <c r="AT303" s="106">
        <f ca="1">IF(Table2[[#This Row],[تاريخ انتهاء الفحص ميلادي]]="","",IFERROR(_xlfn.DAYS(Table2[[#This Row],[تاريخ انتهاء الفحص ميلادي]],TODAY()),""))</f>
        <v>-238</v>
      </c>
      <c r="AU303" s="61"/>
      <c r="BE303" s="23"/>
    </row>
    <row r="304" spans="1:60" s="22" customFormat="1" x14ac:dyDescent="0.3">
      <c r="A304" s="61" t="s">
        <v>818</v>
      </c>
      <c r="B304" s="61" t="s">
        <v>1138</v>
      </c>
      <c r="C304" s="61" t="s">
        <v>1138</v>
      </c>
      <c r="D304" s="61" t="s">
        <v>17</v>
      </c>
      <c r="E304" s="61" t="s">
        <v>819</v>
      </c>
      <c r="F304" s="62">
        <v>7025667531</v>
      </c>
      <c r="G304" s="63" t="s">
        <v>718</v>
      </c>
      <c r="H304" s="61" t="s">
        <v>719</v>
      </c>
      <c r="I304" s="77">
        <v>554955020</v>
      </c>
      <c r="J304" s="61" t="s">
        <v>20</v>
      </c>
      <c r="K304" s="61" t="s">
        <v>67</v>
      </c>
      <c r="L304" s="61" t="s">
        <v>22</v>
      </c>
      <c r="M304" s="61">
        <v>2024</v>
      </c>
      <c r="N304" s="61" t="s">
        <v>64</v>
      </c>
      <c r="O304" s="61" t="s">
        <v>1138</v>
      </c>
      <c r="P304" s="77" t="s">
        <v>1138</v>
      </c>
      <c r="Q304" s="77" t="s">
        <v>1138</v>
      </c>
      <c r="R304" s="127" t="s">
        <v>1138</v>
      </c>
      <c r="S304" s="127" t="s">
        <v>1138</v>
      </c>
      <c r="T304" s="127" t="s">
        <v>1138</v>
      </c>
      <c r="U304" s="64" t="s">
        <v>1138</v>
      </c>
      <c r="V304" s="65" t="s">
        <v>1138</v>
      </c>
      <c r="W304" s="64" t="s">
        <v>1138</v>
      </c>
      <c r="X304" s="64" t="s">
        <v>1138</v>
      </c>
      <c r="Y304" s="64" t="s">
        <v>1138</v>
      </c>
      <c r="Z304" s="64" t="s">
        <v>1138</v>
      </c>
      <c r="AA304" s="68">
        <v>624832</v>
      </c>
      <c r="AB304" s="68" t="s">
        <v>1138</v>
      </c>
      <c r="AC304" s="68" t="s">
        <v>1138</v>
      </c>
      <c r="AD304" s="68" t="s">
        <v>1138</v>
      </c>
      <c r="AE304" s="68" t="s">
        <v>1138</v>
      </c>
      <c r="AF304" s="91" t="s">
        <v>1138</v>
      </c>
      <c r="AG304" s="91" t="s">
        <v>1138</v>
      </c>
      <c r="AH304" s="91" t="s">
        <v>1138</v>
      </c>
      <c r="AI304" s="91" t="s">
        <v>1138</v>
      </c>
      <c r="AJ304" s="93" t="s">
        <v>1138</v>
      </c>
      <c r="AK304" s="93" t="s">
        <v>1138</v>
      </c>
      <c r="AL304" s="69" t="s">
        <v>1138</v>
      </c>
      <c r="AM304" s="130" t="s">
        <v>1138</v>
      </c>
      <c r="AN304" s="130" t="s">
        <v>1138</v>
      </c>
      <c r="AO304" s="82">
        <v>46396</v>
      </c>
      <c r="AP304" s="70">
        <f>Table2[[#This Row],[تاريخ انتهاء رخصة السير هجري]]</f>
        <v>46396</v>
      </c>
      <c r="AQ304" s="71">
        <f ca="1">IF(Table2[[#This Row],[تاريخ انتهاء رخصة السير ميلادي]]="","",IFERROR(_xlfn.DAYS(Table2[[#This Row],[تاريخ انتهاء رخصة السير ميلادي]],TODAY()),""))</f>
        <v>136</v>
      </c>
      <c r="AR304" s="72" t="s">
        <v>1138</v>
      </c>
      <c r="AS304" s="73" t="s">
        <v>1138</v>
      </c>
      <c r="AT304" s="73" t="s">
        <v>1138</v>
      </c>
      <c r="AU304" s="61"/>
      <c r="BE304" s="23"/>
    </row>
    <row r="305" spans="1:60" s="22" customFormat="1" x14ac:dyDescent="0.3">
      <c r="A305" s="61" t="s">
        <v>818</v>
      </c>
      <c r="B305" s="61" t="s">
        <v>1138</v>
      </c>
      <c r="C305" s="61" t="s">
        <v>1138</v>
      </c>
      <c r="D305" s="61" t="s">
        <v>17</v>
      </c>
      <c r="E305" s="61" t="s">
        <v>819</v>
      </c>
      <c r="F305" s="62">
        <v>7025667531</v>
      </c>
      <c r="G305" s="63" t="s">
        <v>720</v>
      </c>
      <c r="H305" s="61" t="s">
        <v>721</v>
      </c>
      <c r="I305" s="77">
        <v>54955020</v>
      </c>
      <c r="J305" s="61" t="s">
        <v>20</v>
      </c>
      <c r="K305" s="61" t="s">
        <v>67</v>
      </c>
      <c r="L305" s="61" t="s">
        <v>22</v>
      </c>
      <c r="M305" s="61">
        <v>2024</v>
      </c>
      <c r="N305" s="61" t="s">
        <v>64</v>
      </c>
      <c r="O305" s="61" t="s">
        <v>1814</v>
      </c>
      <c r="P305" s="77">
        <v>2559188822</v>
      </c>
      <c r="Q305" s="61" t="s">
        <v>1798</v>
      </c>
      <c r="R305" s="127">
        <v>45994</v>
      </c>
      <c r="S305" s="127">
        <v>46327</v>
      </c>
      <c r="T305" s="77">
        <f ca="1">IF(Table2[[#This Row],[تاريخ نهاية التفويض]]="","",IFERROR(_xlfn.DAYS(Table2[[#This Row],[تاريخ نهاية التفويض]],TODAY()),""))</f>
        <v>67</v>
      </c>
      <c r="U305" s="64" t="s">
        <v>1138</v>
      </c>
      <c r="V305" s="65" t="s">
        <v>1138</v>
      </c>
      <c r="W305" s="64" t="s">
        <v>1138</v>
      </c>
      <c r="X305" s="64" t="s">
        <v>1138</v>
      </c>
      <c r="Y305" s="64" t="s">
        <v>1138</v>
      </c>
      <c r="Z305" s="64" t="s">
        <v>1138</v>
      </c>
      <c r="AA305" s="68">
        <v>624833</v>
      </c>
      <c r="AB305" s="68" t="s">
        <v>1138</v>
      </c>
      <c r="AC305" s="68" t="s">
        <v>1138</v>
      </c>
      <c r="AD305" s="68" t="s">
        <v>1138</v>
      </c>
      <c r="AE305" s="68" t="s">
        <v>1138</v>
      </c>
      <c r="AF305" s="91" t="s">
        <v>1147</v>
      </c>
      <c r="AG305" s="91" t="s">
        <v>1138</v>
      </c>
      <c r="AH305" s="91" t="s">
        <v>1149</v>
      </c>
      <c r="AI305" s="92">
        <v>866344055687748</v>
      </c>
      <c r="AJ305" s="93">
        <v>46107</v>
      </c>
      <c r="AK305" s="102">
        <f ca="1">IF(Table2[[#This Row],[تاريخ انتهاء ال GPS]]="","",IFERROR(_xlfn.DAYS(Table2[[#This Row],[تاريخ انتهاء ال GPS]],TODAY()),""))</f>
        <v>-153</v>
      </c>
      <c r="AL305" s="69" t="s">
        <v>1138</v>
      </c>
      <c r="AM305" s="130" t="s">
        <v>1138</v>
      </c>
      <c r="AN305" s="130" t="s">
        <v>1138</v>
      </c>
      <c r="AO305" s="82">
        <v>46396</v>
      </c>
      <c r="AP305" s="70">
        <f>Table2[[#This Row],[تاريخ انتهاء رخصة السير هجري]]</f>
        <v>46396</v>
      </c>
      <c r="AQ305" s="71">
        <f ca="1">IF(Table2[[#This Row],[تاريخ انتهاء رخصة السير ميلادي]]="","",IFERROR(_xlfn.DAYS(Table2[[#This Row],[تاريخ انتهاء رخصة السير ميلادي]],TODAY()),""))</f>
        <v>136</v>
      </c>
      <c r="AR305" s="72" t="s">
        <v>1138</v>
      </c>
      <c r="AS305" s="73" t="s">
        <v>1138</v>
      </c>
      <c r="AT305" s="73" t="s">
        <v>1138</v>
      </c>
      <c r="AU305" s="61"/>
      <c r="BE305" s="23"/>
    </row>
    <row r="306" spans="1:60" s="22" customFormat="1" x14ac:dyDescent="0.3">
      <c r="A306" s="61" t="s">
        <v>818</v>
      </c>
      <c r="B306" s="61" t="s">
        <v>1138</v>
      </c>
      <c r="C306" s="61" t="s">
        <v>1138</v>
      </c>
      <c r="D306" s="61" t="s">
        <v>17</v>
      </c>
      <c r="E306" s="61" t="s">
        <v>819</v>
      </c>
      <c r="F306" s="62">
        <v>7025667531</v>
      </c>
      <c r="G306" s="63" t="s">
        <v>722</v>
      </c>
      <c r="H306" s="61" t="s">
        <v>723</v>
      </c>
      <c r="I306" s="77">
        <v>902655020</v>
      </c>
      <c r="J306" s="61" t="s">
        <v>20</v>
      </c>
      <c r="K306" s="61" t="s">
        <v>67</v>
      </c>
      <c r="L306" s="61" t="s">
        <v>22</v>
      </c>
      <c r="M306" s="61">
        <v>2024</v>
      </c>
      <c r="N306" s="61" t="s">
        <v>64</v>
      </c>
      <c r="O306" s="61" t="s">
        <v>1138</v>
      </c>
      <c r="P306" s="77" t="s">
        <v>1138</v>
      </c>
      <c r="Q306" s="77" t="s">
        <v>1138</v>
      </c>
      <c r="R306" s="127" t="s">
        <v>1138</v>
      </c>
      <c r="S306" s="127" t="s">
        <v>1138</v>
      </c>
      <c r="T306" s="127" t="s">
        <v>1138</v>
      </c>
      <c r="U306" s="64" t="s">
        <v>1138</v>
      </c>
      <c r="V306" s="65" t="s">
        <v>1138</v>
      </c>
      <c r="W306" s="64" t="s">
        <v>1138</v>
      </c>
      <c r="X306" s="64" t="s">
        <v>1138</v>
      </c>
      <c r="Y306" s="64" t="s">
        <v>1138</v>
      </c>
      <c r="Z306" s="64" t="s">
        <v>1138</v>
      </c>
      <c r="AA306" s="68">
        <v>624826</v>
      </c>
      <c r="AB306" s="68" t="s">
        <v>1138</v>
      </c>
      <c r="AC306" s="68" t="s">
        <v>1138</v>
      </c>
      <c r="AD306" s="68" t="s">
        <v>1138</v>
      </c>
      <c r="AE306" s="68" t="s">
        <v>1138</v>
      </c>
      <c r="AF306" s="91" t="s">
        <v>1147</v>
      </c>
      <c r="AG306" s="91" t="s">
        <v>1138</v>
      </c>
      <c r="AH306" s="91" t="s">
        <v>1149</v>
      </c>
      <c r="AI306" s="92">
        <v>867747075509784</v>
      </c>
      <c r="AJ306" s="93">
        <v>46119</v>
      </c>
      <c r="AK306" s="102">
        <f ca="1">IF(Table2[[#This Row],[تاريخ انتهاء ال GPS]]="","",IFERROR(_xlfn.DAYS(Table2[[#This Row],[تاريخ انتهاء ال GPS]],TODAY()),""))</f>
        <v>-141</v>
      </c>
      <c r="AL306" s="69" t="s">
        <v>1138</v>
      </c>
      <c r="AM306" s="130" t="s">
        <v>1138</v>
      </c>
      <c r="AN306" s="130" t="s">
        <v>1138</v>
      </c>
      <c r="AO306" s="82">
        <v>46392</v>
      </c>
      <c r="AP306" s="70">
        <f>Table2[[#This Row],[تاريخ انتهاء رخصة السير هجري]]</f>
        <v>46392</v>
      </c>
      <c r="AQ306" s="71">
        <f ca="1">IF(Table2[[#This Row],[تاريخ انتهاء رخصة السير ميلادي]]="","",IFERROR(_xlfn.DAYS(Table2[[#This Row],[تاريخ انتهاء رخصة السير ميلادي]],TODAY()),""))</f>
        <v>132</v>
      </c>
      <c r="AR306" s="72">
        <v>46024</v>
      </c>
      <c r="AS306" s="73">
        <f>Table2[[#This Row],[تاريخ انتهاء الفحص هجري]]</f>
        <v>46024</v>
      </c>
      <c r="AT306" s="106">
        <f ca="1">IF(Table2[[#This Row],[تاريخ انتهاء الفحص ميلادي]]="","",IFERROR(_xlfn.DAYS(Table2[[#This Row],[تاريخ انتهاء الفحص ميلادي]],TODAY()),""))</f>
        <v>-236</v>
      </c>
      <c r="AU306" s="61"/>
      <c r="BE306" s="23"/>
    </row>
    <row r="307" spans="1:60" s="22" customFormat="1" x14ac:dyDescent="0.3">
      <c r="A307" s="61" t="s">
        <v>818</v>
      </c>
      <c r="B307" s="61" t="s">
        <v>1138</v>
      </c>
      <c r="C307" s="61" t="s">
        <v>1138</v>
      </c>
      <c r="D307" s="61" t="s">
        <v>17</v>
      </c>
      <c r="E307" s="61" t="s">
        <v>1138</v>
      </c>
      <c r="F307" s="62">
        <v>7025667531</v>
      </c>
      <c r="G307" s="63" t="s">
        <v>725</v>
      </c>
      <c r="H307" s="61" t="s">
        <v>1138</v>
      </c>
      <c r="I307" s="77" t="s">
        <v>1138</v>
      </c>
      <c r="J307" s="61" t="s">
        <v>20</v>
      </c>
      <c r="K307" s="61" t="s">
        <v>21</v>
      </c>
      <c r="L307" s="61" t="s">
        <v>22</v>
      </c>
      <c r="M307" s="61">
        <v>2023</v>
      </c>
      <c r="N307" s="61" t="s">
        <v>64</v>
      </c>
      <c r="O307" s="61" t="s">
        <v>1138</v>
      </c>
      <c r="P307" s="77" t="s">
        <v>1138</v>
      </c>
      <c r="Q307" s="77" t="s">
        <v>1138</v>
      </c>
      <c r="R307" s="127" t="s">
        <v>1138</v>
      </c>
      <c r="S307" s="127" t="s">
        <v>1138</v>
      </c>
      <c r="T307" s="127" t="s">
        <v>1138</v>
      </c>
      <c r="U307" s="64" t="s">
        <v>1138</v>
      </c>
      <c r="V307" s="65" t="s">
        <v>1138</v>
      </c>
      <c r="W307" s="64" t="s">
        <v>1138</v>
      </c>
      <c r="X307" s="64" t="s">
        <v>1138</v>
      </c>
      <c r="Y307" s="64" t="s">
        <v>1138</v>
      </c>
      <c r="Z307" s="64" t="s">
        <v>1138</v>
      </c>
      <c r="AA307" s="68" t="s">
        <v>1138</v>
      </c>
      <c r="AB307" s="68" t="s">
        <v>1138</v>
      </c>
      <c r="AC307" s="68" t="s">
        <v>1138</v>
      </c>
      <c r="AD307" s="68" t="s">
        <v>1138</v>
      </c>
      <c r="AE307" s="68" t="s">
        <v>1138</v>
      </c>
      <c r="AF307" s="91" t="s">
        <v>1138</v>
      </c>
      <c r="AG307" s="91" t="s">
        <v>1138</v>
      </c>
      <c r="AH307" s="91" t="s">
        <v>1138</v>
      </c>
      <c r="AI307" s="91" t="s">
        <v>1138</v>
      </c>
      <c r="AJ307" s="93" t="s">
        <v>1138</v>
      </c>
      <c r="AK307" s="93" t="s">
        <v>1138</v>
      </c>
      <c r="AL307" s="69" t="s">
        <v>1138</v>
      </c>
      <c r="AM307" s="130" t="s">
        <v>1138</v>
      </c>
      <c r="AN307" s="130" t="s">
        <v>1138</v>
      </c>
      <c r="AO307" s="82" t="s">
        <v>1138</v>
      </c>
      <c r="AP307" s="70" t="s">
        <v>1138</v>
      </c>
      <c r="AQ307" s="70" t="s">
        <v>1138</v>
      </c>
      <c r="AR307" s="72" t="s">
        <v>1138</v>
      </c>
      <c r="AS307" s="73" t="s">
        <v>1138</v>
      </c>
      <c r="AT307" s="73" t="s">
        <v>1138</v>
      </c>
      <c r="AU307" s="61" t="s">
        <v>724</v>
      </c>
      <c r="BE307" s="23"/>
    </row>
    <row r="308" spans="1:60" x14ac:dyDescent="0.3">
      <c r="A308" s="39" t="s">
        <v>1126</v>
      </c>
      <c r="B308" s="39" t="s">
        <v>1179</v>
      </c>
      <c r="C308" s="39" t="s">
        <v>1138</v>
      </c>
      <c r="D308" s="39" t="s">
        <v>913</v>
      </c>
      <c r="E308" s="39" t="s">
        <v>1138</v>
      </c>
      <c r="F308" s="58" t="s">
        <v>1126</v>
      </c>
      <c r="G308" s="121" t="s">
        <v>826</v>
      </c>
      <c r="H308" s="74" t="s">
        <v>845</v>
      </c>
      <c r="I308" s="78" t="s">
        <v>1138</v>
      </c>
      <c r="J308" s="39" t="s">
        <v>613</v>
      </c>
      <c r="K308" s="39" t="s">
        <v>882</v>
      </c>
      <c r="L308" s="39" t="s">
        <v>862</v>
      </c>
      <c r="M308" s="58">
        <v>2026</v>
      </c>
      <c r="N308" s="78" t="s">
        <v>1138</v>
      </c>
      <c r="O308" s="118" t="s">
        <v>1138</v>
      </c>
      <c r="P308" s="78" t="s">
        <v>1138</v>
      </c>
      <c r="Q308" s="39" t="s">
        <v>1138</v>
      </c>
      <c r="R308" s="124" t="s">
        <v>1138</v>
      </c>
      <c r="S308" s="124" t="s">
        <v>1138</v>
      </c>
      <c r="T308" s="124" t="s">
        <v>1138</v>
      </c>
      <c r="U308" s="42" t="s">
        <v>1138</v>
      </c>
      <c r="V308" s="43" t="s">
        <v>1138</v>
      </c>
      <c r="W308" s="43" t="s">
        <v>1138</v>
      </c>
      <c r="X308" s="42" t="s">
        <v>1138</v>
      </c>
      <c r="Y308" s="42" t="s">
        <v>1138</v>
      </c>
      <c r="Z308" s="42" t="s">
        <v>1138</v>
      </c>
      <c r="AA308" s="75">
        <v>1032225</v>
      </c>
      <c r="AB308" s="46" t="s">
        <v>1463</v>
      </c>
      <c r="AC308" s="75" t="s">
        <v>861</v>
      </c>
      <c r="AD308" s="46" t="s">
        <v>938</v>
      </c>
      <c r="AE308" s="47">
        <v>300</v>
      </c>
      <c r="AF308" s="48" t="s">
        <v>1138</v>
      </c>
      <c r="AG308" s="48" t="s">
        <v>1138</v>
      </c>
      <c r="AH308" s="48" t="s">
        <v>1138</v>
      </c>
      <c r="AI308" s="48" t="s">
        <v>1138</v>
      </c>
      <c r="AJ308" s="89" t="s">
        <v>1138</v>
      </c>
      <c r="AK308" s="89" t="s">
        <v>1138</v>
      </c>
      <c r="AL308" s="49" t="s">
        <v>1138</v>
      </c>
      <c r="AM308" s="50" t="s">
        <v>1138</v>
      </c>
      <c r="AN308" s="50" t="s">
        <v>1138</v>
      </c>
      <c r="AO308" s="80" t="s">
        <v>1138</v>
      </c>
      <c r="AP308" s="52" t="s">
        <v>1138</v>
      </c>
      <c r="AQ308" s="52" t="s">
        <v>1138</v>
      </c>
      <c r="AR308" s="55" t="s">
        <v>1138</v>
      </c>
      <c r="AS308" s="56" t="s">
        <v>1138</v>
      </c>
      <c r="AT308" s="56" t="s">
        <v>1138</v>
      </c>
      <c r="AU308" s="54"/>
      <c r="AV308" s="1"/>
      <c r="BE308" s="3"/>
      <c r="BH308" s="1"/>
    </row>
    <row r="309" spans="1:60" x14ac:dyDescent="0.3">
      <c r="A309" s="39" t="s">
        <v>1126</v>
      </c>
      <c r="B309" s="39" t="s">
        <v>1182</v>
      </c>
      <c r="C309" s="39" t="s">
        <v>1187</v>
      </c>
      <c r="D309" s="39" t="s">
        <v>914</v>
      </c>
      <c r="E309" s="39" t="s">
        <v>1138</v>
      </c>
      <c r="F309" s="58" t="s">
        <v>1126</v>
      </c>
      <c r="G309" s="121" t="s">
        <v>827</v>
      </c>
      <c r="H309" s="74" t="s">
        <v>846</v>
      </c>
      <c r="I309" s="78" t="s">
        <v>1138</v>
      </c>
      <c r="J309" s="39" t="s">
        <v>613</v>
      </c>
      <c r="K309" s="39" t="s">
        <v>883</v>
      </c>
      <c r="L309" s="39" t="s">
        <v>863</v>
      </c>
      <c r="M309" s="58">
        <v>2014</v>
      </c>
      <c r="N309" s="78" t="s">
        <v>1138</v>
      </c>
      <c r="O309" s="118" t="s">
        <v>1138</v>
      </c>
      <c r="P309" s="78" t="s">
        <v>1138</v>
      </c>
      <c r="Q309" s="39" t="s">
        <v>1138</v>
      </c>
      <c r="R309" s="124" t="s">
        <v>1138</v>
      </c>
      <c r="S309" s="124" t="s">
        <v>1138</v>
      </c>
      <c r="T309" s="124" t="s">
        <v>1138</v>
      </c>
      <c r="U309" s="42" t="s">
        <v>1138</v>
      </c>
      <c r="V309" s="43" t="s">
        <v>1138</v>
      </c>
      <c r="W309" s="43" t="s">
        <v>1138</v>
      </c>
      <c r="X309" s="42" t="s">
        <v>1138</v>
      </c>
      <c r="Y309" s="42" t="s">
        <v>1138</v>
      </c>
      <c r="Z309" s="42" t="s">
        <v>1138</v>
      </c>
      <c r="AA309" s="75">
        <v>1031361</v>
      </c>
      <c r="AB309" s="46" t="s">
        <v>1464</v>
      </c>
      <c r="AC309" s="76" t="s">
        <v>861</v>
      </c>
      <c r="AD309" s="46" t="s">
        <v>938</v>
      </c>
      <c r="AE309" s="47">
        <v>300</v>
      </c>
      <c r="AF309" s="48" t="s">
        <v>1138</v>
      </c>
      <c r="AG309" s="48" t="s">
        <v>1138</v>
      </c>
      <c r="AH309" s="48" t="s">
        <v>1138</v>
      </c>
      <c r="AI309" s="48" t="s">
        <v>1138</v>
      </c>
      <c r="AJ309" s="89" t="s">
        <v>1138</v>
      </c>
      <c r="AK309" s="89" t="s">
        <v>1138</v>
      </c>
      <c r="AL309" s="49" t="s">
        <v>1138</v>
      </c>
      <c r="AM309" s="50" t="s">
        <v>1138</v>
      </c>
      <c r="AN309" s="50" t="s">
        <v>1138</v>
      </c>
      <c r="AO309" s="80" t="s">
        <v>1138</v>
      </c>
      <c r="AP309" s="52" t="s">
        <v>1138</v>
      </c>
      <c r="AQ309" s="52" t="s">
        <v>1138</v>
      </c>
      <c r="AR309" s="55" t="s">
        <v>1138</v>
      </c>
      <c r="AS309" s="56" t="s">
        <v>1138</v>
      </c>
      <c r="AT309" s="56" t="s">
        <v>1138</v>
      </c>
      <c r="AU309" s="54"/>
      <c r="AV309" s="1"/>
      <c r="BE309" s="3"/>
      <c r="BH309" s="1"/>
    </row>
    <row r="310" spans="1:60" x14ac:dyDescent="0.3">
      <c r="A310" s="39" t="s">
        <v>1126</v>
      </c>
      <c r="B310" s="39" t="s">
        <v>1180</v>
      </c>
      <c r="C310" s="39" t="s">
        <v>1138</v>
      </c>
      <c r="D310" s="39" t="s">
        <v>915</v>
      </c>
      <c r="E310" s="39" t="s">
        <v>1138</v>
      </c>
      <c r="F310" s="58" t="s">
        <v>1126</v>
      </c>
      <c r="G310" s="121" t="s">
        <v>828</v>
      </c>
      <c r="H310" s="74" t="s">
        <v>847</v>
      </c>
      <c r="I310" s="78" t="s">
        <v>1138</v>
      </c>
      <c r="J310" s="39" t="s">
        <v>613</v>
      </c>
      <c r="K310" s="39" t="s">
        <v>882</v>
      </c>
      <c r="L310" s="39" t="s">
        <v>864</v>
      </c>
      <c r="M310" s="58">
        <v>2026</v>
      </c>
      <c r="N310" s="78" t="s">
        <v>1138</v>
      </c>
      <c r="O310" s="118" t="s">
        <v>1138</v>
      </c>
      <c r="P310" s="78" t="s">
        <v>1138</v>
      </c>
      <c r="Q310" s="39" t="s">
        <v>1138</v>
      </c>
      <c r="R310" s="124" t="s">
        <v>1138</v>
      </c>
      <c r="S310" s="124" t="s">
        <v>1138</v>
      </c>
      <c r="T310" s="124" t="s">
        <v>1138</v>
      </c>
      <c r="U310" s="42" t="s">
        <v>1138</v>
      </c>
      <c r="V310" s="43" t="s">
        <v>1138</v>
      </c>
      <c r="W310" s="43" t="s">
        <v>1138</v>
      </c>
      <c r="X310" s="42" t="s">
        <v>1138</v>
      </c>
      <c r="Y310" s="42" t="s">
        <v>1138</v>
      </c>
      <c r="Z310" s="42" t="s">
        <v>1138</v>
      </c>
      <c r="AA310" s="75">
        <v>1030316</v>
      </c>
      <c r="AB310" s="46" t="s">
        <v>1465</v>
      </c>
      <c r="AC310" s="76" t="s">
        <v>861</v>
      </c>
      <c r="AD310" s="46" t="s">
        <v>938</v>
      </c>
      <c r="AE310" s="47">
        <v>500</v>
      </c>
      <c r="AF310" s="48" t="s">
        <v>1138</v>
      </c>
      <c r="AG310" s="48" t="s">
        <v>1138</v>
      </c>
      <c r="AH310" s="48" t="s">
        <v>1138</v>
      </c>
      <c r="AI310" s="48" t="s">
        <v>1138</v>
      </c>
      <c r="AJ310" s="89" t="s">
        <v>1138</v>
      </c>
      <c r="AK310" s="89" t="s">
        <v>1138</v>
      </c>
      <c r="AL310" s="49" t="s">
        <v>1138</v>
      </c>
      <c r="AM310" s="50" t="s">
        <v>1138</v>
      </c>
      <c r="AN310" s="50" t="s">
        <v>1138</v>
      </c>
      <c r="AO310" s="80" t="s">
        <v>1138</v>
      </c>
      <c r="AP310" s="52" t="s">
        <v>1138</v>
      </c>
      <c r="AQ310" s="52" t="s">
        <v>1138</v>
      </c>
      <c r="AR310" s="55" t="s">
        <v>1138</v>
      </c>
      <c r="AS310" s="56" t="s">
        <v>1138</v>
      </c>
      <c r="AT310" s="56" t="s">
        <v>1138</v>
      </c>
      <c r="AU310" s="54"/>
      <c r="AV310" s="1"/>
      <c r="BE310" s="3"/>
      <c r="BH310" s="1"/>
    </row>
    <row r="311" spans="1:60" x14ac:dyDescent="0.3">
      <c r="A311" s="39" t="s">
        <v>1126</v>
      </c>
      <c r="B311" s="39" t="s">
        <v>1182</v>
      </c>
      <c r="C311" s="39" t="s">
        <v>1187</v>
      </c>
      <c r="D311" s="39" t="s">
        <v>916</v>
      </c>
      <c r="E311" s="39" t="s">
        <v>1138</v>
      </c>
      <c r="F311" s="58" t="s">
        <v>1126</v>
      </c>
      <c r="G311" s="121" t="s">
        <v>829</v>
      </c>
      <c r="H311" s="74" t="s">
        <v>848</v>
      </c>
      <c r="I311" s="78" t="s">
        <v>1138</v>
      </c>
      <c r="J311" s="39" t="s">
        <v>613</v>
      </c>
      <c r="K311" s="39" t="s">
        <v>884</v>
      </c>
      <c r="L311" s="39" t="s">
        <v>865</v>
      </c>
      <c r="M311" s="58">
        <v>2023</v>
      </c>
      <c r="N311" s="78" t="s">
        <v>1138</v>
      </c>
      <c r="O311" s="118" t="s">
        <v>1138</v>
      </c>
      <c r="P311" s="78" t="s">
        <v>1138</v>
      </c>
      <c r="Q311" s="39" t="s">
        <v>1138</v>
      </c>
      <c r="R311" s="124" t="s">
        <v>1138</v>
      </c>
      <c r="S311" s="124" t="s">
        <v>1138</v>
      </c>
      <c r="T311" s="124" t="s">
        <v>1138</v>
      </c>
      <c r="U311" s="42" t="s">
        <v>1138</v>
      </c>
      <c r="V311" s="43" t="s">
        <v>1138</v>
      </c>
      <c r="W311" s="43" t="s">
        <v>1138</v>
      </c>
      <c r="X311" s="42" t="s">
        <v>1138</v>
      </c>
      <c r="Y311" s="42" t="s">
        <v>1138</v>
      </c>
      <c r="Z311" s="42" t="s">
        <v>1138</v>
      </c>
      <c r="AA311" s="75">
        <v>1030278</v>
      </c>
      <c r="AB311" s="46" t="s">
        <v>1466</v>
      </c>
      <c r="AC311" s="75" t="s">
        <v>861</v>
      </c>
      <c r="AD311" s="46" t="s">
        <v>938</v>
      </c>
      <c r="AE311" s="47">
        <v>300</v>
      </c>
      <c r="AF311" s="48" t="s">
        <v>1138</v>
      </c>
      <c r="AG311" s="48" t="s">
        <v>1138</v>
      </c>
      <c r="AH311" s="48" t="s">
        <v>1138</v>
      </c>
      <c r="AI311" s="48" t="s">
        <v>1138</v>
      </c>
      <c r="AJ311" s="89" t="s">
        <v>1138</v>
      </c>
      <c r="AK311" s="89" t="s">
        <v>1138</v>
      </c>
      <c r="AL311" s="49" t="s">
        <v>1138</v>
      </c>
      <c r="AM311" s="50" t="s">
        <v>1138</v>
      </c>
      <c r="AN311" s="50" t="s">
        <v>1138</v>
      </c>
      <c r="AO311" s="80" t="s">
        <v>1138</v>
      </c>
      <c r="AP311" s="52" t="s">
        <v>1138</v>
      </c>
      <c r="AQ311" s="52" t="s">
        <v>1138</v>
      </c>
      <c r="AR311" s="55" t="s">
        <v>1138</v>
      </c>
      <c r="AS311" s="56" t="s">
        <v>1138</v>
      </c>
      <c r="AT311" s="56" t="s">
        <v>1138</v>
      </c>
      <c r="AU311" s="54"/>
      <c r="AV311" s="1"/>
      <c r="BE311" s="3"/>
      <c r="BH311" s="1"/>
    </row>
    <row r="312" spans="1:60" x14ac:dyDescent="0.3">
      <c r="A312" s="39" t="s">
        <v>1126</v>
      </c>
      <c r="B312" s="39" t="s">
        <v>1182</v>
      </c>
      <c r="C312" s="39" t="s">
        <v>1187</v>
      </c>
      <c r="D312" s="39" t="s">
        <v>917</v>
      </c>
      <c r="E312" s="39" t="s">
        <v>1138</v>
      </c>
      <c r="F312" s="58" t="s">
        <v>1126</v>
      </c>
      <c r="G312" s="121" t="s">
        <v>830</v>
      </c>
      <c r="H312" s="74" t="s">
        <v>849</v>
      </c>
      <c r="I312" s="78" t="s">
        <v>1138</v>
      </c>
      <c r="J312" s="39" t="s">
        <v>613</v>
      </c>
      <c r="K312" s="39" t="s">
        <v>884</v>
      </c>
      <c r="L312" s="39" t="s">
        <v>866</v>
      </c>
      <c r="M312" s="58">
        <v>2024</v>
      </c>
      <c r="N312" s="78" t="s">
        <v>1138</v>
      </c>
      <c r="O312" s="118" t="s">
        <v>1138</v>
      </c>
      <c r="P312" s="78" t="s">
        <v>1138</v>
      </c>
      <c r="Q312" s="39" t="s">
        <v>1138</v>
      </c>
      <c r="R312" s="124" t="s">
        <v>1138</v>
      </c>
      <c r="S312" s="124" t="s">
        <v>1138</v>
      </c>
      <c r="T312" s="124" t="s">
        <v>1138</v>
      </c>
      <c r="U312" s="42" t="s">
        <v>1138</v>
      </c>
      <c r="V312" s="43" t="s">
        <v>1138</v>
      </c>
      <c r="W312" s="43" t="s">
        <v>1138</v>
      </c>
      <c r="X312" s="42" t="s">
        <v>1138</v>
      </c>
      <c r="Y312" s="42" t="s">
        <v>1138</v>
      </c>
      <c r="Z312" s="42" t="s">
        <v>1138</v>
      </c>
      <c r="AA312" s="75">
        <v>1030275</v>
      </c>
      <c r="AB312" s="46" t="s">
        <v>1467</v>
      </c>
      <c r="AC312" s="75" t="s">
        <v>861</v>
      </c>
      <c r="AD312" s="46" t="s">
        <v>938</v>
      </c>
      <c r="AE312" s="47">
        <v>300</v>
      </c>
      <c r="AF312" s="48" t="s">
        <v>1138</v>
      </c>
      <c r="AG312" s="48" t="s">
        <v>1138</v>
      </c>
      <c r="AH312" s="48" t="s">
        <v>1138</v>
      </c>
      <c r="AI312" s="48" t="s">
        <v>1138</v>
      </c>
      <c r="AJ312" s="89" t="s">
        <v>1138</v>
      </c>
      <c r="AK312" s="89" t="s">
        <v>1138</v>
      </c>
      <c r="AL312" s="49" t="s">
        <v>1138</v>
      </c>
      <c r="AM312" s="50" t="s">
        <v>1138</v>
      </c>
      <c r="AN312" s="50" t="s">
        <v>1138</v>
      </c>
      <c r="AO312" s="80" t="s">
        <v>1138</v>
      </c>
      <c r="AP312" s="52" t="s">
        <v>1138</v>
      </c>
      <c r="AQ312" s="52" t="s">
        <v>1138</v>
      </c>
      <c r="AR312" s="55" t="s">
        <v>1138</v>
      </c>
      <c r="AS312" s="56" t="s">
        <v>1138</v>
      </c>
      <c r="AT312" s="56" t="s">
        <v>1138</v>
      </c>
      <c r="AU312" s="54"/>
      <c r="AV312" s="1"/>
      <c r="BE312" s="3"/>
      <c r="BH312" s="1"/>
    </row>
    <row r="313" spans="1:60" x14ac:dyDescent="0.3">
      <c r="A313" s="39" t="s">
        <v>1126</v>
      </c>
      <c r="B313" s="39" t="s">
        <v>819</v>
      </c>
      <c r="C313" s="39" t="s">
        <v>1138</v>
      </c>
      <c r="D313" s="39" t="s">
        <v>1172</v>
      </c>
      <c r="E313" s="39" t="s">
        <v>1138</v>
      </c>
      <c r="F313" s="58">
        <v>1064442229</v>
      </c>
      <c r="G313" s="121" t="s">
        <v>831</v>
      </c>
      <c r="H313" s="74" t="s">
        <v>850</v>
      </c>
      <c r="I313" s="78">
        <v>962639220</v>
      </c>
      <c r="J313" s="39" t="s">
        <v>613</v>
      </c>
      <c r="K313" s="39" t="s">
        <v>885</v>
      </c>
      <c r="L313" s="39" t="s">
        <v>867</v>
      </c>
      <c r="M313" s="58">
        <v>2026</v>
      </c>
      <c r="N313" s="74" t="s">
        <v>666</v>
      </c>
      <c r="O313" s="118" t="s">
        <v>1138</v>
      </c>
      <c r="P313" s="78" t="s">
        <v>1138</v>
      </c>
      <c r="Q313" s="39" t="s">
        <v>1138</v>
      </c>
      <c r="R313" s="124" t="s">
        <v>1138</v>
      </c>
      <c r="S313" s="124" t="s">
        <v>1138</v>
      </c>
      <c r="T313" s="124" t="s">
        <v>1138</v>
      </c>
      <c r="U313" s="59" t="s">
        <v>1137</v>
      </c>
      <c r="V313" s="111" t="s">
        <v>1137</v>
      </c>
      <c r="W313" s="111" t="s">
        <v>1137</v>
      </c>
      <c r="X313" s="59" t="s">
        <v>1137</v>
      </c>
      <c r="Y313" s="59" t="s">
        <v>1137</v>
      </c>
      <c r="Z313" s="59" t="s">
        <v>1137</v>
      </c>
      <c r="AA313" s="75">
        <v>1000286</v>
      </c>
      <c r="AB313" s="46" t="s">
        <v>1468</v>
      </c>
      <c r="AC313" s="75" t="s">
        <v>861</v>
      </c>
      <c r="AD313" s="46" t="s">
        <v>939</v>
      </c>
      <c r="AE313" s="47" t="s">
        <v>939</v>
      </c>
      <c r="AF313" s="48" t="s">
        <v>1138</v>
      </c>
      <c r="AG313" s="48" t="s">
        <v>1138</v>
      </c>
      <c r="AH313" s="48" t="s">
        <v>1138</v>
      </c>
      <c r="AI313" s="48" t="s">
        <v>1138</v>
      </c>
      <c r="AJ313" s="89" t="s">
        <v>1138</v>
      </c>
      <c r="AK313" s="89" t="s">
        <v>1138</v>
      </c>
      <c r="AL313" s="49" t="s">
        <v>1138</v>
      </c>
      <c r="AM313" s="50" t="s">
        <v>1138</v>
      </c>
      <c r="AN313" s="50" t="s">
        <v>1138</v>
      </c>
      <c r="AO313" s="104">
        <v>47211</v>
      </c>
      <c r="AP313" s="52">
        <f>Table2[[#This Row],[تاريخ انتهاء رخصة السير هجري]]</f>
        <v>47211</v>
      </c>
      <c r="AQ313" s="53">
        <f ca="1">IF(Table2[[#This Row],[تاريخ انتهاء رخصة السير ميلادي]]="","",IFERROR(_xlfn.DAYS(Table2[[#This Row],[تاريخ انتهاء رخصة السير ميلادي]],TODAY()),""))</f>
        <v>951</v>
      </c>
      <c r="AR313" s="55">
        <f>Table2[[#This Row],[تاريخ انتهاء الفحص ميلادي]]</f>
        <v>46752</v>
      </c>
      <c r="AS313" s="109">
        <v>46752</v>
      </c>
      <c r="AT313" s="106">
        <f ca="1">IF(Table2[[#This Row],[تاريخ انتهاء الفحص ميلادي]]="","",IFERROR(_xlfn.DAYS(Table2[[#This Row],[تاريخ انتهاء الفحص ميلادي]],TODAY()),""))</f>
        <v>492</v>
      </c>
      <c r="AU313" s="54" t="s">
        <v>1503</v>
      </c>
      <c r="AV313" s="1"/>
      <c r="BE313" s="3"/>
      <c r="BH313" s="1"/>
    </row>
    <row r="314" spans="1:60" x14ac:dyDescent="0.3">
      <c r="A314" s="39" t="s">
        <v>1126</v>
      </c>
      <c r="B314" s="39" t="s">
        <v>1180</v>
      </c>
      <c r="C314" s="39" t="s">
        <v>1138</v>
      </c>
      <c r="D314" s="39" t="s">
        <v>918</v>
      </c>
      <c r="E314" s="39" t="s">
        <v>1138</v>
      </c>
      <c r="F314" s="58" t="s">
        <v>1126</v>
      </c>
      <c r="G314" s="121" t="s">
        <v>832</v>
      </c>
      <c r="H314" s="74" t="s">
        <v>851</v>
      </c>
      <c r="I314" s="78" t="s">
        <v>1138</v>
      </c>
      <c r="J314" s="39" t="s">
        <v>613</v>
      </c>
      <c r="K314" s="39" t="s">
        <v>887</v>
      </c>
      <c r="L314" s="39" t="s">
        <v>869</v>
      </c>
      <c r="M314" s="58">
        <v>2023</v>
      </c>
      <c r="N314" s="78" t="s">
        <v>1138</v>
      </c>
      <c r="O314" s="118" t="s">
        <v>1138</v>
      </c>
      <c r="P314" s="78" t="s">
        <v>1138</v>
      </c>
      <c r="Q314" s="39" t="s">
        <v>1138</v>
      </c>
      <c r="R314" s="124" t="s">
        <v>1138</v>
      </c>
      <c r="S314" s="124" t="s">
        <v>1138</v>
      </c>
      <c r="T314" s="124" t="s">
        <v>1138</v>
      </c>
      <c r="U314" s="42" t="s">
        <v>1138</v>
      </c>
      <c r="V314" s="43" t="s">
        <v>1138</v>
      </c>
      <c r="W314" s="43" t="s">
        <v>1138</v>
      </c>
      <c r="X314" s="42" t="s">
        <v>1138</v>
      </c>
      <c r="Y314" s="42" t="s">
        <v>1138</v>
      </c>
      <c r="Z314" s="42" t="s">
        <v>1138</v>
      </c>
      <c r="AA314" s="75">
        <v>945662</v>
      </c>
      <c r="AB314" s="46" t="s">
        <v>1469</v>
      </c>
      <c r="AC314" s="75" t="s">
        <v>861</v>
      </c>
      <c r="AD314" s="46" t="s">
        <v>939</v>
      </c>
      <c r="AE314" s="47" t="s">
        <v>939</v>
      </c>
      <c r="AF314" s="48" t="s">
        <v>1138</v>
      </c>
      <c r="AG314" s="48" t="s">
        <v>1138</v>
      </c>
      <c r="AH314" s="48" t="s">
        <v>1138</v>
      </c>
      <c r="AI314" s="48" t="s">
        <v>1138</v>
      </c>
      <c r="AJ314" s="89" t="s">
        <v>1138</v>
      </c>
      <c r="AK314" s="89" t="s">
        <v>1138</v>
      </c>
      <c r="AL314" s="49" t="s">
        <v>1138</v>
      </c>
      <c r="AM314" s="50" t="s">
        <v>1138</v>
      </c>
      <c r="AN314" s="50" t="s">
        <v>1138</v>
      </c>
      <c r="AO314" s="80" t="s">
        <v>1138</v>
      </c>
      <c r="AP314" s="52" t="s">
        <v>1138</v>
      </c>
      <c r="AQ314" s="52" t="s">
        <v>1138</v>
      </c>
      <c r="AR314" s="55" t="s">
        <v>1138</v>
      </c>
      <c r="AS314" s="56" t="s">
        <v>1138</v>
      </c>
      <c r="AT314" s="56" t="s">
        <v>1138</v>
      </c>
      <c r="AU314" s="54"/>
      <c r="AV314" s="1"/>
      <c r="BE314" s="3"/>
      <c r="BH314" s="1"/>
    </row>
    <row r="315" spans="1:60" x14ac:dyDescent="0.3">
      <c r="A315" s="39" t="s">
        <v>1126</v>
      </c>
      <c r="B315" s="39" t="s">
        <v>1183</v>
      </c>
      <c r="C315" s="39" t="s">
        <v>1138</v>
      </c>
      <c r="D315" s="39" t="s">
        <v>919</v>
      </c>
      <c r="E315" s="39" t="s">
        <v>1138</v>
      </c>
      <c r="F315" s="58" t="s">
        <v>1126</v>
      </c>
      <c r="G315" s="121" t="s">
        <v>833</v>
      </c>
      <c r="H315" s="74" t="s">
        <v>852</v>
      </c>
      <c r="I315" s="78" t="s">
        <v>1138</v>
      </c>
      <c r="J315" s="39" t="s">
        <v>613</v>
      </c>
      <c r="K315" s="39" t="s">
        <v>888</v>
      </c>
      <c r="L315" s="39" t="s">
        <v>870</v>
      </c>
      <c r="M315" s="58">
        <v>2026</v>
      </c>
      <c r="N315" s="78" t="s">
        <v>1138</v>
      </c>
      <c r="O315" s="118" t="s">
        <v>1138</v>
      </c>
      <c r="P315" s="78" t="s">
        <v>1138</v>
      </c>
      <c r="Q315" s="39" t="s">
        <v>1138</v>
      </c>
      <c r="R315" s="124" t="s">
        <v>1138</v>
      </c>
      <c r="S315" s="124" t="s">
        <v>1138</v>
      </c>
      <c r="T315" s="124" t="s">
        <v>1138</v>
      </c>
      <c r="U315" s="42" t="s">
        <v>1138</v>
      </c>
      <c r="V315" s="43" t="s">
        <v>1138</v>
      </c>
      <c r="W315" s="43" t="s">
        <v>1138</v>
      </c>
      <c r="X315" s="42" t="s">
        <v>1138</v>
      </c>
      <c r="Y315" s="42" t="s">
        <v>1138</v>
      </c>
      <c r="Z315" s="42" t="s">
        <v>1138</v>
      </c>
      <c r="AA315" s="75">
        <v>944367</v>
      </c>
      <c r="AB315" s="46" t="s">
        <v>1470</v>
      </c>
      <c r="AC315" s="75" t="s">
        <v>861</v>
      </c>
      <c r="AD315" s="46" t="s">
        <v>939</v>
      </c>
      <c r="AE315" s="47" t="s">
        <v>939</v>
      </c>
      <c r="AF315" s="48" t="s">
        <v>1138</v>
      </c>
      <c r="AG315" s="48" t="s">
        <v>1138</v>
      </c>
      <c r="AH315" s="48" t="s">
        <v>1138</v>
      </c>
      <c r="AI315" s="48" t="s">
        <v>1138</v>
      </c>
      <c r="AJ315" s="89" t="s">
        <v>1138</v>
      </c>
      <c r="AK315" s="89" t="s">
        <v>1138</v>
      </c>
      <c r="AL315" s="49" t="s">
        <v>1138</v>
      </c>
      <c r="AM315" s="50" t="s">
        <v>1138</v>
      </c>
      <c r="AN315" s="50" t="s">
        <v>1138</v>
      </c>
      <c r="AO315" s="80" t="s">
        <v>1138</v>
      </c>
      <c r="AP315" s="52" t="s">
        <v>1138</v>
      </c>
      <c r="AQ315" s="52" t="s">
        <v>1138</v>
      </c>
      <c r="AR315" s="55" t="s">
        <v>1138</v>
      </c>
      <c r="AS315" s="56" t="s">
        <v>1138</v>
      </c>
      <c r="AT315" s="56" t="s">
        <v>1138</v>
      </c>
      <c r="AU315" s="54"/>
      <c r="AV315" s="1"/>
      <c r="BE315" s="3"/>
      <c r="BH315" s="1"/>
    </row>
    <row r="316" spans="1:60" x14ac:dyDescent="0.3">
      <c r="A316" s="39" t="s">
        <v>1126</v>
      </c>
      <c r="B316" s="39" t="s">
        <v>1184</v>
      </c>
      <c r="C316" s="39" t="s">
        <v>1138</v>
      </c>
      <c r="D316" s="39" t="s">
        <v>920</v>
      </c>
      <c r="E316" s="39" t="s">
        <v>1138</v>
      </c>
      <c r="F316" s="58" t="s">
        <v>1126</v>
      </c>
      <c r="G316" s="121" t="s">
        <v>834</v>
      </c>
      <c r="H316" s="74" t="s">
        <v>853</v>
      </c>
      <c r="I316" s="78" t="s">
        <v>1138</v>
      </c>
      <c r="J316" s="39" t="s">
        <v>613</v>
      </c>
      <c r="K316" s="39" t="s">
        <v>889</v>
      </c>
      <c r="L316" s="39" t="s">
        <v>871</v>
      </c>
      <c r="M316" s="58">
        <v>2024</v>
      </c>
      <c r="N316" s="78" t="s">
        <v>1138</v>
      </c>
      <c r="O316" s="118" t="s">
        <v>1138</v>
      </c>
      <c r="P316" s="78" t="s">
        <v>1138</v>
      </c>
      <c r="Q316" s="39" t="s">
        <v>1138</v>
      </c>
      <c r="R316" s="124" t="s">
        <v>1138</v>
      </c>
      <c r="S316" s="124" t="s">
        <v>1138</v>
      </c>
      <c r="T316" s="124" t="s">
        <v>1138</v>
      </c>
      <c r="U316" s="42" t="s">
        <v>1138</v>
      </c>
      <c r="V316" s="43" t="s">
        <v>1138</v>
      </c>
      <c r="W316" s="43" t="s">
        <v>1138</v>
      </c>
      <c r="X316" s="42" t="s">
        <v>1138</v>
      </c>
      <c r="Y316" s="42" t="s">
        <v>1138</v>
      </c>
      <c r="Z316" s="42" t="s">
        <v>1138</v>
      </c>
      <c r="AA316" s="75">
        <v>938679</v>
      </c>
      <c r="AB316" s="46" t="s">
        <v>1471</v>
      </c>
      <c r="AC316" s="75" t="s">
        <v>861</v>
      </c>
      <c r="AD316" s="46" t="s">
        <v>939</v>
      </c>
      <c r="AE316" s="47" t="s">
        <v>939</v>
      </c>
      <c r="AF316" s="48" t="s">
        <v>1138</v>
      </c>
      <c r="AG316" s="48" t="s">
        <v>1138</v>
      </c>
      <c r="AH316" s="48" t="s">
        <v>1138</v>
      </c>
      <c r="AI316" s="48" t="s">
        <v>1138</v>
      </c>
      <c r="AJ316" s="89" t="s">
        <v>1138</v>
      </c>
      <c r="AK316" s="89" t="s">
        <v>1138</v>
      </c>
      <c r="AL316" s="49" t="s">
        <v>1138</v>
      </c>
      <c r="AM316" s="50" t="s">
        <v>1138</v>
      </c>
      <c r="AN316" s="50" t="s">
        <v>1138</v>
      </c>
      <c r="AO316" s="80" t="s">
        <v>1138</v>
      </c>
      <c r="AP316" s="52" t="s">
        <v>1138</v>
      </c>
      <c r="AQ316" s="52" t="s">
        <v>1138</v>
      </c>
      <c r="AR316" s="55" t="s">
        <v>1138</v>
      </c>
      <c r="AS316" s="56" t="s">
        <v>1138</v>
      </c>
      <c r="AT316" s="56" t="s">
        <v>1138</v>
      </c>
      <c r="AU316" s="54"/>
      <c r="AV316" s="1"/>
      <c r="BE316" s="3"/>
      <c r="BH316" s="1"/>
    </row>
    <row r="317" spans="1:60" x14ac:dyDescent="0.3">
      <c r="A317" s="39" t="s">
        <v>1126</v>
      </c>
      <c r="B317" s="39" t="s">
        <v>1182</v>
      </c>
      <c r="C317" s="39" t="s">
        <v>1187</v>
      </c>
      <c r="D317" s="39" t="s">
        <v>925</v>
      </c>
      <c r="E317" s="39" t="s">
        <v>1138</v>
      </c>
      <c r="F317" s="39">
        <v>2337037572</v>
      </c>
      <c r="G317" s="121" t="s">
        <v>835</v>
      </c>
      <c r="H317" s="74" t="s">
        <v>854</v>
      </c>
      <c r="I317" s="78">
        <v>590396710</v>
      </c>
      <c r="J317" s="39" t="s">
        <v>613</v>
      </c>
      <c r="K317" s="39" t="s">
        <v>883</v>
      </c>
      <c r="L317" s="39" t="s">
        <v>872</v>
      </c>
      <c r="M317" s="58">
        <v>2019</v>
      </c>
      <c r="N317" s="74" t="s">
        <v>23</v>
      </c>
      <c r="O317" s="118" t="s">
        <v>1138</v>
      </c>
      <c r="P317" s="78" t="s">
        <v>1138</v>
      </c>
      <c r="Q317" s="39" t="s">
        <v>1138</v>
      </c>
      <c r="R317" s="124" t="s">
        <v>1138</v>
      </c>
      <c r="S317" s="124" t="s">
        <v>1138</v>
      </c>
      <c r="T317" s="124" t="s">
        <v>1138</v>
      </c>
      <c r="U317" s="42" t="s">
        <v>1138</v>
      </c>
      <c r="V317" s="43">
        <v>46259</v>
      </c>
      <c r="W317" s="42">
        <f ca="1">IF(Table2[[#This Row],[تاريخ انتهاء التأمين]]="","",IFERROR(_xlfn.DAYS(Table2[[#This Row],[تاريخ انتهاء التأمين]],TODAY()),""))</f>
        <v>-1</v>
      </c>
      <c r="X317" s="42" t="s">
        <v>1138</v>
      </c>
      <c r="Y317" s="42" t="s">
        <v>1138</v>
      </c>
      <c r="Z317" s="42" t="s">
        <v>1138</v>
      </c>
      <c r="AA317" s="75">
        <v>902433</v>
      </c>
      <c r="AB317" s="46" t="s">
        <v>1138</v>
      </c>
      <c r="AC317" s="75" t="s">
        <v>861</v>
      </c>
      <c r="AD317" s="46" t="s">
        <v>939</v>
      </c>
      <c r="AE317" s="47" t="s">
        <v>939</v>
      </c>
      <c r="AF317" s="48" t="s">
        <v>1138</v>
      </c>
      <c r="AG317" s="48" t="s">
        <v>1138</v>
      </c>
      <c r="AH317" s="48" t="s">
        <v>1138</v>
      </c>
      <c r="AI317" s="48" t="s">
        <v>1138</v>
      </c>
      <c r="AJ317" s="89" t="s">
        <v>1138</v>
      </c>
      <c r="AK317" s="89" t="s">
        <v>1138</v>
      </c>
      <c r="AL317" s="49" t="s">
        <v>1138</v>
      </c>
      <c r="AM317" s="50" t="s">
        <v>1138</v>
      </c>
      <c r="AN317" s="50" t="s">
        <v>1138</v>
      </c>
      <c r="AO317" s="80">
        <v>46958</v>
      </c>
      <c r="AP317" s="52">
        <f>Table2[[#This Row],[تاريخ انتهاء رخصة السير هجري]]</f>
        <v>46958</v>
      </c>
      <c r="AQ317" s="53">
        <f ca="1">IF(Table2[[#This Row],[تاريخ انتهاء رخصة السير ميلادي]]="","",IFERROR(_xlfn.DAYS(Table2[[#This Row],[تاريخ انتهاء رخصة السير ميلادي]],TODAY()),""))</f>
        <v>698</v>
      </c>
      <c r="AR317" s="79">
        <f>Table2[[#This Row],[تاريخ انتهاء الفحص ميلادي]]</f>
        <v>46258</v>
      </c>
      <c r="AS317" s="108">
        <v>46258</v>
      </c>
      <c r="AT317" s="106">
        <f ca="1">IF(Table2[[#This Row],[تاريخ انتهاء الفحص ميلادي]]="","",IFERROR(_xlfn.DAYS(Table2[[#This Row],[تاريخ انتهاء الفحص ميلادي]],TODAY()),""))</f>
        <v>-2</v>
      </c>
      <c r="AU317" s="54"/>
      <c r="AV317" s="1"/>
      <c r="BE317" s="3"/>
      <c r="BH317" s="1"/>
    </row>
    <row r="318" spans="1:60" x14ac:dyDescent="0.3">
      <c r="A318" s="39" t="s">
        <v>1126</v>
      </c>
      <c r="B318" s="39" t="s">
        <v>1182</v>
      </c>
      <c r="C318" s="39" t="s">
        <v>1187</v>
      </c>
      <c r="D318" s="39" t="s">
        <v>924</v>
      </c>
      <c r="E318" s="39" t="s">
        <v>1138</v>
      </c>
      <c r="F318" s="58">
        <v>2337919969</v>
      </c>
      <c r="G318" s="121" t="s">
        <v>836</v>
      </c>
      <c r="H318" s="74" t="s">
        <v>855</v>
      </c>
      <c r="I318" s="78">
        <v>636180710</v>
      </c>
      <c r="J318" s="39" t="s">
        <v>613</v>
      </c>
      <c r="K318" s="39" t="s">
        <v>890</v>
      </c>
      <c r="L318" s="39" t="s">
        <v>873</v>
      </c>
      <c r="M318" s="58">
        <v>2019</v>
      </c>
      <c r="N318" s="74" t="s">
        <v>427</v>
      </c>
      <c r="O318" s="118" t="s">
        <v>1138</v>
      </c>
      <c r="P318" s="78" t="s">
        <v>1138</v>
      </c>
      <c r="Q318" s="39" t="s">
        <v>1138</v>
      </c>
      <c r="R318" s="124" t="s">
        <v>1138</v>
      </c>
      <c r="S318" s="124" t="s">
        <v>1138</v>
      </c>
      <c r="T318" s="124" t="s">
        <v>1138</v>
      </c>
      <c r="U318" s="42" t="s">
        <v>1138</v>
      </c>
      <c r="V318" s="43">
        <v>46372</v>
      </c>
      <c r="W318" s="42">
        <f ca="1">IF(Table2[[#This Row],[تاريخ انتهاء التأمين]]="","",IFERROR(_xlfn.DAYS(Table2[[#This Row],[تاريخ انتهاء التأمين]],TODAY()),""))</f>
        <v>112</v>
      </c>
      <c r="X318" s="42" t="s">
        <v>1138</v>
      </c>
      <c r="Y318" s="42" t="s">
        <v>1138</v>
      </c>
      <c r="Z318" s="42" t="s">
        <v>1138</v>
      </c>
      <c r="AA318" s="75">
        <v>902426</v>
      </c>
      <c r="AB318" s="46" t="s">
        <v>1472</v>
      </c>
      <c r="AC318" s="75" t="s">
        <v>861</v>
      </c>
      <c r="AD318" s="46" t="s">
        <v>939</v>
      </c>
      <c r="AE318" s="47" t="s">
        <v>939</v>
      </c>
      <c r="AF318" s="48" t="s">
        <v>1138</v>
      </c>
      <c r="AG318" s="48" t="s">
        <v>1138</v>
      </c>
      <c r="AH318" s="48" t="s">
        <v>1138</v>
      </c>
      <c r="AI318" s="48" t="s">
        <v>1138</v>
      </c>
      <c r="AJ318" s="89" t="s">
        <v>1138</v>
      </c>
      <c r="AK318" s="89" t="s">
        <v>1138</v>
      </c>
      <c r="AL318" s="49" t="s">
        <v>1138</v>
      </c>
      <c r="AM318" s="50" t="s">
        <v>1138</v>
      </c>
      <c r="AN318" s="50" t="s">
        <v>1138</v>
      </c>
      <c r="AO318" s="80">
        <v>46769</v>
      </c>
      <c r="AP318" s="52">
        <f>Table2[[#This Row],[تاريخ انتهاء رخصة السير هجري]]</f>
        <v>46769</v>
      </c>
      <c r="AQ318" s="53">
        <f ca="1">IF(Table2[[#This Row],[تاريخ انتهاء رخصة السير ميلادي]]="","",IFERROR(_xlfn.DAYS(Table2[[#This Row],[تاريخ انتهاء رخصة السير ميلادي]],TODAY()),""))</f>
        <v>509</v>
      </c>
      <c r="AR318" s="55">
        <v>46045</v>
      </c>
      <c r="AS318" s="56">
        <f>Table2[[#This Row],[تاريخ انتهاء الفحص هجري]]</f>
        <v>46045</v>
      </c>
      <c r="AT318" s="106">
        <f ca="1">IF(Table2[[#This Row],[تاريخ انتهاء الفحص ميلادي]]="","",IFERROR(_xlfn.DAYS(Table2[[#This Row],[تاريخ انتهاء الفحص ميلادي]],TODAY()),""))</f>
        <v>-215</v>
      </c>
      <c r="AU318" s="54"/>
      <c r="AV318" s="1"/>
      <c r="BE318" s="3"/>
      <c r="BH318" s="1"/>
    </row>
    <row r="319" spans="1:60" x14ac:dyDescent="0.3">
      <c r="A319" s="39" t="s">
        <v>1126</v>
      </c>
      <c r="B319" s="39" t="s">
        <v>1184</v>
      </c>
      <c r="C319" s="39" t="s">
        <v>1138</v>
      </c>
      <c r="D319" s="39" t="s">
        <v>923</v>
      </c>
      <c r="E319" s="39" t="s">
        <v>1138</v>
      </c>
      <c r="F319" s="58" t="s">
        <v>1126</v>
      </c>
      <c r="G319" s="121" t="s">
        <v>837</v>
      </c>
      <c r="H319" s="74" t="s">
        <v>856</v>
      </c>
      <c r="I319" s="78" t="s">
        <v>1138</v>
      </c>
      <c r="J319" s="39" t="s">
        <v>613</v>
      </c>
      <c r="K319" s="39" t="s">
        <v>886</v>
      </c>
      <c r="L319" s="39" t="s">
        <v>874</v>
      </c>
      <c r="M319" s="58">
        <v>2002</v>
      </c>
      <c r="N319" s="78" t="s">
        <v>1138</v>
      </c>
      <c r="O319" s="118" t="s">
        <v>1138</v>
      </c>
      <c r="P319" s="78" t="s">
        <v>1138</v>
      </c>
      <c r="Q319" s="39" t="s">
        <v>1138</v>
      </c>
      <c r="R319" s="124" t="s">
        <v>1138</v>
      </c>
      <c r="S319" s="124" t="s">
        <v>1138</v>
      </c>
      <c r="T319" s="124" t="s">
        <v>1138</v>
      </c>
      <c r="U319" s="42" t="s">
        <v>1138</v>
      </c>
      <c r="V319" s="43" t="s">
        <v>1138</v>
      </c>
      <c r="W319" s="43" t="s">
        <v>1138</v>
      </c>
      <c r="X319" s="42" t="s">
        <v>1138</v>
      </c>
      <c r="Y319" s="42" t="s">
        <v>1138</v>
      </c>
      <c r="Z319" s="42" t="s">
        <v>1138</v>
      </c>
      <c r="AA319" s="75">
        <v>901681</v>
      </c>
      <c r="AB319" s="46" t="s">
        <v>1138</v>
      </c>
      <c r="AC319" s="75" t="s">
        <v>861</v>
      </c>
      <c r="AD319" s="46" t="s">
        <v>938</v>
      </c>
      <c r="AE319" s="47">
        <v>1000</v>
      </c>
      <c r="AF319" s="48" t="s">
        <v>1138</v>
      </c>
      <c r="AG319" s="48" t="s">
        <v>1138</v>
      </c>
      <c r="AH319" s="48" t="s">
        <v>1138</v>
      </c>
      <c r="AI319" s="48" t="s">
        <v>1138</v>
      </c>
      <c r="AJ319" s="89" t="s">
        <v>1138</v>
      </c>
      <c r="AK319" s="89" t="s">
        <v>1138</v>
      </c>
      <c r="AL319" s="49" t="s">
        <v>1138</v>
      </c>
      <c r="AM319" s="50" t="s">
        <v>1138</v>
      </c>
      <c r="AN319" s="50" t="s">
        <v>1138</v>
      </c>
      <c r="AO319" s="80" t="s">
        <v>1138</v>
      </c>
      <c r="AP319" s="52" t="s">
        <v>1138</v>
      </c>
      <c r="AQ319" s="52" t="s">
        <v>1138</v>
      </c>
      <c r="AR319" s="55" t="s">
        <v>1138</v>
      </c>
      <c r="AS319" s="56" t="s">
        <v>1138</v>
      </c>
      <c r="AT319" s="56" t="s">
        <v>1138</v>
      </c>
      <c r="AU319" s="54"/>
      <c r="AV319" s="1"/>
      <c r="BE319" s="3"/>
      <c r="BH319" s="1"/>
    </row>
    <row r="320" spans="1:60" x14ac:dyDescent="0.3">
      <c r="A320" s="39" t="s">
        <v>1126</v>
      </c>
      <c r="B320" s="39" t="s">
        <v>1185</v>
      </c>
      <c r="C320" s="39" t="s">
        <v>1138</v>
      </c>
      <c r="D320" s="39" t="s">
        <v>921</v>
      </c>
      <c r="E320" s="39" t="s">
        <v>1138</v>
      </c>
      <c r="F320" s="58" t="s">
        <v>1126</v>
      </c>
      <c r="G320" s="121" t="s">
        <v>838</v>
      </c>
      <c r="H320" s="74" t="s">
        <v>857</v>
      </c>
      <c r="I320" s="78" t="s">
        <v>1138</v>
      </c>
      <c r="J320" s="39" t="s">
        <v>613</v>
      </c>
      <c r="K320" s="39" t="s">
        <v>891</v>
      </c>
      <c r="L320" s="39" t="s">
        <v>875</v>
      </c>
      <c r="M320" s="58">
        <v>2012</v>
      </c>
      <c r="N320" s="78" t="s">
        <v>1138</v>
      </c>
      <c r="O320" s="118" t="s">
        <v>1138</v>
      </c>
      <c r="P320" s="78" t="s">
        <v>1138</v>
      </c>
      <c r="Q320" s="39" t="s">
        <v>1138</v>
      </c>
      <c r="R320" s="124" t="s">
        <v>1138</v>
      </c>
      <c r="S320" s="124" t="s">
        <v>1138</v>
      </c>
      <c r="T320" s="124" t="s">
        <v>1138</v>
      </c>
      <c r="U320" s="42" t="s">
        <v>1138</v>
      </c>
      <c r="V320" s="43" t="s">
        <v>1138</v>
      </c>
      <c r="W320" s="43" t="s">
        <v>1138</v>
      </c>
      <c r="X320" s="42" t="s">
        <v>1138</v>
      </c>
      <c r="Y320" s="42" t="s">
        <v>1138</v>
      </c>
      <c r="Z320" s="42" t="s">
        <v>1138</v>
      </c>
      <c r="AA320" s="75">
        <v>889219</v>
      </c>
      <c r="AB320" s="46" t="s">
        <v>1473</v>
      </c>
      <c r="AC320" s="75" t="s">
        <v>861</v>
      </c>
      <c r="AD320" s="46" t="s">
        <v>938</v>
      </c>
      <c r="AE320" s="47">
        <v>500</v>
      </c>
      <c r="AF320" s="48" t="s">
        <v>1138</v>
      </c>
      <c r="AG320" s="48" t="s">
        <v>1138</v>
      </c>
      <c r="AH320" s="48" t="s">
        <v>1138</v>
      </c>
      <c r="AI320" s="48" t="s">
        <v>1138</v>
      </c>
      <c r="AJ320" s="89" t="s">
        <v>1138</v>
      </c>
      <c r="AK320" s="89" t="s">
        <v>1138</v>
      </c>
      <c r="AL320" s="49" t="s">
        <v>1138</v>
      </c>
      <c r="AM320" s="50" t="s">
        <v>1138</v>
      </c>
      <c r="AN320" s="50" t="s">
        <v>1138</v>
      </c>
      <c r="AO320" s="80" t="s">
        <v>1138</v>
      </c>
      <c r="AP320" s="52" t="s">
        <v>1138</v>
      </c>
      <c r="AQ320" s="52" t="s">
        <v>1138</v>
      </c>
      <c r="AR320" s="55" t="s">
        <v>1138</v>
      </c>
      <c r="AS320" s="56" t="s">
        <v>1138</v>
      </c>
      <c r="AT320" s="56" t="s">
        <v>1138</v>
      </c>
      <c r="AU320" s="54"/>
      <c r="AV320" s="1"/>
      <c r="BE320" s="3"/>
      <c r="BH320" s="1"/>
    </row>
    <row r="321" spans="1:60" x14ac:dyDescent="0.3">
      <c r="A321" s="39" t="s">
        <v>1126</v>
      </c>
      <c r="B321" s="39" t="s">
        <v>1179</v>
      </c>
      <c r="C321" s="39" t="s">
        <v>1138</v>
      </c>
      <c r="D321" s="39" t="s">
        <v>922</v>
      </c>
      <c r="E321" s="39" t="s">
        <v>1138</v>
      </c>
      <c r="F321" s="58" t="s">
        <v>1126</v>
      </c>
      <c r="G321" s="121" t="s">
        <v>839</v>
      </c>
      <c r="H321" s="74" t="s">
        <v>858</v>
      </c>
      <c r="I321" s="78" t="s">
        <v>1138</v>
      </c>
      <c r="J321" s="39" t="s">
        <v>613</v>
      </c>
      <c r="K321" s="39" t="s">
        <v>882</v>
      </c>
      <c r="L321" s="39" t="s">
        <v>876</v>
      </c>
      <c r="M321" s="58">
        <v>2025</v>
      </c>
      <c r="N321" s="78" t="s">
        <v>1138</v>
      </c>
      <c r="O321" s="118" t="s">
        <v>1138</v>
      </c>
      <c r="P321" s="78" t="s">
        <v>1138</v>
      </c>
      <c r="Q321" s="39" t="s">
        <v>1138</v>
      </c>
      <c r="R321" s="124" t="s">
        <v>1138</v>
      </c>
      <c r="S321" s="124" t="s">
        <v>1138</v>
      </c>
      <c r="T321" s="124" t="s">
        <v>1138</v>
      </c>
      <c r="U321" s="42" t="s">
        <v>1138</v>
      </c>
      <c r="V321" s="43" t="s">
        <v>1138</v>
      </c>
      <c r="W321" s="43" t="s">
        <v>1138</v>
      </c>
      <c r="X321" s="42" t="s">
        <v>1138</v>
      </c>
      <c r="Y321" s="42" t="s">
        <v>1138</v>
      </c>
      <c r="Z321" s="42" t="s">
        <v>1138</v>
      </c>
      <c r="AA321" s="75">
        <v>786843</v>
      </c>
      <c r="AB321" s="46" t="s">
        <v>1260</v>
      </c>
      <c r="AC321" s="75" t="s">
        <v>861</v>
      </c>
      <c r="AD321" s="46" t="s">
        <v>939</v>
      </c>
      <c r="AE321" s="47" t="s">
        <v>939</v>
      </c>
      <c r="AF321" s="48" t="s">
        <v>1138</v>
      </c>
      <c r="AG321" s="48" t="s">
        <v>1138</v>
      </c>
      <c r="AH321" s="48" t="s">
        <v>1138</v>
      </c>
      <c r="AI321" s="48" t="s">
        <v>1138</v>
      </c>
      <c r="AJ321" s="89" t="s">
        <v>1138</v>
      </c>
      <c r="AK321" s="89" t="s">
        <v>1138</v>
      </c>
      <c r="AL321" s="49" t="s">
        <v>1138</v>
      </c>
      <c r="AM321" s="50" t="s">
        <v>1138</v>
      </c>
      <c r="AN321" s="50" t="s">
        <v>1138</v>
      </c>
      <c r="AO321" s="80" t="s">
        <v>1138</v>
      </c>
      <c r="AP321" s="52" t="s">
        <v>1138</v>
      </c>
      <c r="AQ321" s="52" t="s">
        <v>1138</v>
      </c>
      <c r="AR321" s="55" t="s">
        <v>1138</v>
      </c>
      <c r="AS321" s="56" t="s">
        <v>1138</v>
      </c>
      <c r="AT321" s="56" t="s">
        <v>1138</v>
      </c>
      <c r="AU321" s="54"/>
      <c r="AV321" s="1"/>
      <c r="BE321" s="3"/>
      <c r="BH321" s="1"/>
    </row>
    <row r="322" spans="1:60" x14ac:dyDescent="0.3">
      <c r="A322" s="39" t="s">
        <v>1126</v>
      </c>
      <c r="B322" s="39" t="s">
        <v>1183</v>
      </c>
      <c r="C322" s="39" t="s">
        <v>1138</v>
      </c>
      <c r="D322" s="39" t="s">
        <v>926</v>
      </c>
      <c r="E322" s="39" t="s">
        <v>1138</v>
      </c>
      <c r="F322" s="58" t="s">
        <v>1126</v>
      </c>
      <c r="G322" s="121" t="s">
        <v>840</v>
      </c>
      <c r="H322" s="74" t="s">
        <v>859</v>
      </c>
      <c r="I322" s="78" t="s">
        <v>1138</v>
      </c>
      <c r="J322" s="39" t="s">
        <v>613</v>
      </c>
      <c r="K322" s="39" t="s">
        <v>886</v>
      </c>
      <c r="L322" s="39" t="s">
        <v>868</v>
      </c>
      <c r="M322" s="58">
        <v>2024</v>
      </c>
      <c r="N322" s="78" t="s">
        <v>1138</v>
      </c>
      <c r="O322" s="118" t="s">
        <v>1138</v>
      </c>
      <c r="P322" s="78" t="s">
        <v>1138</v>
      </c>
      <c r="Q322" s="39" t="s">
        <v>1138</v>
      </c>
      <c r="R322" s="124" t="s">
        <v>1138</v>
      </c>
      <c r="S322" s="124" t="s">
        <v>1138</v>
      </c>
      <c r="T322" s="124" t="s">
        <v>1138</v>
      </c>
      <c r="U322" s="42" t="s">
        <v>1138</v>
      </c>
      <c r="V322" s="43" t="s">
        <v>1138</v>
      </c>
      <c r="W322" s="43" t="s">
        <v>1138</v>
      </c>
      <c r="X322" s="42" t="s">
        <v>1138</v>
      </c>
      <c r="Y322" s="42" t="s">
        <v>1138</v>
      </c>
      <c r="Z322" s="42" t="s">
        <v>1138</v>
      </c>
      <c r="AA322" s="75">
        <v>760011</v>
      </c>
      <c r="AB322" s="46" t="s">
        <v>1474</v>
      </c>
      <c r="AC322" s="75" t="s">
        <v>861</v>
      </c>
      <c r="AD322" s="46" t="s">
        <v>938</v>
      </c>
      <c r="AE322" s="47">
        <v>500</v>
      </c>
      <c r="AF322" s="48" t="s">
        <v>1138</v>
      </c>
      <c r="AG322" s="48" t="s">
        <v>1138</v>
      </c>
      <c r="AH322" s="48" t="s">
        <v>1138</v>
      </c>
      <c r="AI322" s="48" t="s">
        <v>1138</v>
      </c>
      <c r="AJ322" s="89" t="s">
        <v>1138</v>
      </c>
      <c r="AK322" s="89" t="s">
        <v>1138</v>
      </c>
      <c r="AL322" s="49" t="s">
        <v>1138</v>
      </c>
      <c r="AM322" s="50" t="s">
        <v>1138</v>
      </c>
      <c r="AN322" s="50" t="s">
        <v>1138</v>
      </c>
      <c r="AO322" s="80" t="s">
        <v>1138</v>
      </c>
      <c r="AP322" s="52" t="s">
        <v>1138</v>
      </c>
      <c r="AQ322" s="52" t="s">
        <v>1138</v>
      </c>
      <c r="AR322" s="55" t="s">
        <v>1138</v>
      </c>
      <c r="AS322" s="56" t="s">
        <v>1138</v>
      </c>
      <c r="AT322" s="56" t="s">
        <v>1138</v>
      </c>
      <c r="AU322" s="54"/>
      <c r="AV322" s="1"/>
      <c r="BE322" s="3"/>
      <c r="BH322" s="1"/>
    </row>
    <row r="323" spans="1:60" x14ac:dyDescent="0.3">
      <c r="A323" s="39" t="s">
        <v>1126</v>
      </c>
      <c r="B323" s="39" t="s">
        <v>1182</v>
      </c>
      <c r="C323" s="39" t="s">
        <v>1187</v>
      </c>
      <c r="D323" s="39" t="s">
        <v>925</v>
      </c>
      <c r="E323" s="39" t="s">
        <v>1138</v>
      </c>
      <c r="F323" s="39">
        <v>2337037572</v>
      </c>
      <c r="G323" s="121" t="s">
        <v>841</v>
      </c>
      <c r="H323" s="74" t="s">
        <v>860</v>
      </c>
      <c r="I323" s="78">
        <v>528943800</v>
      </c>
      <c r="J323" s="39" t="s">
        <v>613</v>
      </c>
      <c r="K323" s="39" t="s">
        <v>893</v>
      </c>
      <c r="L323" s="39" t="s">
        <v>877</v>
      </c>
      <c r="M323" s="58">
        <v>2010</v>
      </c>
      <c r="N323" s="74" t="s">
        <v>64</v>
      </c>
      <c r="O323" s="118" t="s">
        <v>1138</v>
      </c>
      <c r="P323" s="78" t="s">
        <v>1138</v>
      </c>
      <c r="Q323" s="39" t="s">
        <v>1138</v>
      </c>
      <c r="R323" s="124" t="s">
        <v>1138</v>
      </c>
      <c r="S323" s="124" t="s">
        <v>1138</v>
      </c>
      <c r="T323" s="124" t="s">
        <v>1138</v>
      </c>
      <c r="U323" s="42" t="s">
        <v>1138</v>
      </c>
      <c r="V323" s="43">
        <v>46482</v>
      </c>
      <c r="W323" s="42">
        <f ca="1">IF(Table2[[#This Row],[تاريخ انتهاء التأمين]]="","",IFERROR(_xlfn.DAYS(Table2[[#This Row],[تاريخ انتهاء التأمين]],TODAY()),""))</f>
        <v>222</v>
      </c>
      <c r="X323" s="42" t="s">
        <v>1138</v>
      </c>
      <c r="Y323" s="42" t="s">
        <v>1138</v>
      </c>
      <c r="Z323" s="42" t="s">
        <v>1138</v>
      </c>
      <c r="AA323" s="75">
        <v>739362</v>
      </c>
      <c r="AB323" s="46" t="s">
        <v>1138</v>
      </c>
      <c r="AC323" s="75" t="s">
        <v>861</v>
      </c>
      <c r="AD323" s="46" t="s">
        <v>939</v>
      </c>
      <c r="AE323" s="47" t="s">
        <v>939</v>
      </c>
      <c r="AF323" s="48" t="s">
        <v>1138</v>
      </c>
      <c r="AG323" s="48" t="s">
        <v>1138</v>
      </c>
      <c r="AH323" s="48" t="s">
        <v>1138</v>
      </c>
      <c r="AI323" s="48" t="s">
        <v>1138</v>
      </c>
      <c r="AJ323" s="89" t="s">
        <v>1138</v>
      </c>
      <c r="AK323" s="89" t="s">
        <v>1138</v>
      </c>
      <c r="AL323" s="49" t="s">
        <v>1138</v>
      </c>
      <c r="AM323" s="50" t="s">
        <v>1138</v>
      </c>
      <c r="AN323" s="50" t="s">
        <v>1138</v>
      </c>
      <c r="AO323" s="80">
        <v>46855</v>
      </c>
      <c r="AP323" s="52">
        <f>Table2[[#This Row],[تاريخ انتهاء رخصة السير هجري]]</f>
        <v>46855</v>
      </c>
      <c r="AQ323" s="53">
        <f ca="1">IF(Table2[[#This Row],[تاريخ انتهاء رخصة السير ميلادي]]="","",IFERROR(_xlfn.DAYS(Table2[[#This Row],[تاريخ انتهاء رخصة السير ميلادي]],TODAY()),""))</f>
        <v>595</v>
      </c>
      <c r="AR323" s="79">
        <v>46246</v>
      </c>
      <c r="AS323" s="56">
        <f>Table2[[#This Row],[تاريخ انتهاء الفحص هجري]]</f>
        <v>46246</v>
      </c>
      <c r="AT323" s="106">
        <f ca="1">IF(Table2[[#This Row],[تاريخ انتهاء الفحص ميلادي]]="","",IFERROR(_xlfn.DAYS(Table2[[#This Row],[تاريخ انتهاء الفحص ميلادي]],TODAY()),""))</f>
        <v>-14</v>
      </c>
      <c r="AU323" s="54"/>
      <c r="AV323" s="1"/>
      <c r="BE323" s="3"/>
      <c r="BH323" s="1"/>
    </row>
    <row r="324" spans="1:60" x14ac:dyDescent="0.3">
      <c r="A324" s="39" t="s">
        <v>1126</v>
      </c>
      <c r="B324" s="39" t="s">
        <v>819</v>
      </c>
      <c r="C324" s="39" t="s">
        <v>1138</v>
      </c>
      <c r="D324" s="39" t="s">
        <v>420</v>
      </c>
      <c r="E324" s="39" t="s">
        <v>1138</v>
      </c>
      <c r="F324" s="58">
        <v>1064442229</v>
      </c>
      <c r="G324" s="121" t="s">
        <v>842</v>
      </c>
      <c r="H324" s="74" t="s">
        <v>896</v>
      </c>
      <c r="I324" s="78">
        <v>726835010</v>
      </c>
      <c r="J324" s="39" t="s">
        <v>613</v>
      </c>
      <c r="K324" s="39" t="s">
        <v>894</v>
      </c>
      <c r="L324" s="39" t="s">
        <v>878</v>
      </c>
      <c r="M324" s="58">
        <v>2011</v>
      </c>
      <c r="N324" s="39" t="s">
        <v>427</v>
      </c>
      <c r="O324" s="118" t="s">
        <v>1138</v>
      </c>
      <c r="P324" s="78" t="s">
        <v>1138</v>
      </c>
      <c r="Q324" s="39" t="s">
        <v>1138</v>
      </c>
      <c r="R324" s="124" t="s">
        <v>1138</v>
      </c>
      <c r="S324" s="124" t="s">
        <v>1138</v>
      </c>
      <c r="T324" s="124" t="s">
        <v>1138</v>
      </c>
      <c r="U324" s="42" t="s">
        <v>1138</v>
      </c>
      <c r="V324" s="98">
        <v>46263</v>
      </c>
      <c r="W324" s="44">
        <f ca="1">IF(Table2[[#This Row],[تاريخ انتهاء التأمين]]="","",IFERROR(_xlfn.DAYS(Table2[[#This Row],[تاريخ انتهاء التأمين]],TODAY()),""))</f>
        <v>3</v>
      </c>
      <c r="X324" s="42" t="s">
        <v>1138</v>
      </c>
      <c r="Y324" s="42" t="s">
        <v>1138</v>
      </c>
      <c r="Z324" s="42" t="s">
        <v>1138</v>
      </c>
      <c r="AA324" s="75">
        <v>647607</v>
      </c>
      <c r="AB324" s="46" t="s">
        <v>1138</v>
      </c>
      <c r="AC324" s="75" t="s">
        <v>861</v>
      </c>
      <c r="AD324" s="46" t="s">
        <v>939</v>
      </c>
      <c r="AE324" s="47">
        <v>1000</v>
      </c>
      <c r="AF324" s="48" t="s">
        <v>1138</v>
      </c>
      <c r="AG324" s="48" t="s">
        <v>1138</v>
      </c>
      <c r="AH324" s="48" t="s">
        <v>1138</v>
      </c>
      <c r="AI324" s="48" t="s">
        <v>1138</v>
      </c>
      <c r="AJ324" s="89" t="s">
        <v>1138</v>
      </c>
      <c r="AK324" s="89" t="s">
        <v>1138</v>
      </c>
      <c r="AL324" s="49" t="s">
        <v>1138</v>
      </c>
      <c r="AM324" s="50" t="s">
        <v>1138</v>
      </c>
      <c r="AN324" s="50" t="s">
        <v>1138</v>
      </c>
      <c r="AO324" s="104">
        <v>45930</v>
      </c>
      <c r="AP324" s="52">
        <f>Table2[[#This Row],[تاريخ انتهاء رخصة السير هجري]]</f>
        <v>45930</v>
      </c>
      <c r="AQ324" s="53">
        <f ca="1">IF(Table2[[#This Row],[تاريخ انتهاء رخصة السير ميلادي]]="","",IFERROR(_xlfn.DAYS(Table2[[#This Row],[تاريخ انتهاء رخصة السير ميلادي]],TODAY()),""))</f>
        <v>-330</v>
      </c>
      <c r="AR324" s="55">
        <f>Table2[[#This Row],[تاريخ انتهاء الفحص ميلادي]]</f>
        <v>45892</v>
      </c>
      <c r="AS324" s="109">
        <v>45892</v>
      </c>
      <c r="AT324" s="106">
        <f ca="1">IF(Table2[[#This Row],[تاريخ انتهاء الفحص ميلادي]]="","",IFERROR(_xlfn.DAYS(Table2[[#This Row],[تاريخ انتهاء الفحص ميلادي]],TODAY()),""))</f>
        <v>-368</v>
      </c>
      <c r="AU324" s="54"/>
      <c r="AV324" s="1"/>
      <c r="BE324" s="3"/>
      <c r="BH324" s="1"/>
    </row>
    <row r="325" spans="1:60" x14ac:dyDescent="0.3">
      <c r="A325" s="39" t="s">
        <v>1126</v>
      </c>
      <c r="B325" s="39" t="s">
        <v>819</v>
      </c>
      <c r="C325" s="39" t="s">
        <v>1138</v>
      </c>
      <c r="D325" s="39" t="s">
        <v>420</v>
      </c>
      <c r="E325" s="39" t="s">
        <v>1138</v>
      </c>
      <c r="F325" s="58">
        <v>1064442229</v>
      </c>
      <c r="G325" s="121" t="s">
        <v>843</v>
      </c>
      <c r="H325" s="74" t="s">
        <v>897</v>
      </c>
      <c r="I325" s="112" t="s">
        <v>1137</v>
      </c>
      <c r="J325" s="39" t="s">
        <v>613</v>
      </c>
      <c r="K325" s="39" t="s">
        <v>883</v>
      </c>
      <c r="L325" s="39" t="s">
        <v>879</v>
      </c>
      <c r="M325" s="58">
        <v>2018</v>
      </c>
      <c r="N325" s="95" t="s">
        <v>64</v>
      </c>
      <c r="O325" s="118" t="s">
        <v>1138</v>
      </c>
      <c r="P325" s="78" t="s">
        <v>1138</v>
      </c>
      <c r="Q325" s="39" t="s">
        <v>1138</v>
      </c>
      <c r="R325" s="124" t="s">
        <v>1138</v>
      </c>
      <c r="S325" s="124" t="s">
        <v>1138</v>
      </c>
      <c r="T325" s="124" t="s">
        <v>1138</v>
      </c>
      <c r="U325" s="59" t="s">
        <v>1137</v>
      </c>
      <c r="V325" s="111" t="s">
        <v>1137</v>
      </c>
      <c r="W325" s="111" t="s">
        <v>1137</v>
      </c>
      <c r="X325" s="59" t="s">
        <v>1137</v>
      </c>
      <c r="Y325" s="59" t="s">
        <v>1137</v>
      </c>
      <c r="Z325" s="59" t="s">
        <v>1137</v>
      </c>
      <c r="AA325" s="75">
        <v>624809</v>
      </c>
      <c r="AB325" s="46" t="s">
        <v>1475</v>
      </c>
      <c r="AC325" s="75" t="s">
        <v>861</v>
      </c>
      <c r="AD325" s="46" t="s">
        <v>939</v>
      </c>
      <c r="AE325" s="47">
        <v>1000</v>
      </c>
      <c r="AF325" s="48" t="s">
        <v>1138</v>
      </c>
      <c r="AG325" s="48" t="s">
        <v>1138</v>
      </c>
      <c r="AH325" s="48" t="s">
        <v>1138</v>
      </c>
      <c r="AI325" s="48" t="s">
        <v>1138</v>
      </c>
      <c r="AJ325" s="89" t="s">
        <v>1138</v>
      </c>
      <c r="AK325" s="89" t="s">
        <v>1138</v>
      </c>
      <c r="AL325" s="49" t="s">
        <v>1138</v>
      </c>
      <c r="AM325" s="50" t="s">
        <v>1138</v>
      </c>
      <c r="AN325" s="50" t="s">
        <v>1138</v>
      </c>
      <c r="AO325" s="81" t="s">
        <v>1137</v>
      </c>
      <c r="AP325" s="129" t="s">
        <v>1137</v>
      </c>
      <c r="AQ325" s="129" t="s">
        <v>1137</v>
      </c>
      <c r="AR325" s="81" t="s">
        <v>1137</v>
      </c>
      <c r="AS325" s="129" t="s">
        <v>1137</v>
      </c>
      <c r="AT325" s="129" t="s">
        <v>1137</v>
      </c>
      <c r="AU325" s="54" t="s">
        <v>1502</v>
      </c>
      <c r="AV325" s="1"/>
      <c r="BE325" s="3"/>
      <c r="BH325" s="1"/>
    </row>
    <row r="326" spans="1:60" x14ac:dyDescent="0.3">
      <c r="A326" s="39" t="s">
        <v>1126</v>
      </c>
      <c r="B326" s="39" t="s">
        <v>819</v>
      </c>
      <c r="C326" s="39" t="s">
        <v>1138</v>
      </c>
      <c r="D326" s="39" t="s">
        <v>420</v>
      </c>
      <c r="E326" s="39" t="s">
        <v>1138</v>
      </c>
      <c r="F326" s="58">
        <v>1064442229</v>
      </c>
      <c r="G326" s="121" t="s">
        <v>844</v>
      </c>
      <c r="H326" s="74" t="s">
        <v>899</v>
      </c>
      <c r="I326" s="78">
        <v>21692910</v>
      </c>
      <c r="J326" s="39" t="s">
        <v>613</v>
      </c>
      <c r="K326" s="39" t="s">
        <v>895</v>
      </c>
      <c r="L326" s="39" t="s">
        <v>881</v>
      </c>
      <c r="M326" s="58">
        <v>2022</v>
      </c>
      <c r="N326" s="74" t="s">
        <v>666</v>
      </c>
      <c r="O326" s="118" t="s">
        <v>1138</v>
      </c>
      <c r="P326" s="78" t="s">
        <v>1138</v>
      </c>
      <c r="Q326" s="39" t="s">
        <v>1138</v>
      </c>
      <c r="R326" s="124" t="s">
        <v>1138</v>
      </c>
      <c r="S326" s="124" t="s">
        <v>1138</v>
      </c>
      <c r="T326" s="124" t="s">
        <v>1138</v>
      </c>
      <c r="U326" s="42" t="s">
        <v>1138</v>
      </c>
      <c r="V326" s="98">
        <v>46386</v>
      </c>
      <c r="W326" s="44">
        <f ca="1">IF(Table2[[#This Row],[تاريخ انتهاء التأمين]]="","",IFERROR(_xlfn.DAYS(Table2[[#This Row],[تاريخ انتهاء التأمين]],TODAY()),""))</f>
        <v>126</v>
      </c>
      <c r="X326" s="42" t="s">
        <v>1138</v>
      </c>
      <c r="Y326" s="42" t="s">
        <v>1138</v>
      </c>
      <c r="Z326" s="42" t="s">
        <v>1138</v>
      </c>
      <c r="AA326" s="75">
        <v>624805</v>
      </c>
      <c r="AB326" s="46" t="s">
        <v>1476</v>
      </c>
      <c r="AC326" s="75" t="s">
        <v>861</v>
      </c>
      <c r="AD326" s="46" t="s">
        <v>939</v>
      </c>
      <c r="AE326" s="47">
        <v>1000</v>
      </c>
      <c r="AF326" s="48" t="s">
        <v>1138</v>
      </c>
      <c r="AG326" s="48" t="s">
        <v>1138</v>
      </c>
      <c r="AH326" s="48" t="s">
        <v>1138</v>
      </c>
      <c r="AI326" s="48" t="s">
        <v>1138</v>
      </c>
      <c r="AJ326" s="89" t="s">
        <v>1138</v>
      </c>
      <c r="AK326" s="89" t="s">
        <v>1138</v>
      </c>
      <c r="AL326" s="49" t="s">
        <v>1138</v>
      </c>
      <c r="AM326" s="50" t="s">
        <v>1138</v>
      </c>
      <c r="AN326" s="50" t="s">
        <v>1138</v>
      </c>
      <c r="AO326" s="104">
        <v>45864</v>
      </c>
      <c r="AP326" s="52">
        <f>Table2[[#This Row],[تاريخ انتهاء رخصة السير هجري]]</f>
        <v>45864</v>
      </c>
      <c r="AQ326" s="53">
        <f ca="1">IF(Table2[[#This Row],[تاريخ انتهاء رخصة السير ميلادي]]="","",IFERROR(_xlfn.DAYS(Table2[[#This Row],[تاريخ انتهاء رخصة السير ميلادي]],TODAY()),""))</f>
        <v>-396</v>
      </c>
      <c r="AR326" s="131" t="s">
        <v>1137</v>
      </c>
      <c r="AS326" s="133" t="s">
        <v>1137</v>
      </c>
      <c r="AT326" s="129" t="s">
        <v>1137</v>
      </c>
      <c r="AU326" s="54" t="s">
        <v>1503</v>
      </c>
      <c r="AV326" s="1"/>
      <c r="BE326" s="3"/>
      <c r="BH326" s="1"/>
    </row>
    <row r="327" spans="1:60" s="10" customFormat="1" x14ac:dyDescent="0.3">
      <c r="A327" s="39" t="s">
        <v>1126</v>
      </c>
      <c r="B327" s="39" t="s">
        <v>1182</v>
      </c>
      <c r="C327" s="39" t="s">
        <v>1187</v>
      </c>
      <c r="D327" s="39" t="s">
        <v>1140</v>
      </c>
      <c r="E327" s="39" t="s">
        <v>1138</v>
      </c>
      <c r="F327" s="58" t="s">
        <v>1126</v>
      </c>
      <c r="G327" s="121" t="s">
        <v>1139</v>
      </c>
      <c r="H327" s="74" t="s">
        <v>1141</v>
      </c>
      <c r="I327" s="78" t="s">
        <v>1138</v>
      </c>
      <c r="J327" s="39" t="s">
        <v>613</v>
      </c>
      <c r="K327" s="39" t="s">
        <v>883</v>
      </c>
      <c r="L327" s="39" t="s">
        <v>1142</v>
      </c>
      <c r="M327" s="58">
        <v>2012</v>
      </c>
      <c r="N327" s="78" t="s">
        <v>1138</v>
      </c>
      <c r="O327" s="118" t="s">
        <v>1138</v>
      </c>
      <c r="P327" s="78" t="s">
        <v>1138</v>
      </c>
      <c r="Q327" s="39" t="s">
        <v>1138</v>
      </c>
      <c r="R327" s="124" t="s">
        <v>1138</v>
      </c>
      <c r="S327" s="124" t="s">
        <v>1138</v>
      </c>
      <c r="T327" s="124" t="s">
        <v>1138</v>
      </c>
      <c r="U327" s="42" t="s">
        <v>1138</v>
      </c>
      <c r="V327" s="43" t="s">
        <v>1138</v>
      </c>
      <c r="W327" s="43" t="s">
        <v>1138</v>
      </c>
      <c r="X327" s="42" t="s">
        <v>1138</v>
      </c>
      <c r="Y327" s="42" t="s">
        <v>1138</v>
      </c>
      <c r="Z327" s="42" t="s">
        <v>1138</v>
      </c>
      <c r="AA327" s="75">
        <v>1037155</v>
      </c>
      <c r="AB327" s="46" t="s">
        <v>1138</v>
      </c>
      <c r="AC327" s="75" t="s">
        <v>861</v>
      </c>
      <c r="AD327" s="75" t="s">
        <v>938</v>
      </c>
      <c r="AE327" s="83">
        <v>300</v>
      </c>
      <c r="AF327" s="48" t="s">
        <v>1138</v>
      </c>
      <c r="AG327" s="48" t="s">
        <v>1138</v>
      </c>
      <c r="AH327" s="48" t="s">
        <v>1138</v>
      </c>
      <c r="AI327" s="48" t="s">
        <v>1138</v>
      </c>
      <c r="AJ327" s="89" t="s">
        <v>1138</v>
      </c>
      <c r="AK327" s="89" t="s">
        <v>1138</v>
      </c>
      <c r="AL327" s="49" t="s">
        <v>1138</v>
      </c>
      <c r="AM327" s="50" t="s">
        <v>1138</v>
      </c>
      <c r="AN327" s="50" t="s">
        <v>1138</v>
      </c>
      <c r="AO327" s="84" t="s">
        <v>1138</v>
      </c>
      <c r="AP327" s="128" t="s">
        <v>1138</v>
      </c>
      <c r="AQ327" s="128" t="s">
        <v>1138</v>
      </c>
      <c r="AR327" s="132" t="s">
        <v>1138</v>
      </c>
      <c r="AS327" s="134" t="s">
        <v>1138</v>
      </c>
      <c r="AT327" s="134" t="s">
        <v>1138</v>
      </c>
      <c r="AU327" s="39"/>
      <c r="BE327" s="85"/>
    </row>
    <row r="328" spans="1:60" s="10" customFormat="1" x14ac:dyDescent="0.3">
      <c r="A328" s="94" t="s">
        <v>1126</v>
      </c>
      <c r="B328" s="39" t="s">
        <v>1182</v>
      </c>
      <c r="C328" s="39" t="s">
        <v>1187</v>
      </c>
      <c r="D328" s="95" t="s">
        <v>925</v>
      </c>
      <c r="E328" s="39" t="s">
        <v>1138</v>
      </c>
      <c r="F328" s="101">
        <v>2337037572</v>
      </c>
      <c r="G328" s="122" t="s">
        <v>1150</v>
      </c>
      <c r="H328" s="100" t="s">
        <v>1151</v>
      </c>
      <c r="I328" s="101">
        <v>451365700</v>
      </c>
      <c r="J328" s="39" t="s">
        <v>613</v>
      </c>
      <c r="K328" s="95" t="s">
        <v>1152</v>
      </c>
      <c r="L328" s="95" t="s">
        <v>1153</v>
      </c>
      <c r="M328" s="96">
        <v>2006</v>
      </c>
      <c r="N328" s="95" t="s">
        <v>621</v>
      </c>
      <c r="O328" s="118" t="s">
        <v>1138</v>
      </c>
      <c r="P328" s="78" t="s">
        <v>1138</v>
      </c>
      <c r="Q328" s="39" t="s">
        <v>1138</v>
      </c>
      <c r="R328" s="124" t="s">
        <v>1138</v>
      </c>
      <c r="S328" s="124" t="s">
        <v>1138</v>
      </c>
      <c r="T328" s="124" t="s">
        <v>1138</v>
      </c>
      <c r="U328" s="42" t="s">
        <v>1138</v>
      </c>
      <c r="V328" s="98">
        <v>46248</v>
      </c>
      <c r="W328" s="42">
        <f ca="1">IF(Table2[[#This Row],[تاريخ انتهاء التأمين]]="","",IFERROR(_xlfn.DAYS(Table2[[#This Row],[تاريخ انتهاء التأمين]],TODAY()),""))</f>
        <v>-12</v>
      </c>
      <c r="X328" s="42" t="s">
        <v>1138</v>
      </c>
      <c r="Y328" s="42" t="s">
        <v>1138</v>
      </c>
      <c r="Z328" s="42" t="s">
        <v>1138</v>
      </c>
      <c r="AA328" s="46" t="s">
        <v>1138</v>
      </c>
      <c r="AB328" s="46" t="s">
        <v>1138</v>
      </c>
      <c r="AC328" s="46" t="s">
        <v>1138</v>
      </c>
      <c r="AD328" s="46" t="s">
        <v>1138</v>
      </c>
      <c r="AE328" s="46" t="s">
        <v>1138</v>
      </c>
      <c r="AF328" s="102" t="s">
        <v>1138</v>
      </c>
      <c r="AG328" s="102" t="s">
        <v>1138</v>
      </c>
      <c r="AH328" s="102" t="s">
        <v>1138</v>
      </c>
      <c r="AI328" s="102" t="s">
        <v>1138</v>
      </c>
      <c r="AJ328" s="103" t="s">
        <v>1138</v>
      </c>
      <c r="AK328" s="89" t="s">
        <v>1138</v>
      </c>
      <c r="AL328" s="49" t="s">
        <v>1138</v>
      </c>
      <c r="AM328" s="50" t="s">
        <v>1138</v>
      </c>
      <c r="AN328" s="50" t="s">
        <v>1138</v>
      </c>
      <c r="AO328" s="104">
        <v>46341</v>
      </c>
      <c r="AP328" s="105">
        <f>Table2[[#This Row],[تاريخ انتهاء رخصة السير هجري]]</f>
        <v>46341</v>
      </c>
      <c r="AQ328" s="53">
        <f ca="1">IF(Table2[[#This Row],[تاريخ انتهاء رخصة السير ميلادي]]="","",IFERROR(_xlfn.DAYS(Table2[[#This Row],[تاريخ انتهاء رخصة السير ميلادي]],TODAY()),""))</f>
        <v>81</v>
      </c>
      <c r="AR328" s="116">
        <v>46107</v>
      </c>
      <c r="AS328" s="109">
        <v>46107</v>
      </c>
      <c r="AT328" s="106">
        <f ca="1">IF(Table2[[#This Row],[تاريخ انتهاء الفحص ميلادي]]="","",IFERROR(_xlfn.DAYS(Table2[[#This Row],[تاريخ انتهاء الفحص ميلادي]],TODAY()),""))</f>
        <v>-153</v>
      </c>
      <c r="AU328" s="107"/>
      <c r="BG328" s="85"/>
    </row>
    <row r="329" spans="1:60" s="10" customFormat="1" x14ac:dyDescent="0.3">
      <c r="A329" s="39" t="s">
        <v>1126</v>
      </c>
      <c r="B329" s="39" t="s">
        <v>819</v>
      </c>
      <c r="C329" s="39" t="s">
        <v>1138</v>
      </c>
      <c r="D329" s="39" t="s">
        <v>420</v>
      </c>
      <c r="E329" s="39" t="s">
        <v>1138</v>
      </c>
      <c r="F329" s="58">
        <v>1064442229</v>
      </c>
      <c r="G329" s="122" t="s">
        <v>1154</v>
      </c>
      <c r="H329" s="100" t="s">
        <v>1155</v>
      </c>
      <c r="I329" s="101">
        <v>586021320</v>
      </c>
      <c r="J329" s="39" t="s">
        <v>613</v>
      </c>
      <c r="K329" s="95" t="s">
        <v>1156</v>
      </c>
      <c r="L329" s="95" t="s">
        <v>1157</v>
      </c>
      <c r="M329" s="96">
        <v>2023</v>
      </c>
      <c r="N329" s="95" t="s">
        <v>427</v>
      </c>
      <c r="O329" s="118" t="s">
        <v>1138</v>
      </c>
      <c r="P329" s="78" t="s">
        <v>1138</v>
      </c>
      <c r="Q329" s="39" t="s">
        <v>1138</v>
      </c>
      <c r="R329" s="124" t="s">
        <v>1138</v>
      </c>
      <c r="S329" s="124" t="s">
        <v>1138</v>
      </c>
      <c r="T329" s="124" t="s">
        <v>1138</v>
      </c>
      <c r="U329" s="42" t="s">
        <v>1138</v>
      </c>
      <c r="V329" s="98">
        <v>46595</v>
      </c>
      <c r="W329" s="44">
        <f ca="1">IF(Table2[[#This Row],[تاريخ انتهاء التأمين]]="","",IFERROR(_xlfn.DAYS(Table2[[#This Row],[تاريخ انتهاء التأمين]],TODAY()),""))</f>
        <v>335</v>
      </c>
      <c r="X329" s="42" t="s">
        <v>1138</v>
      </c>
      <c r="Y329" s="42" t="s">
        <v>1138</v>
      </c>
      <c r="Z329" s="42" t="s">
        <v>1138</v>
      </c>
      <c r="AA329" s="46" t="s">
        <v>1138</v>
      </c>
      <c r="AB329" s="46" t="s">
        <v>1138</v>
      </c>
      <c r="AC329" s="46" t="s">
        <v>1138</v>
      </c>
      <c r="AD329" s="46" t="s">
        <v>1138</v>
      </c>
      <c r="AE329" s="46" t="s">
        <v>1138</v>
      </c>
      <c r="AF329" s="48" t="s">
        <v>1138</v>
      </c>
      <c r="AG329" s="48" t="s">
        <v>1138</v>
      </c>
      <c r="AH329" s="48" t="s">
        <v>1138</v>
      </c>
      <c r="AI329" s="48" t="s">
        <v>1138</v>
      </c>
      <c r="AJ329" s="89" t="s">
        <v>1138</v>
      </c>
      <c r="AK329" s="89" t="s">
        <v>1138</v>
      </c>
      <c r="AL329" s="49" t="s">
        <v>1138</v>
      </c>
      <c r="AM329" s="50" t="s">
        <v>1138</v>
      </c>
      <c r="AN329" s="50" t="s">
        <v>1138</v>
      </c>
      <c r="AO329" s="104">
        <v>47296</v>
      </c>
      <c r="AP329" s="52">
        <f>Table2[[#This Row],[تاريخ انتهاء رخصة السير هجري]]</f>
        <v>47296</v>
      </c>
      <c r="AQ329" s="53">
        <f ca="1">IF(Table2[[#This Row],[تاريخ انتهاء رخصة السير ميلادي]]="","",IFERROR(_xlfn.DAYS(Table2[[#This Row],[تاريخ انتهاء رخصة السير ميلادي]],TODAY()),""))</f>
        <v>1036</v>
      </c>
      <c r="AR329" s="55">
        <f>Table2[[#This Row],[تاريخ انتهاء الفحص ميلادي]]</f>
        <v>46596</v>
      </c>
      <c r="AS329" s="109">
        <v>46596</v>
      </c>
      <c r="AT329" s="106">
        <f ca="1">IF(Table2[[#This Row],[تاريخ انتهاء الفحص ميلادي]]="","",IFERROR(_xlfn.DAYS(Table2[[#This Row],[تاريخ انتهاء الفحص ميلادي]],TODAY()),""))</f>
        <v>336</v>
      </c>
      <c r="AU329" s="110"/>
      <c r="BG329" s="85"/>
    </row>
    <row r="330" spans="1:60" s="10" customFormat="1" x14ac:dyDescent="0.3">
      <c r="A330" s="39" t="s">
        <v>1126</v>
      </c>
      <c r="B330" s="39" t="s">
        <v>819</v>
      </c>
      <c r="C330" s="39" t="s">
        <v>1138</v>
      </c>
      <c r="D330" s="39" t="s">
        <v>420</v>
      </c>
      <c r="E330" s="39" t="s">
        <v>1138</v>
      </c>
      <c r="F330" s="58">
        <v>1064442229</v>
      </c>
      <c r="G330" s="122" t="s">
        <v>1158</v>
      </c>
      <c r="H330" s="100" t="s">
        <v>1159</v>
      </c>
      <c r="I330" s="101">
        <v>498703020</v>
      </c>
      <c r="J330" s="95" t="s">
        <v>20</v>
      </c>
      <c r="K330" s="95" t="s">
        <v>67</v>
      </c>
      <c r="L330" s="95" t="s">
        <v>22</v>
      </c>
      <c r="M330" s="96">
        <v>2024</v>
      </c>
      <c r="N330" s="95" t="s">
        <v>23</v>
      </c>
      <c r="O330" s="118" t="s">
        <v>1138</v>
      </c>
      <c r="P330" s="78" t="s">
        <v>1138</v>
      </c>
      <c r="Q330" s="39" t="s">
        <v>1138</v>
      </c>
      <c r="R330" s="124" t="s">
        <v>1138</v>
      </c>
      <c r="S330" s="124" t="s">
        <v>1138</v>
      </c>
      <c r="T330" s="124" t="s">
        <v>1138</v>
      </c>
      <c r="U330" s="42" t="s">
        <v>1138</v>
      </c>
      <c r="V330" s="98" t="s">
        <v>1138</v>
      </c>
      <c r="W330" s="43" t="s">
        <v>1138</v>
      </c>
      <c r="X330" s="42" t="s">
        <v>1138</v>
      </c>
      <c r="Y330" s="42" t="s">
        <v>1138</v>
      </c>
      <c r="Z330" s="42" t="s">
        <v>1138</v>
      </c>
      <c r="AA330" s="46" t="s">
        <v>1138</v>
      </c>
      <c r="AB330" s="46" t="s">
        <v>1138</v>
      </c>
      <c r="AC330" s="46" t="s">
        <v>1138</v>
      </c>
      <c r="AD330" s="46" t="s">
        <v>1138</v>
      </c>
      <c r="AE330" s="46" t="s">
        <v>1138</v>
      </c>
      <c r="AF330" s="48" t="s">
        <v>1138</v>
      </c>
      <c r="AG330" s="48" t="s">
        <v>1138</v>
      </c>
      <c r="AH330" s="48" t="s">
        <v>1138</v>
      </c>
      <c r="AI330" s="48" t="s">
        <v>1138</v>
      </c>
      <c r="AJ330" s="89" t="s">
        <v>1138</v>
      </c>
      <c r="AK330" s="89" t="s">
        <v>1138</v>
      </c>
      <c r="AL330" s="49" t="s">
        <v>1138</v>
      </c>
      <c r="AM330" s="50" t="s">
        <v>1138</v>
      </c>
      <c r="AN330" s="50" t="s">
        <v>1138</v>
      </c>
      <c r="AO330" s="104">
        <v>46305</v>
      </c>
      <c r="AP330" s="52">
        <f>Table2[[#This Row],[تاريخ انتهاء رخصة السير هجري]]</f>
        <v>46305</v>
      </c>
      <c r="AQ330" s="53">
        <f ca="1">IF(Table2[[#This Row],[تاريخ انتهاء رخصة السير ميلادي]]="","",IFERROR(_xlfn.DAYS(Table2[[#This Row],[تاريخ انتهاء رخصة السير ميلادي]],TODAY()),""))</f>
        <v>45</v>
      </c>
      <c r="AR330" s="55">
        <f>Table2[[#This Row],[تاريخ انتهاء الفحص ميلادي]]</f>
        <v>46387</v>
      </c>
      <c r="AS330" s="109">
        <v>46387</v>
      </c>
      <c r="AT330" s="106">
        <f ca="1">IF(Table2[[#This Row],[تاريخ انتهاء الفحص ميلادي]]="","",IFERROR(_xlfn.DAYS(Table2[[#This Row],[تاريخ انتهاء الفحص ميلادي]],TODAY()),""))</f>
        <v>127</v>
      </c>
      <c r="AU330" s="107"/>
      <c r="BG330" s="85"/>
    </row>
    <row r="331" spans="1:60" s="10" customFormat="1" x14ac:dyDescent="0.3">
      <c r="A331" s="39" t="s">
        <v>1126</v>
      </c>
      <c r="B331" s="39" t="s">
        <v>819</v>
      </c>
      <c r="C331" s="39" t="s">
        <v>1138</v>
      </c>
      <c r="D331" s="39" t="s">
        <v>420</v>
      </c>
      <c r="E331" s="39" t="s">
        <v>1138</v>
      </c>
      <c r="F331" s="58">
        <v>1064442229</v>
      </c>
      <c r="G331" s="122" t="s">
        <v>1160</v>
      </c>
      <c r="H331" s="100" t="s">
        <v>1161</v>
      </c>
      <c r="I331" s="101">
        <v>896804610</v>
      </c>
      <c r="J331" s="95" t="s">
        <v>673</v>
      </c>
      <c r="K331" s="95" t="s">
        <v>1162</v>
      </c>
      <c r="L331" s="95" t="s">
        <v>1163</v>
      </c>
      <c r="M331" s="96">
        <v>2017</v>
      </c>
      <c r="N331" s="95" t="s">
        <v>64</v>
      </c>
      <c r="O331" s="118" t="s">
        <v>1138</v>
      </c>
      <c r="P331" s="78" t="s">
        <v>1138</v>
      </c>
      <c r="Q331" s="39" t="s">
        <v>1138</v>
      </c>
      <c r="R331" s="124" t="s">
        <v>1138</v>
      </c>
      <c r="S331" s="124" t="s">
        <v>1138</v>
      </c>
      <c r="T331" s="124" t="s">
        <v>1138</v>
      </c>
      <c r="U331" s="42" t="s">
        <v>1138</v>
      </c>
      <c r="V331" s="98" t="s">
        <v>1138</v>
      </c>
      <c r="W331" s="43" t="s">
        <v>1138</v>
      </c>
      <c r="X331" s="42" t="s">
        <v>1138</v>
      </c>
      <c r="Y331" s="42" t="s">
        <v>1138</v>
      </c>
      <c r="Z331" s="42" t="s">
        <v>1138</v>
      </c>
      <c r="AA331" s="46" t="s">
        <v>1138</v>
      </c>
      <c r="AB331" s="46" t="s">
        <v>1138</v>
      </c>
      <c r="AC331" s="46" t="s">
        <v>1138</v>
      </c>
      <c r="AD331" s="46" t="s">
        <v>1138</v>
      </c>
      <c r="AE331" s="46" t="s">
        <v>1138</v>
      </c>
      <c r="AF331" s="48" t="s">
        <v>1138</v>
      </c>
      <c r="AG331" s="48" t="s">
        <v>1138</v>
      </c>
      <c r="AH331" s="48" t="s">
        <v>1138</v>
      </c>
      <c r="AI331" s="48" t="s">
        <v>1138</v>
      </c>
      <c r="AJ331" s="89" t="s">
        <v>1138</v>
      </c>
      <c r="AK331" s="89" t="s">
        <v>1138</v>
      </c>
      <c r="AL331" s="49" t="s">
        <v>1138</v>
      </c>
      <c r="AM331" s="50" t="s">
        <v>1138</v>
      </c>
      <c r="AN331" s="50" t="s">
        <v>1138</v>
      </c>
      <c r="AO331" s="104">
        <v>45224</v>
      </c>
      <c r="AP331" s="52">
        <f>Table2[[#This Row],[تاريخ انتهاء رخصة السير هجري]]</f>
        <v>45224</v>
      </c>
      <c r="AQ331" s="53">
        <f ca="1">IF(Table2[[#This Row],[تاريخ انتهاء رخصة السير ميلادي]]="","",IFERROR(_xlfn.DAYS(Table2[[#This Row],[تاريخ انتهاء رخصة السير ميلادي]],TODAY()),""))</f>
        <v>-1036</v>
      </c>
      <c r="AR331" s="55">
        <f>Table2[[#This Row],[تاريخ انتهاء الفحص ميلادي]]</f>
        <v>46282</v>
      </c>
      <c r="AS331" s="109">
        <v>46282</v>
      </c>
      <c r="AT331" s="106">
        <f ca="1">IF(Table2[[#This Row],[تاريخ انتهاء الفحص ميلادي]]="","",IFERROR(_xlfn.DAYS(Table2[[#This Row],[تاريخ انتهاء الفحص ميلادي]],TODAY()),""))</f>
        <v>22</v>
      </c>
      <c r="AU331" s="107"/>
      <c r="BG331" s="85"/>
    </row>
    <row r="332" spans="1:60" s="10" customFormat="1" x14ac:dyDescent="0.3">
      <c r="A332" s="39" t="s">
        <v>1126</v>
      </c>
      <c r="B332" s="39" t="s">
        <v>819</v>
      </c>
      <c r="C332" s="39" t="s">
        <v>1138</v>
      </c>
      <c r="D332" s="39" t="s">
        <v>420</v>
      </c>
      <c r="E332" s="39" t="s">
        <v>1138</v>
      </c>
      <c r="F332" s="58">
        <v>1064442229</v>
      </c>
      <c r="G332" s="122" t="s">
        <v>1164</v>
      </c>
      <c r="H332" s="100" t="s">
        <v>898</v>
      </c>
      <c r="I332" s="101">
        <v>9999510</v>
      </c>
      <c r="J332" s="95" t="s">
        <v>673</v>
      </c>
      <c r="K332" s="95" t="s">
        <v>892</v>
      </c>
      <c r="L332" s="95" t="s">
        <v>880</v>
      </c>
      <c r="M332" s="96">
        <v>2017</v>
      </c>
      <c r="N332" s="95" t="s">
        <v>653</v>
      </c>
      <c r="O332" s="118" t="s">
        <v>1138</v>
      </c>
      <c r="P332" s="78" t="s">
        <v>1138</v>
      </c>
      <c r="Q332" s="39" t="s">
        <v>1138</v>
      </c>
      <c r="R332" s="124" t="s">
        <v>1138</v>
      </c>
      <c r="S332" s="124" t="s">
        <v>1138</v>
      </c>
      <c r="T332" s="124" t="s">
        <v>1138</v>
      </c>
      <c r="U332" s="42" t="s">
        <v>1138</v>
      </c>
      <c r="V332" s="98" t="s">
        <v>1138</v>
      </c>
      <c r="W332" s="43" t="s">
        <v>1138</v>
      </c>
      <c r="X332" s="42" t="s">
        <v>1138</v>
      </c>
      <c r="Y332" s="42" t="s">
        <v>1138</v>
      </c>
      <c r="Z332" s="42" t="s">
        <v>1138</v>
      </c>
      <c r="AA332" s="99">
        <v>624806</v>
      </c>
      <c r="AB332" s="46" t="s">
        <v>1500</v>
      </c>
      <c r="AC332" s="99" t="s">
        <v>861</v>
      </c>
      <c r="AD332" s="99" t="s">
        <v>939</v>
      </c>
      <c r="AE332" s="99">
        <v>500</v>
      </c>
      <c r="AF332" s="48" t="s">
        <v>1138</v>
      </c>
      <c r="AG332" s="48" t="s">
        <v>1138</v>
      </c>
      <c r="AH332" s="48" t="s">
        <v>1138</v>
      </c>
      <c r="AI332" s="48" t="s">
        <v>1138</v>
      </c>
      <c r="AJ332" s="89" t="s">
        <v>1138</v>
      </c>
      <c r="AK332" s="89" t="s">
        <v>1138</v>
      </c>
      <c r="AL332" s="49" t="s">
        <v>1138</v>
      </c>
      <c r="AM332" s="50" t="s">
        <v>1138</v>
      </c>
      <c r="AN332" s="50" t="s">
        <v>1138</v>
      </c>
      <c r="AO332" s="104">
        <v>46568</v>
      </c>
      <c r="AP332" s="52">
        <f>Table2[[#This Row],[تاريخ انتهاء رخصة السير هجري]]</f>
        <v>46568</v>
      </c>
      <c r="AQ332" s="53">
        <f ca="1">IF(Table2[[#This Row],[تاريخ انتهاء رخصة السير ميلادي]]="","",IFERROR(_xlfn.DAYS(Table2[[#This Row],[تاريخ انتهاء رخصة السير ميلادي]],TODAY()),""))</f>
        <v>308</v>
      </c>
      <c r="AR332" s="55">
        <f>Table2[[#This Row],[تاريخ انتهاء الفحص ميلادي]]</f>
        <v>45865</v>
      </c>
      <c r="AS332" s="117">
        <v>45865</v>
      </c>
      <c r="AT332" s="106">
        <f ca="1">IF(Table2[[#This Row],[تاريخ انتهاء الفحص ميلادي]]="","",IFERROR(_xlfn.DAYS(Table2[[#This Row],[تاريخ انتهاء الفحص ميلادي]],TODAY()),""))</f>
        <v>-395</v>
      </c>
      <c r="AU332" s="107"/>
      <c r="BG332" s="85"/>
    </row>
    <row r="333" spans="1:60" s="10" customFormat="1" x14ac:dyDescent="0.3">
      <c r="A333" s="39" t="s">
        <v>1126</v>
      </c>
      <c r="B333" s="39" t="s">
        <v>819</v>
      </c>
      <c r="C333" s="39" t="s">
        <v>1138</v>
      </c>
      <c r="D333" s="39" t="s">
        <v>420</v>
      </c>
      <c r="E333" s="39" t="s">
        <v>1138</v>
      </c>
      <c r="F333" s="58">
        <v>1064442229</v>
      </c>
      <c r="G333" s="122" t="s">
        <v>1165</v>
      </c>
      <c r="H333" s="100" t="s">
        <v>1166</v>
      </c>
      <c r="I333" s="101">
        <v>911789510</v>
      </c>
      <c r="J333" s="39" t="s">
        <v>613</v>
      </c>
      <c r="K333" s="95" t="s">
        <v>1167</v>
      </c>
      <c r="L333" s="95" t="s">
        <v>1168</v>
      </c>
      <c r="M333" s="96">
        <v>2016</v>
      </c>
      <c r="N333" s="95" t="s">
        <v>427</v>
      </c>
      <c r="O333" s="118" t="s">
        <v>1138</v>
      </c>
      <c r="P333" s="78" t="s">
        <v>1138</v>
      </c>
      <c r="Q333" s="39" t="s">
        <v>1138</v>
      </c>
      <c r="R333" s="124" t="s">
        <v>1138</v>
      </c>
      <c r="S333" s="124" t="s">
        <v>1138</v>
      </c>
      <c r="T333" s="124" t="s">
        <v>1138</v>
      </c>
      <c r="U333" s="42" t="s">
        <v>1138</v>
      </c>
      <c r="V333" s="98">
        <v>46387</v>
      </c>
      <c r="W333" s="97">
        <f ca="1">IF(Table2[[#This Row],[تاريخ انتهاء التأمين]]="","",IFERROR(_xlfn.DAYS(Table2[[#This Row],[تاريخ انتهاء التأمين]],TODAY()),""))</f>
        <v>127</v>
      </c>
      <c r="X333" s="42" t="s">
        <v>1138</v>
      </c>
      <c r="Y333" s="42" t="s">
        <v>1138</v>
      </c>
      <c r="Z333" s="42" t="s">
        <v>1138</v>
      </c>
      <c r="AA333" s="46" t="s">
        <v>1138</v>
      </c>
      <c r="AB333" s="46" t="s">
        <v>1138</v>
      </c>
      <c r="AC333" s="46" t="s">
        <v>1138</v>
      </c>
      <c r="AD333" s="46" t="s">
        <v>1138</v>
      </c>
      <c r="AE333" s="46" t="s">
        <v>1138</v>
      </c>
      <c r="AF333" s="48" t="s">
        <v>1138</v>
      </c>
      <c r="AG333" s="48" t="s">
        <v>1138</v>
      </c>
      <c r="AH333" s="48" t="s">
        <v>1138</v>
      </c>
      <c r="AI333" s="48" t="s">
        <v>1138</v>
      </c>
      <c r="AJ333" s="89" t="s">
        <v>1138</v>
      </c>
      <c r="AK333" s="89" t="s">
        <v>1138</v>
      </c>
      <c r="AL333" s="49" t="s">
        <v>1138</v>
      </c>
      <c r="AM333" s="50" t="s">
        <v>1138</v>
      </c>
      <c r="AN333" s="50" t="s">
        <v>1138</v>
      </c>
      <c r="AO333" s="104">
        <v>44988</v>
      </c>
      <c r="AP333" s="52">
        <f>Table2[[#This Row],[تاريخ انتهاء رخصة السير هجري]]</f>
        <v>44988</v>
      </c>
      <c r="AQ333" s="53">
        <f ca="1">IF(Table2[[#This Row],[تاريخ انتهاء رخصة السير ميلادي]]="","",IFERROR(_xlfn.DAYS(Table2[[#This Row],[تاريخ انتهاء رخصة السير ميلادي]],TODAY()),""))</f>
        <v>-1272</v>
      </c>
      <c r="AR333" s="131" t="s">
        <v>1137</v>
      </c>
      <c r="AS333" s="133" t="s">
        <v>1137</v>
      </c>
      <c r="AT333" s="133" t="s">
        <v>1137</v>
      </c>
      <c r="AU333" s="54" t="s">
        <v>1503</v>
      </c>
      <c r="BG333" s="85"/>
    </row>
    <row r="334" spans="1:60" s="10" customFormat="1" x14ac:dyDescent="0.3">
      <c r="A334" s="39" t="s">
        <v>1126</v>
      </c>
      <c r="B334" s="39" t="s">
        <v>819</v>
      </c>
      <c r="C334" s="39" t="s">
        <v>1138</v>
      </c>
      <c r="D334" s="39" t="s">
        <v>420</v>
      </c>
      <c r="E334" s="39" t="s">
        <v>1138</v>
      </c>
      <c r="F334" s="58">
        <v>1064442229</v>
      </c>
      <c r="G334" s="122" t="s">
        <v>1169</v>
      </c>
      <c r="H334" s="100" t="s">
        <v>1170</v>
      </c>
      <c r="I334" s="101">
        <v>514096410</v>
      </c>
      <c r="J334" s="39" t="s">
        <v>613</v>
      </c>
      <c r="K334" s="95" t="s">
        <v>614</v>
      </c>
      <c r="L334" s="95" t="s">
        <v>1171</v>
      </c>
      <c r="M334" s="96">
        <v>2016</v>
      </c>
      <c r="N334" s="95" t="s">
        <v>23</v>
      </c>
      <c r="O334" s="118" t="s">
        <v>1138</v>
      </c>
      <c r="P334" s="78" t="s">
        <v>1138</v>
      </c>
      <c r="Q334" s="39" t="s">
        <v>1138</v>
      </c>
      <c r="R334" s="124" t="s">
        <v>1138</v>
      </c>
      <c r="S334" s="124" t="s">
        <v>1138</v>
      </c>
      <c r="T334" s="124" t="s">
        <v>1138</v>
      </c>
      <c r="U334" s="42" t="s">
        <v>1138</v>
      </c>
      <c r="V334" s="98" t="s">
        <v>1138</v>
      </c>
      <c r="W334" s="43" t="s">
        <v>1138</v>
      </c>
      <c r="X334" s="42" t="s">
        <v>1138</v>
      </c>
      <c r="Y334" s="42" t="s">
        <v>1138</v>
      </c>
      <c r="Z334" s="42" t="s">
        <v>1138</v>
      </c>
      <c r="AA334" s="46" t="s">
        <v>1138</v>
      </c>
      <c r="AB334" s="46" t="s">
        <v>1138</v>
      </c>
      <c r="AC334" s="46" t="s">
        <v>1138</v>
      </c>
      <c r="AD334" s="46" t="s">
        <v>1138</v>
      </c>
      <c r="AE334" s="46" t="s">
        <v>1138</v>
      </c>
      <c r="AF334" s="48" t="s">
        <v>1138</v>
      </c>
      <c r="AG334" s="48" t="s">
        <v>1138</v>
      </c>
      <c r="AH334" s="48" t="s">
        <v>1138</v>
      </c>
      <c r="AI334" s="48" t="s">
        <v>1138</v>
      </c>
      <c r="AJ334" s="89" t="s">
        <v>1138</v>
      </c>
      <c r="AK334" s="89" t="s">
        <v>1138</v>
      </c>
      <c r="AL334" s="49" t="s">
        <v>1138</v>
      </c>
      <c r="AM334" s="50" t="s">
        <v>1138</v>
      </c>
      <c r="AN334" s="50" t="s">
        <v>1138</v>
      </c>
      <c r="AO334" s="104">
        <v>44395</v>
      </c>
      <c r="AP334" s="52">
        <f>Table2[[#This Row],[تاريخ انتهاء رخصة السير هجري]]</f>
        <v>44395</v>
      </c>
      <c r="AQ334" s="53">
        <f ca="1">IF(Table2[[#This Row],[تاريخ انتهاء رخصة السير ميلادي]]="","",IFERROR(_xlfn.DAYS(Table2[[#This Row],[تاريخ انتهاء رخصة السير ميلادي]],TODAY()),""))</f>
        <v>-1865</v>
      </c>
      <c r="AR334" s="131" t="s">
        <v>1137</v>
      </c>
      <c r="AS334" s="133" t="s">
        <v>1137</v>
      </c>
      <c r="AT334" s="133" t="s">
        <v>1137</v>
      </c>
      <c r="AU334" s="54" t="s">
        <v>1503</v>
      </c>
      <c r="BG334" s="85"/>
    </row>
    <row r="335" spans="1:60" s="10" customFormat="1" x14ac:dyDescent="0.3">
      <c r="A335" s="39" t="s">
        <v>1126</v>
      </c>
      <c r="B335" s="39" t="s">
        <v>1179</v>
      </c>
      <c r="C335" s="39" t="s">
        <v>1138</v>
      </c>
      <c r="D335" s="39" t="s">
        <v>1174</v>
      </c>
      <c r="E335" s="39" t="s">
        <v>1138</v>
      </c>
      <c r="F335" s="58" t="s">
        <v>1126</v>
      </c>
      <c r="G335" s="122" t="s">
        <v>1175</v>
      </c>
      <c r="H335" s="100" t="s">
        <v>1176</v>
      </c>
      <c r="I335" s="78" t="s">
        <v>1138</v>
      </c>
      <c r="J335" s="39" t="s">
        <v>613</v>
      </c>
      <c r="K335" s="95" t="s">
        <v>886</v>
      </c>
      <c r="L335" s="95" t="s">
        <v>1177</v>
      </c>
      <c r="M335" s="96">
        <v>2022</v>
      </c>
      <c r="N335" s="78" t="s">
        <v>1138</v>
      </c>
      <c r="O335" s="118" t="s">
        <v>1138</v>
      </c>
      <c r="P335" s="78" t="s">
        <v>1138</v>
      </c>
      <c r="Q335" s="39" t="s">
        <v>1138</v>
      </c>
      <c r="R335" s="124" t="s">
        <v>1138</v>
      </c>
      <c r="S335" s="124" t="s">
        <v>1138</v>
      </c>
      <c r="T335" s="124" t="s">
        <v>1138</v>
      </c>
      <c r="U335" s="42" t="s">
        <v>1138</v>
      </c>
      <c r="V335" s="43" t="s">
        <v>1138</v>
      </c>
      <c r="W335" s="43" t="s">
        <v>1138</v>
      </c>
      <c r="X335" s="42" t="s">
        <v>1138</v>
      </c>
      <c r="Y335" s="42" t="s">
        <v>1138</v>
      </c>
      <c r="Z335" s="42" t="s">
        <v>1138</v>
      </c>
      <c r="AA335" s="99">
        <v>1040807</v>
      </c>
      <c r="AB335" s="46" t="s">
        <v>1138</v>
      </c>
      <c r="AC335" s="75" t="s">
        <v>861</v>
      </c>
      <c r="AD335" s="75" t="s">
        <v>938</v>
      </c>
      <c r="AE335" s="83">
        <v>300</v>
      </c>
      <c r="AF335" s="48" t="s">
        <v>1138</v>
      </c>
      <c r="AG335" s="48" t="s">
        <v>1138</v>
      </c>
      <c r="AH335" s="48" t="s">
        <v>1138</v>
      </c>
      <c r="AI335" s="48" t="s">
        <v>1138</v>
      </c>
      <c r="AJ335" s="89" t="s">
        <v>1138</v>
      </c>
      <c r="AK335" s="89" t="s">
        <v>1138</v>
      </c>
      <c r="AL335" s="49" t="s">
        <v>1138</v>
      </c>
      <c r="AM335" s="50" t="s">
        <v>1138</v>
      </c>
      <c r="AN335" s="50" t="s">
        <v>1138</v>
      </c>
      <c r="AO335" s="84" t="s">
        <v>1138</v>
      </c>
      <c r="AP335" s="128" t="s">
        <v>1138</v>
      </c>
      <c r="AQ335" s="128" t="s">
        <v>1138</v>
      </c>
      <c r="AR335" s="132" t="s">
        <v>1138</v>
      </c>
      <c r="AS335" s="134" t="s">
        <v>1138</v>
      </c>
      <c r="AT335" s="134" t="s">
        <v>1138</v>
      </c>
      <c r="AU335" s="107"/>
      <c r="BG335" s="85"/>
    </row>
    <row r="336" spans="1:60" s="10" customFormat="1" x14ac:dyDescent="0.3">
      <c r="A336" s="39" t="s">
        <v>1126</v>
      </c>
      <c r="B336" s="39" t="s">
        <v>1184</v>
      </c>
      <c r="C336" s="39" t="s">
        <v>1138</v>
      </c>
      <c r="D336" s="39" t="s">
        <v>1194</v>
      </c>
      <c r="E336" s="39" t="s">
        <v>1138</v>
      </c>
      <c r="F336" s="58" t="s">
        <v>1126</v>
      </c>
      <c r="G336" s="122" t="s">
        <v>1195</v>
      </c>
      <c r="H336" s="100" t="s">
        <v>1196</v>
      </c>
      <c r="I336" s="78" t="s">
        <v>1138</v>
      </c>
      <c r="J336" s="39" t="s">
        <v>613</v>
      </c>
      <c r="K336" s="95" t="s">
        <v>674</v>
      </c>
      <c r="L336" s="95" t="s">
        <v>1197</v>
      </c>
      <c r="M336" s="96">
        <v>2023</v>
      </c>
      <c r="N336" s="78" t="s">
        <v>1138</v>
      </c>
      <c r="O336" s="118" t="s">
        <v>1138</v>
      </c>
      <c r="P336" s="78" t="s">
        <v>1138</v>
      </c>
      <c r="Q336" s="39" t="s">
        <v>1138</v>
      </c>
      <c r="R336" s="124" t="s">
        <v>1138</v>
      </c>
      <c r="S336" s="124" t="s">
        <v>1138</v>
      </c>
      <c r="T336" s="124" t="s">
        <v>1138</v>
      </c>
      <c r="U336" s="42" t="s">
        <v>1138</v>
      </c>
      <c r="V336" s="43" t="s">
        <v>1138</v>
      </c>
      <c r="W336" s="43" t="s">
        <v>1138</v>
      </c>
      <c r="X336" s="42" t="s">
        <v>1138</v>
      </c>
      <c r="Y336" s="42" t="s">
        <v>1138</v>
      </c>
      <c r="Z336" s="42" t="s">
        <v>1138</v>
      </c>
      <c r="AA336" s="99">
        <v>1042107</v>
      </c>
      <c r="AB336" s="46" t="s">
        <v>1138</v>
      </c>
      <c r="AC336" s="75" t="s">
        <v>861</v>
      </c>
      <c r="AD336" s="75" t="s">
        <v>938</v>
      </c>
      <c r="AE336" s="83">
        <v>300</v>
      </c>
      <c r="AF336" s="48" t="s">
        <v>1138</v>
      </c>
      <c r="AG336" s="48" t="s">
        <v>1138</v>
      </c>
      <c r="AH336" s="48" t="s">
        <v>1138</v>
      </c>
      <c r="AI336" s="48" t="s">
        <v>1138</v>
      </c>
      <c r="AJ336" s="89" t="s">
        <v>1138</v>
      </c>
      <c r="AK336" s="89" t="s">
        <v>1138</v>
      </c>
      <c r="AL336" s="49" t="s">
        <v>1138</v>
      </c>
      <c r="AM336" s="50" t="s">
        <v>1138</v>
      </c>
      <c r="AN336" s="50" t="s">
        <v>1138</v>
      </c>
      <c r="AO336" s="84" t="s">
        <v>1138</v>
      </c>
      <c r="AP336" s="128" t="s">
        <v>1138</v>
      </c>
      <c r="AQ336" s="128" t="s">
        <v>1138</v>
      </c>
      <c r="AR336" s="132" t="s">
        <v>1138</v>
      </c>
      <c r="AS336" s="134" t="s">
        <v>1138</v>
      </c>
      <c r="AT336" s="134" t="s">
        <v>1138</v>
      </c>
      <c r="AU336" s="107"/>
      <c r="BG336" s="85"/>
    </row>
    <row r="337" spans="1:59" s="10" customFormat="1" x14ac:dyDescent="0.3">
      <c r="A337" s="94" t="s">
        <v>19</v>
      </c>
      <c r="B337" s="95" t="s">
        <v>1193</v>
      </c>
      <c r="C337" s="95" t="s">
        <v>1187</v>
      </c>
      <c r="D337" s="95" t="s">
        <v>1508</v>
      </c>
      <c r="E337" s="39" t="s">
        <v>1138</v>
      </c>
      <c r="F337" s="58">
        <v>7025667531</v>
      </c>
      <c r="G337" s="122" t="s">
        <v>1509</v>
      </c>
      <c r="H337" s="100" t="s">
        <v>1510</v>
      </c>
      <c r="I337" s="78" t="s">
        <v>1138</v>
      </c>
      <c r="J337" s="39" t="s">
        <v>613</v>
      </c>
      <c r="K337" s="95" t="s">
        <v>614</v>
      </c>
      <c r="L337" s="95" t="s">
        <v>615</v>
      </c>
      <c r="M337" s="96">
        <v>2024</v>
      </c>
      <c r="N337" s="78" t="s">
        <v>1138</v>
      </c>
      <c r="O337" s="39" t="s">
        <v>1137</v>
      </c>
      <c r="P337" s="39" t="s">
        <v>1137</v>
      </c>
      <c r="Q337" s="39" t="s">
        <v>1137</v>
      </c>
      <c r="R337" s="124" t="s">
        <v>1137</v>
      </c>
      <c r="S337" s="124" t="s">
        <v>1137</v>
      </c>
      <c r="T337" s="124" t="s">
        <v>1137</v>
      </c>
      <c r="U337" s="42" t="s">
        <v>1138</v>
      </c>
      <c r="V337" s="43" t="s">
        <v>1138</v>
      </c>
      <c r="W337" s="43" t="s">
        <v>1138</v>
      </c>
      <c r="X337" s="42" t="s">
        <v>1138</v>
      </c>
      <c r="Y337" s="42" t="s">
        <v>1138</v>
      </c>
      <c r="Z337" s="42" t="s">
        <v>1138</v>
      </c>
      <c r="AA337" s="99">
        <v>883408</v>
      </c>
      <c r="AB337" s="99" t="s">
        <v>1511</v>
      </c>
      <c r="AC337" s="75" t="s">
        <v>861</v>
      </c>
      <c r="AD337" s="75" t="s">
        <v>938</v>
      </c>
      <c r="AE337" s="83">
        <v>1000</v>
      </c>
      <c r="AF337" s="48" t="s">
        <v>1138</v>
      </c>
      <c r="AG337" s="48" t="s">
        <v>1138</v>
      </c>
      <c r="AH337" s="48" t="s">
        <v>1138</v>
      </c>
      <c r="AI337" s="48" t="s">
        <v>1138</v>
      </c>
      <c r="AJ337" s="89" t="s">
        <v>1138</v>
      </c>
      <c r="AK337" s="89" t="s">
        <v>1138</v>
      </c>
      <c r="AL337" s="49" t="s">
        <v>1138</v>
      </c>
      <c r="AM337" s="50" t="s">
        <v>1138</v>
      </c>
      <c r="AN337" s="50" t="s">
        <v>1138</v>
      </c>
      <c r="AO337" s="84" t="s">
        <v>1138</v>
      </c>
      <c r="AP337" s="128" t="s">
        <v>1138</v>
      </c>
      <c r="AQ337" s="128" t="s">
        <v>1138</v>
      </c>
      <c r="AR337" s="132" t="s">
        <v>1138</v>
      </c>
      <c r="AS337" s="134" t="s">
        <v>1138</v>
      </c>
      <c r="AT337" s="134" t="s">
        <v>1138</v>
      </c>
      <c r="AU337" s="107"/>
      <c r="BG337" s="85"/>
    </row>
    <row r="339" spans="1:59" x14ac:dyDescent="0.3">
      <c r="F339" s="2"/>
      <c r="G339" s="3"/>
      <c r="AC339" s="2"/>
      <c r="AD339" s="3"/>
      <c r="AI339" s="2"/>
      <c r="AK339" s="1"/>
      <c r="AL339" s="1"/>
      <c r="AM339" s="1"/>
    </row>
    <row r="340" spans="1:59" x14ac:dyDescent="0.3">
      <c r="F340" s="2"/>
      <c r="G340" s="3"/>
      <c r="W340" s="1"/>
      <c r="X340" s="1"/>
      <c r="AI340" s="1"/>
      <c r="AJ340" s="1"/>
      <c r="AK340" s="1"/>
      <c r="AL340" s="1"/>
      <c r="AM340" s="1"/>
    </row>
    <row r="341" spans="1:59" x14ac:dyDescent="0.3">
      <c r="AE341" s="2"/>
    </row>
    <row r="342" spans="1:59" x14ac:dyDescent="0.3">
      <c r="R342" s="1" t="s">
        <v>1993</v>
      </c>
      <c r="AO342" s="25"/>
      <c r="AP342" s="1"/>
      <c r="AQ342" s="3"/>
      <c r="AR342" s="1"/>
    </row>
  </sheetData>
  <sheetProtection sort="0" autoFilter="0"/>
  <phoneticPr fontId="9" type="noConversion"/>
  <conditionalFormatting sqref="T3 T5 T7:T18 T20:T28 T30 T34 T36 T39 T41:T43 T45:T47 T49:T50 T52 T54:T56 T59 T62:T63 T66:T67 T70:T72 T74:T76 T78 T80:T81 T85 T87:T92 T95 T98:T101 T103:T104 T106 T108 T110:T111 T114:T120 T122:T123 T125 T127:T130 T132 T135:T136 T138:T146 T148 T153:T155 T158 T160:T170 T172 T176:T191 T193:T197 T199:T270 T272:T277 T284 T287:T289 T292:T307">
    <cfRule type="expression" dxfId="6" priority="1">
      <formula>AND(ISNUMBER(T3),T3&lt;=30)</formula>
    </cfRule>
  </conditionalFormatting>
  <conditionalFormatting sqref="W3:W291 W293:W307 W317:W318 W323:W324 W326 W328:W329 W333">
    <cfRule type="expression" dxfId="5" priority="2">
      <formula>AND(ISNUMBER(W3),W3&lt;=30)</formula>
    </cfRule>
  </conditionalFormatting>
  <conditionalFormatting sqref="AK3:AK32 AK34:AK157 AK199:AK265 AK272 AK278:AK285 AK287 AK290 AK292:AK294 AK299:AK301 AK305:AK306">
    <cfRule type="expression" dxfId="4" priority="3">
      <formula>AND(ISNUMBER(AK3),AK3&lt;=30)</formula>
    </cfRule>
  </conditionalFormatting>
  <conditionalFormatting sqref="AN3:AN22 AN24:AN25 AN27:AN44 AN46 AN48:AN157 AN199:AN265 AN290 AN292">
    <cfRule type="expression" dxfId="3" priority="4">
      <formula>AND(ISNUMBER(AN3),AN3&lt;=30)</formula>
    </cfRule>
  </conditionalFormatting>
  <conditionalFormatting sqref="AQ3:AQ281 AQ284 AQ286:AQ306 AQ313 AQ317:AQ318 AQ323:AQ324 AQ326 AQ328:AQ334">
    <cfRule type="expression" dxfId="2" priority="5">
      <formula>AND(ISNUMBER(AQ3),AQ3&lt;=30)</formula>
    </cfRule>
  </conditionalFormatting>
  <conditionalFormatting sqref="AT3:AT197 AT199:AT208 AT219:AT265 AT276:AT277 AT284 AT286:AT295 AT297:AT298 AT300 AT303 AT306 AT313 AT317:AT318 AT323:AT324 AT328:AT332">
    <cfRule type="expression" dxfId="1" priority="6">
      <formula>AND(ISNUMBER(AT3),AT3&lt;=30)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4BA87-3398-49E2-88F1-A1D922FED291}">
  <dimension ref="A1:S11"/>
  <sheetViews>
    <sheetView rightToLeft="1" workbookViewId="0">
      <pane ySplit="1" topLeftCell="A2" activePane="bottomLeft" state="frozen"/>
      <selection pane="bottomLeft" activeCell="E11" sqref="E11"/>
    </sheetView>
  </sheetViews>
  <sheetFormatPr defaultColWidth="8.77734375" defaultRowHeight="14.4" x14ac:dyDescent="0.3"/>
  <cols>
    <col min="1" max="1" width="13.88671875" bestFit="1" customWidth="1"/>
    <col min="2" max="2" width="23" bestFit="1" customWidth="1"/>
    <col min="3" max="3" width="26.5546875" bestFit="1" customWidth="1"/>
    <col min="4" max="4" width="11.21875" bestFit="1" customWidth="1"/>
    <col min="5" max="5" width="21" bestFit="1" customWidth="1"/>
    <col min="6" max="6" width="14.33203125" bestFit="1" customWidth="1"/>
    <col min="7" max="7" width="10.44140625" bestFit="1" customWidth="1"/>
    <col min="8" max="8" width="12.33203125" bestFit="1" customWidth="1"/>
  </cols>
  <sheetData>
    <row r="1" spans="1:19" s="1" customFormat="1" ht="15.6" x14ac:dyDescent="0.3">
      <c r="A1" s="29" t="s">
        <v>1515</v>
      </c>
      <c r="B1" s="30" t="s">
        <v>14</v>
      </c>
      <c r="C1" s="31" t="s">
        <v>1516</v>
      </c>
      <c r="D1" s="32" t="s">
        <v>1517</v>
      </c>
      <c r="E1" s="31" t="s">
        <v>1518</v>
      </c>
      <c r="F1" s="31" t="s">
        <v>1519</v>
      </c>
      <c r="G1" s="30" t="s">
        <v>750</v>
      </c>
      <c r="H1" s="30" t="s">
        <v>1520</v>
      </c>
      <c r="S1" s="3"/>
    </row>
    <row r="2" spans="1:19" x14ac:dyDescent="0.3">
      <c r="A2" s="24" t="s">
        <v>2009</v>
      </c>
      <c r="B2" s="16" t="s">
        <v>17</v>
      </c>
      <c r="C2" s="17" t="s">
        <v>2008</v>
      </c>
      <c r="D2" s="18">
        <v>46625</v>
      </c>
      <c r="E2" s="26">
        <f ca="1">_xlfn.DAYS(D2,TODAY())</f>
        <v>365</v>
      </c>
      <c r="F2" s="19" t="s">
        <v>1521</v>
      </c>
      <c r="G2" s="19" t="s">
        <v>998</v>
      </c>
      <c r="H2" s="21">
        <v>187500</v>
      </c>
    </row>
    <row r="3" spans="1:19" x14ac:dyDescent="0.3">
      <c r="A3" s="24" t="s">
        <v>2010</v>
      </c>
      <c r="B3" s="16" t="s">
        <v>17</v>
      </c>
      <c r="C3" s="19" t="s">
        <v>18</v>
      </c>
      <c r="D3" s="18">
        <v>46418</v>
      </c>
      <c r="E3" s="26">
        <f ca="1">_xlfn.DAYS(D3,TODAY())</f>
        <v>158</v>
      </c>
      <c r="F3" s="19" t="s">
        <v>1521</v>
      </c>
      <c r="G3" s="19" t="s">
        <v>998</v>
      </c>
      <c r="H3" s="21">
        <v>68817</v>
      </c>
    </row>
    <row r="4" spans="1:19" x14ac:dyDescent="0.3">
      <c r="A4" s="24" t="s">
        <v>1514</v>
      </c>
      <c r="B4" s="16" t="s">
        <v>17</v>
      </c>
      <c r="C4" s="19"/>
      <c r="D4" s="18">
        <v>46306</v>
      </c>
      <c r="E4" s="26">
        <f ca="1">_xlfn.DAYS(D4,TODAY())</f>
        <v>46</v>
      </c>
      <c r="F4" s="19" t="s">
        <v>1522</v>
      </c>
      <c r="G4" s="19" t="s">
        <v>998</v>
      </c>
      <c r="H4" s="21" t="s">
        <v>1523</v>
      </c>
    </row>
    <row r="11" spans="1:19" x14ac:dyDescent="0.3">
      <c r="H11" s="123"/>
    </row>
  </sheetData>
  <conditionalFormatting sqref="E2:E4">
    <cfRule type="expression" dxfId="0" priority="1">
      <formula>$E2&lt;=60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242F-6638-4C18-A25F-814730DEAD58}">
  <dimension ref="A1:R28"/>
  <sheetViews>
    <sheetView rightToLeft="1" zoomScaleNormal="100" workbookViewId="0">
      <pane ySplit="1" topLeftCell="A2" activePane="bottomLeft" state="frozen"/>
      <selection pane="bottomLeft" activeCell="D20" sqref="D20"/>
    </sheetView>
  </sheetViews>
  <sheetFormatPr defaultColWidth="13.44140625" defaultRowHeight="14.4" x14ac:dyDescent="0.3"/>
  <cols>
    <col min="1" max="1" width="13.44140625" style="1" bestFit="1" customWidth="1"/>
    <col min="2" max="2" width="12.6640625" style="1" bestFit="1" customWidth="1"/>
    <col min="3" max="3" width="29.6640625" style="1" customWidth="1"/>
    <col min="4" max="4" width="22.33203125" style="1" bestFit="1" customWidth="1"/>
    <col min="5" max="5" width="12.33203125" style="1" bestFit="1" customWidth="1"/>
    <col min="6" max="6" width="13.33203125" style="1" customWidth="1"/>
    <col min="7" max="7" width="14.77734375" style="2" customWidth="1"/>
    <col min="8" max="8" width="15.33203125" style="1" customWidth="1"/>
    <col min="9" max="9" width="13.44140625" style="1" customWidth="1"/>
    <col min="10" max="10" width="19.44140625" style="1" customWidth="1"/>
    <col min="11" max="11" width="18" style="1" customWidth="1"/>
    <col min="12" max="12" width="31" style="1" customWidth="1"/>
    <col min="13" max="13" width="73.109375" style="1" bestFit="1" customWidth="1"/>
    <col min="14" max="14" width="18" style="1" bestFit="1" customWidth="1"/>
    <col min="15" max="15" width="28.109375" style="1" bestFit="1" customWidth="1"/>
    <col min="16" max="16" width="13.77734375" style="1" bestFit="1" customWidth="1"/>
    <col min="17" max="17" width="16.44140625" style="15" bestFit="1" customWidth="1"/>
    <col min="18" max="18" width="9.33203125" style="1" bestFit="1" customWidth="1"/>
    <col min="19" max="19" width="16.44140625" style="1" bestFit="1" customWidth="1"/>
    <col min="20" max="20" width="9.33203125" style="1" bestFit="1" customWidth="1"/>
    <col min="21" max="16384" width="13.44140625" style="1"/>
  </cols>
  <sheetData>
    <row r="1" spans="1:18" s="34" customFormat="1" ht="15.6" x14ac:dyDescent="0.3">
      <c r="A1" s="27" t="s">
        <v>735</v>
      </c>
      <c r="B1" s="28" t="s">
        <v>736</v>
      </c>
      <c r="C1" s="28" t="s">
        <v>737</v>
      </c>
      <c r="D1" s="27" t="s">
        <v>738</v>
      </c>
      <c r="E1" s="27" t="s">
        <v>739</v>
      </c>
      <c r="F1" s="28" t="s">
        <v>740</v>
      </c>
      <c r="G1" s="33" t="s">
        <v>741</v>
      </c>
      <c r="H1" s="27" t="s">
        <v>742</v>
      </c>
      <c r="I1" s="27" t="s">
        <v>743</v>
      </c>
      <c r="J1" s="27" t="s">
        <v>744</v>
      </c>
      <c r="K1" s="28" t="s">
        <v>745</v>
      </c>
      <c r="L1" s="27" t="s">
        <v>746</v>
      </c>
      <c r="M1" s="28" t="s">
        <v>747</v>
      </c>
      <c r="N1" s="28" t="s">
        <v>903</v>
      </c>
      <c r="O1" s="28" t="s">
        <v>904</v>
      </c>
      <c r="P1" s="28" t="s">
        <v>748</v>
      </c>
      <c r="Q1" s="28" t="s">
        <v>749</v>
      </c>
      <c r="R1" s="28" t="s">
        <v>750</v>
      </c>
    </row>
    <row r="2" spans="1:18" x14ac:dyDescent="0.3">
      <c r="A2" s="4" t="s">
        <v>464</v>
      </c>
      <c r="B2" s="1" t="s">
        <v>751</v>
      </c>
      <c r="C2" s="1" t="s">
        <v>752</v>
      </c>
      <c r="D2" s="1" t="s">
        <v>753</v>
      </c>
      <c r="E2" s="1">
        <v>2325608988</v>
      </c>
      <c r="F2" s="5">
        <v>0</v>
      </c>
      <c r="G2" s="2">
        <v>45803</v>
      </c>
      <c r="H2" s="1" t="s">
        <v>754</v>
      </c>
      <c r="I2" s="1" t="s">
        <v>755</v>
      </c>
      <c r="J2" s="1" t="s">
        <v>756</v>
      </c>
      <c r="K2" s="1" t="s">
        <v>757</v>
      </c>
      <c r="L2" s="12" t="s">
        <v>15</v>
      </c>
      <c r="M2" s="1" t="s">
        <v>910</v>
      </c>
      <c r="N2" s="2">
        <v>46229</v>
      </c>
      <c r="O2" s="2">
        <v>46229</v>
      </c>
      <c r="P2" s="7">
        <v>14390.64</v>
      </c>
      <c r="Q2" s="6" t="s">
        <v>15</v>
      </c>
      <c r="R2" s="6" t="s">
        <v>758</v>
      </c>
    </row>
    <row r="3" spans="1:18" x14ac:dyDescent="0.3">
      <c r="A3" s="4" t="s">
        <v>532</v>
      </c>
      <c r="B3" s="1" t="s">
        <v>759</v>
      </c>
      <c r="C3" s="1" t="s">
        <v>760</v>
      </c>
      <c r="D3" s="1" t="s">
        <v>761</v>
      </c>
      <c r="E3" s="1">
        <v>2596356267</v>
      </c>
      <c r="F3" s="5">
        <v>0</v>
      </c>
      <c r="G3" s="2">
        <v>45903</v>
      </c>
      <c r="H3" s="1" t="s">
        <v>762</v>
      </c>
      <c r="I3" s="1">
        <v>6004155189</v>
      </c>
      <c r="J3" s="1" t="s">
        <v>763</v>
      </c>
      <c r="K3" s="1" t="s">
        <v>764</v>
      </c>
      <c r="L3" s="8" t="s">
        <v>912</v>
      </c>
      <c r="M3" s="1" t="s">
        <v>909</v>
      </c>
      <c r="N3" s="2">
        <v>46218</v>
      </c>
      <c r="O3" s="2">
        <v>46218</v>
      </c>
      <c r="P3" s="7">
        <v>73400</v>
      </c>
      <c r="Q3" s="9">
        <v>73400</v>
      </c>
      <c r="R3" s="6" t="s">
        <v>758</v>
      </c>
    </row>
    <row r="4" spans="1:18" x14ac:dyDescent="0.3">
      <c r="A4" s="4" t="s">
        <v>649</v>
      </c>
      <c r="B4" s="1" t="s">
        <v>765</v>
      </c>
      <c r="C4" s="1" t="s">
        <v>766</v>
      </c>
      <c r="D4" s="1" t="s">
        <v>767</v>
      </c>
      <c r="E4" s="1">
        <v>2558653974</v>
      </c>
      <c r="F4" s="5">
        <v>1</v>
      </c>
      <c r="G4" s="2">
        <v>45911</v>
      </c>
      <c r="H4" s="1" t="s">
        <v>754</v>
      </c>
      <c r="I4" s="1" t="s">
        <v>768</v>
      </c>
      <c r="J4" s="1">
        <v>30261</v>
      </c>
      <c r="K4" s="1" t="s">
        <v>769</v>
      </c>
      <c r="L4" s="12" t="s">
        <v>15</v>
      </c>
      <c r="M4" s="1" t="s">
        <v>911</v>
      </c>
      <c r="N4" s="2">
        <v>46229</v>
      </c>
      <c r="O4" s="2">
        <v>46229</v>
      </c>
      <c r="P4" s="7">
        <v>2268.7800000000002</v>
      </c>
      <c r="Q4" s="6" t="s">
        <v>15</v>
      </c>
      <c r="R4" s="9" t="s">
        <v>781</v>
      </c>
    </row>
    <row r="5" spans="1:18" x14ac:dyDescent="0.3">
      <c r="A5" s="4" t="s">
        <v>484</v>
      </c>
      <c r="B5" s="1" t="s">
        <v>751</v>
      </c>
      <c r="C5" s="1" t="s">
        <v>770</v>
      </c>
      <c r="D5" s="1" t="s">
        <v>771</v>
      </c>
      <c r="E5" s="1">
        <v>2165310059</v>
      </c>
      <c r="F5" s="5">
        <v>1</v>
      </c>
      <c r="G5" s="2">
        <v>45928</v>
      </c>
      <c r="H5" s="1" t="s">
        <v>754</v>
      </c>
      <c r="I5" s="1" t="s">
        <v>772</v>
      </c>
      <c r="J5" s="1" t="s">
        <v>773</v>
      </c>
      <c r="K5" s="1" t="s">
        <v>774</v>
      </c>
      <c r="L5" s="10" t="s">
        <v>775</v>
      </c>
      <c r="M5" s="1" t="s">
        <v>1131</v>
      </c>
      <c r="N5" s="2">
        <v>46233</v>
      </c>
      <c r="O5" s="2">
        <v>46233</v>
      </c>
      <c r="P5" s="7">
        <v>36758.6</v>
      </c>
      <c r="Q5" s="9">
        <v>26000</v>
      </c>
      <c r="R5" s="9" t="s">
        <v>781</v>
      </c>
    </row>
    <row r="6" spans="1:18" x14ac:dyDescent="0.3">
      <c r="A6" s="4" t="s">
        <v>490</v>
      </c>
      <c r="B6" s="1" t="s">
        <v>751</v>
      </c>
      <c r="C6" s="1" t="s">
        <v>770</v>
      </c>
      <c r="D6" s="1" t="s">
        <v>776</v>
      </c>
      <c r="E6" s="1">
        <v>2607295744</v>
      </c>
      <c r="F6" s="5">
        <v>0</v>
      </c>
      <c r="G6" s="2">
        <v>45980</v>
      </c>
      <c r="H6" s="1" t="s">
        <v>762</v>
      </c>
      <c r="I6" s="1">
        <v>6004303645</v>
      </c>
      <c r="J6" s="1" t="s">
        <v>777</v>
      </c>
      <c r="K6" s="1" t="s">
        <v>778</v>
      </c>
      <c r="L6" s="10" t="s">
        <v>779</v>
      </c>
      <c r="M6" s="1" t="s">
        <v>780</v>
      </c>
      <c r="N6" s="2">
        <v>46079</v>
      </c>
      <c r="O6" s="2">
        <v>46079</v>
      </c>
      <c r="P6" s="7">
        <v>5961.6</v>
      </c>
      <c r="Q6" s="9">
        <v>5961.6</v>
      </c>
      <c r="R6" s="9" t="s">
        <v>781</v>
      </c>
    </row>
    <row r="7" spans="1:18" ht="28.8" x14ac:dyDescent="0.3">
      <c r="A7" s="4" t="s">
        <v>782</v>
      </c>
      <c r="B7" s="1" t="s">
        <v>783</v>
      </c>
      <c r="C7" s="1" t="s">
        <v>770</v>
      </c>
      <c r="D7" s="11" t="s">
        <v>784</v>
      </c>
      <c r="E7" s="1">
        <v>2574755605</v>
      </c>
      <c r="F7" s="5" t="s">
        <v>15</v>
      </c>
      <c r="G7" s="2">
        <v>46033</v>
      </c>
      <c r="H7" s="5" t="s">
        <v>15</v>
      </c>
      <c r="I7" s="5" t="s">
        <v>15</v>
      </c>
      <c r="J7" s="5" t="s">
        <v>15</v>
      </c>
      <c r="K7" s="1" t="s">
        <v>774</v>
      </c>
      <c r="L7" s="12" t="s">
        <v>15</v>
      </c>
      <c r="M7" s="11" t="s">
        <v>785</v>
      </c>
      <c r="N7" s="2">
        <v>46147</v>
      </c>
      <c r="O7" s="2">
        <v>46147</v>
      </c>
      <c r="P7" s="7">
        <v>24790</v>
      </c>
      <c r="Q7" s="13" t="s">
        <v>786</v>
      </c>
      <c r="R7" s="9" t="s">
        <v>781</v>
      </c>
    </row>
    <row r="8" spans="1:18" x14ac:dyDescent="0.3">
      <c r="A8" s="4" t="s">
        <v>583</v>
      </c>
      <c r="B8" s="1" t="s">
        <v>759</v>
      </c>
      <c r="C8" s="1" t="s">
        <v>760</v>
      </c>
      <c r="D8" s="1" t="s">
        <v>787</v>
      </c>
      <c r="E8" s="1">
        <v>2596356812</v>
      </c>
      <c r="F8" s="5">
        <v>0</v>
      </c>
      <c r="G8" s="2">
        <v>46036</v>
      </c>
      <c r="H8" s="1" t="s">
        <v>754</v>
      </c>
      <c r="I8" s="1" t="s">
        <v>788</v>
      </c>
      <c r="J8" s="1" t="s">
        <v>789</v>
      </c>
      <c r="K8" s="1" t="s">
        <v>790</v>
      </c>
      <c r="L8" s="10" t="s">
        <v>791</v>
      </c>
      <c r="M8" s="1" t="s">
        <v>909</v>
      </c>
      <c r="N8" s="2">
        <v>46229</v>
      </c>
      <c r="O8" s="2">
        <v>46229</v>
      </c>
      <c r="P8" s="7">
        <v>11461.36</v>
      </c>
      <c r="Q8" s="9">
        <v>11461.36</v>
      </c>
      <c r="R8" s="6" t="s">
        <v>758</v>
      </c>
    </row>
    <row r="9" spans="1:18" x14ac:dyDescent="0.3">
      <c r="A9" s="4" t="s">
        <v>792</v>
      </c>
      <c r="B9" s="1" t="s">
        <v>765</v>
      </c>
      <c r="C9" s="1" t="s">
        <v>770</v>
      </c>
      <c r="D9" s="1" t="s">
        <v>793</v>
      </c>
      <c r="E9" s="1">
        <v>2552219772</v>
      </c>
      <c r="F9" s="5">
        <v>1</v>
      </c>
      <c r="G9" s="2">
        <v>46051</v>
      </c>
      <c r="H9" s="1" t="s">
        <v>754</v>
      </c>
      <c r="I9" s="1" t="s">
        <v>794</v>
      </c>
      <c r="J9" s="1" t="s">
        <v>795</v>
      </c>
      <c r="K9" s="1" t="s">
        <v>774</v>
      </c>
      <c r="L9" s="12" t="s">
        <v>15</v>
      </c>
      <c r="M9" s="1" t="s">
        <v>907</v>
      </c>
      <c r="N9" s="2">
        <v>46229</v>
      </c>
      <c r="O9" s="2">
        <v>46229</v>
      </c>
      <c r="P9" s="7">
        <v>9462.7800000000007</v>
      </c>
      <c r="Q9" s="6" t="s">
        <v>15</v>
      </c>
      <c r="R9" s="6" t="s">
        <v>758</v>
      </c>
    </row>
    <row r="10" spans="1:18" x14ac:dyDescent="0.3">
      <c r="A10" s="4" t="s">
        <v>601</v>
      </c>
      <c r="B10" s="1" t="s">
        <v>751</v>
      </c>
      <c r="C10" s="1" t="s">
        <v>760</v>
      </c>
      <c r="D10" s="1" t="s">
        <v>796</v>
      </c>
      <c r="E10" s="1">
        <v>2616439697</v>
      </c>
      <c r="F10" s="5">
        <v>0</v>
      </c>
      <c r="G10" s="2">
        <v>46141</v>
      </c>
      <c r="H10" s="1" t="s">
        <v>754</v>
      </c>
      <c r="I10" s="1" t="s">
        <v>797</v>
      </c>
      <c r="J10" s="1" t="s">
        <v>15</v>
      </c>
      <c r="K10" s="1" t="s">
        <v>15</v>
      </c>
      <c r="L10" s="1" t="s">
        <v>15</v>
      </c>
      <c r="M10" s="1" t="s">
        <v>798</v>
      </c>
      <c r="N10" s="2">
        <v>46141</v>
      </c>
      <c r="O10" s="2">
        <v>46141</v>
      </c>
      <c r="P10" s="7" t="s">
        <v>15</v>
      </c>
      <c r="Q10" s="9" t="s">
        <v>15</v>
      </c>
      <c r="R10" s="9" t="s">
        <v>781</v>
      </c>
    </row>
    <row r="11" spans="1:18" x14ac:dyDescent="0.3">
      <c r="A11" s="4" t="s">
        <v>458</v>
      </c>
      <c r="B11" s="1" t="s">
        <v>751</v>
      </c>
      <c r="C11" s="1" t="s">
        <v>752</v>
      </c>
      <c r="D11" s="1" t="s">
        <v>799</v>
      </c>
      <c r="E11" s="1">
        <v>2605874870</v>
      </c>
      <c r="F11" s="5">
        <v>1</v>
      </c>
      <c r="G11" s="2">
        <v>46143</v>
      </c>
      <c r="H11" s="1" t="s">
        <v>762</v>
      </c>
      <c r="I11" s="1">
        <v>6004607498</v>
      </c>
      <c r="J11" s="1" t="s">
        <v>15</v>
      </c>
      <c r="K11" s="1" t="s">
        <v>15</v>
      </c>
      <c r="L11" s="1" t="s">
        <v>15</v>
      </c>
      <c r="M11" s="1" t="s">
        <v>798</v>
      </c>
      <c r="N11" s="2">
        <v>46143</v>
      </c>
      <c r="O11" s="2">
        <v>46143</v>
      </c>
      <c r="P11" s="7" t="s">
        <v>15</v>
      </c>
      <c r="Q11" s="9" t="s">
        <v>15</v>
      </c>
      <c r="R11" s="9" t="s">
        <v>781</v>
      </c>
    </row>
    <row r="12" spans="1:18" x14ac:dyDescent="0.3">
      <c r="A12" s="4" t="s">
        <v>577</v>
      </c>
      <c r="B12" s="1" t="s">
        <v>751</v>
      </c>
      <c r="C12" s="1" t="s">
        <v>770</v>
      </c>
      <c r="D12" s="1" t="s">
        <v>15</v>
      </c>
      <c r="E12" s="1" t="s">
        <v>15</v>
      </c>
      <c r="F12" s="5" t="s">
        <v>15</v>
      </c>
      <c r="G12" s="2">
        <v>46160</v>
      </c>
      <c r="H12" s="1" t="s">
        <v>762</v>
      </c>
      <c r="I12" s="1">
        <v>4017086132</v>
      </c>
      <c r="J12" s="1" t="s">
        <v>15</v>
      </c>
      <c r="K12" s="1" t="s">
        <v>15</v>
      </c>
      <c r="L12" s="1" t="s">
        <v>15</v>
      </c>
      <c r="M12" s="1" t="s">
        <v>798</v>
      </c>
      <c r="N12" s="2">
        <v>46160</v>
      </c>
      <c r="O12" s="2">
        <v>46160</v>
      </c>
      <c r="P12" s="7" t="s">
        <v>15</v>
      </c>
      <c r="Q12" s="9" t="s">
        <v>15</v>
      </c>
      <c r="R12" s="9" t="s">
        <v>781</v>
      </c>
    </row>
    <row r="13" spans="1:18" x14ac:dyDescent="0.3">
      <c r="A13" s="4" t="s">
        <v>595</v>
      </c>
      <c r="B13" s="1" t="s">
        <v>759</v>
      </c>
      <c r="C13" s="1" t="s">
        <v>760</v>
      </c>
      <c r="D13" s="1" t="s">
        <v>15</v>
      </c>
      <c r="E13" s="1" t="s">
        <v>15</v>
      </c>
      <c r="F13" s="5" t="s">
        <v>15</v>
      </c>
      <c r="G13" s="2">
        <v>46167</v>
      </c>
      <c r="H13" s="1" t="s">
        <v>762</v>
      </c>
      <c r="I13" s="1">
        <v>6004652325</v>
      </c>
      <c r="J13" s="1" t="s">
        <v>15</v>
      </c>
      <c r="K13" s="1" t="s">
        <v>15</v>
      </c>
      <c r="L13" s="1" t="s">
        <v>15</v>
      </c>
      <c r="M13" s="1" t="s">
        <v>798</v>
      </c>
      <c r="N13" s="2">
        <v>46167</v>
      </c>
      <c r="O13" s="2">
        <v>46167</v>
      </c>
      <c r="P13" s="7" t="s">
        <v>15</v>
      </c>
      <c r="Q13" s="9" t="s">
        <v>15</v>
      </c>
      <c r="R13" s="9" t="s">
        <v>781</v>
      </c>
    </row>
    <row r="14" spans="1:18" x14ac:dyDescent="0.3">
      <c r="A14" s="4" t="s">
        <v>800</v>
      </c>
      <c r="B14" s="1" t="s">
        <v>759</v>
      </c>
      <c r="C14" s="1" t="s">
        <v>760</v>
      </c>
      <c r="D14" s="1" t="s">
        <v>15</v>
      </c>
      <c r="E14" s="1" t="s">
        <v>15</v>
      </c>
      <c r="F14" s="5" t="s">
        <v>15</v>
      </c>
      <c r="G14" s="2">
        <v>46174</v>
      </c>
      <c r="H14" s="1" t="s">
        <v>762</v>
      </c>
      <c r="I14" s="1">
        <v>6004664416</v>
      </c>
      <c r="J14" s="1" t="s">
        <v>15</v>
      </c>
      <c r="K14" s="1" t="s">
        <v>15</v>
      </c>
      <c r="L14" s="1" t="s">
        <v>15</v>
      </c>
      <c r="M14" s="1" t="s">
        <v>798</v>
      </c>
      <c r="N14" s="2">
        <v>46174</v>
      </c>
      <c r="O14" s="2">
        <v>46174</v>
      </c>
      <c r="P14" s="7" t="s">
        <v>15</v>
      </c>
      <c r="Q14" s="9" t="s">
        <v>15</v>
      </c>
      <c r="R14" s="9" t="s">
        <v>781</v>
      </c>
    </row>
    <row r="15" spans="1:18" x14ac:dyDescent="0.3">
      <c r="A15" s="4" t="s">
        <v>498</v>
      </c>
      <c r="B15" s="1" t="s">
        <v>751</v>
      </c>
      <c r="C15" s="1" t="s">
        <v>770</v>
      </c>
      <c r="D15" s="1" t="s">
        <v>15</v>
      </c>
      <c r="E15" s="1" t="s">
        <v>15</v>
      </c>
      <c r="F15" s="5" t="s">
        <v>15</v>
      </c>
      <c r="G15" s="2">
        <v>46182</v>
      </c>
      <c r="H15" s="1" t="s">
        <v>762</v>
      </c>
      <c r="I15" s="1">
        <v>4017275908</v>
      </c>
      <c r="J15" s="1" t="s">
        <v>15</v>
      </c>
      <c r="K15" s="1" t="s">
        <v>15</v>
      </c>
      <c r="L15" s="1" t="s">
        <v>15</v>
      </c>
      <c r="M15" s="1" t="s">
        <v>801</v>
      </c>
      <c r="N15" s="2">
        <v>46182</v>
      </c>
      <c r="O15" s="2">
        <v>46182</v>
      </c>
      <c r="P15" s="7" t="s">
        <v>15</v>
      </c>
      <c r="Q15" s="9" t="s">
        <v>15</v>
      </c>
      <c r="R15" s="9" t="s">
        <v>781</v>
      </c>
    </row>
    <row r="16" spans="1:18" x14ac:dyDescent="0.3">
      <c r="A16" s="4" t="s">
        <v>496</v>
      </c>
      <c r="B16" s="1" t="s">
        <v>751</v>
      </c>
      <c r="C16" s="1" t="s">
        <v>770</v>
      </c>
      <c r="D16" s="1" t="s">
        <v>802</v>
      </c>
      <c r="E16" s="1">
        <v>2308978341</v>
      </c>
      <c r="F16" s="5">
        <v>1</v>
      </c>
      <c r="G16" s="2">
        <v>46185</v>
      </c>
      <c r="H16" s="1" t="s">
        <v>762</v>
      </c>
      <c r="I16" s="1">
        <v>6004684216</v>
      </c>
      <c r="J16" s="1" t="s">
        <v>803</v>
      </c>
      <c r="K16" s="1" t="s">
        <v>774</v>
      </c>
      <c r="L16" s="12" t="s">
        <v>15</v>
      </c>
      <c r="M16" s="1" t="s">
        <v>907</v>
      </c>
      <c r="N16" s="2">
        <v>46229</v>
      </c>
      <c r="O16" s="2">
        <v>46229</v>
      </c>
      <c r="P16" s="14">
        <v>24055.24</v>
      </c>
      <c r="Q16" s="9" t="s">
        <v>15</v>
      </c>
      <c r="R16" s="6" t="s">
        <v>758</v>
      </c>
    </row>
    <row r="17" spans="1:18" x14ac:dyDescent="0.3">
      <c r="A17" s="4" t="s">
        <v>490</v>
      </c>
      <c r="B17" s="1" t="s">
        <v>751</v>
      </c>
      <c r="C17" s="1" t="s">
        <v>770</v>
      </c>
      <c r="D17" s="1" t="s">
        <v>776</v>
      </c>
      <c r="E17" s="1">
        <v>2607295744</v>
      </c>
      <c r="F17" s="5">
        <v>0.5</v>
      </c>
      <c r="G17" s="2">
        <v>46190</v>
      </c>
      <c r="H17" s="1" t="s">
        <v>754</v>
      </c>
      <c r="I17" s="1" t="s">
        <v>804</v>
      </c>
      <c r="J17" s="1" t="s">
        <v>805</v>
      </c>
      <c r="K17" s="1" t="s">
        <v>774</v>
      </c>
      <c r="L17" s="12" t="s">
        <v>15</v>
      </c>
      <c r="M17" s="1" t="s">
        <v>908</v>
      </c>
      <c r="N17" s="2">
        <v>46229</v>
      </c>
      <c r="O17" s="2">
        <v>46229</v>
      </c>
      <c r="P17" s="7">
        <v>13832.2</v>
      </c>
      <c r="Q17" s="9" t="s">
        <v>15</v>
      </c>
      <c r="R17" s="6" t="s">
        <v>758</v>
      </c>
    </row>
    <row r="18" spans="1:18" x14ac:dyDescent="0.3">
      <c r="A18" s="4" t="s">
        <v>556</v>
      </c>
      <c r="B18" s="1" t="s">
        <v>759</v>
      </c>
      <c r="C18" s="1" t="s">
        <v>760</v>
      </c>
      <c r="D18" s="1" t="s">
        <v>15</v>
      </c>
      <c r="E18" s="1" t="s">
        <v>15</v>
      </c>
      <c r="F18" s="5" t="s">
        <v>15</v>
      </c>
      <c r="G18" s="2">
        <v>46195</v>
      </c>
      <c r="H18" s="1" t="s">
        <v>762</v>
      </c>
      <c r="I18" s="1">
        <v>4017371170</v>
      </c>
      <c r="J18" s="1" t="s">
        <v>15</v>
      </c>
      <c r="K18" s="1" t="s">
        <v>15</v>
      </c>
      <c r="L18" s="1" t="s">
        <v>15</v>
      </c>
      <c r="M18" s="1" t="s">
        <v>801</v>
      </c>
      <c r="N18" s="2">
        <v>46195</v>
      </c>
      <c r="O18" s="2">
        <v>46195</v>
      </c>
      <c r="P18" s="7" t="s">
        <v>15</v>
      </c>
      <c r="Q18" s="9" t="s">
        <v>15</v>
      </c>
      <c r="R18" s="9" t="s">
        <v>781</v>
      </c>
    </row>
    <row r="19" spans="1:18" x14ac:dyDescent="0.3">
      <c r="A19" s="4" t="s">
        <v>562</v>
      </c>
      <c r="B19" s="1" t="s">
        <v>759</v>
      </c>
      <c r="C19" s="1" t="s">
        <v>760</v>
      </c>
      <c r="D19" s="1" t="s">
        <v>806</v>
      </c>
      <c r="E19" s="1">
        <v>2262246396</v>
      </c>
      <c r="F19" s="5">
        <v>0</v>
      </c>
      <c r="G19" s="2">
        <v>46196</v>
      </c>
      <c r="H19" s="1" t="s">
        <v>754</v>
      </c>
      <c r="I19" s="1" t="s">
        <v>807</v>
      </c>
      <c r="J19" s="1" t="s">
        <v>808</v>
      </c>
      <c r="K19" s="1" t="s">
        <v>809</v>
      </c>
      <c r="L19" s="1">
        <v>3790434</v>
      </c>
      <c r="M19" s="1" t="s">
        <v>909</v>
      </c>
      <c r="N19" s="2">
        <v>46224</v>
      </c>
      <c r="O19" s="2">
        <v>46224</v>
      </c>
      <c r="P19" s="7">
        <v>14358.44</v>
      </c>
      <c r="Q19" s="7">
        <v>14358.44</v>
      </c>
      <c r="R19" s="6" t="s">
        <v>758</v>
      </c>
    </row>
    <row r="20" spans="1:18" x14ac:dyDescent="0.3">
      <c r="A20" s="4" t="s">
        <v>647</v>
      </c>
      <c r="B20" s="1" t="s">
        <v>765</v>
      </c>
      <c r="C20" s="1" t="s">
        <v>810</v>
      </c>
      <c r="D20" s="1" t="s">
        <v>811</v>
      </c>
      <c r="E20" s="1">
        <v>2564919377</v>
      </c>
      <c r="F20" s="5">
        <v>0.5</v>
      </c>
      <c r="G20" s="2">
        <v>46199</v>
      </c>
      <c r="H20" s="1" t="s">
        <v>754</v>
      </c>
      <c r="I20" s="1" t="s">
        <v>812</v>
      </c>
      <c r="J20" s="1" t="s">
        <v>813</v>
      </c>
      <c r="K20" s="1" t="s">
        <v>790</v>
      </c>
      <c r="L20" s="6" t="s">
        <v>814</v>
      </c>
      <c r="M20" s="1" t="s">
        <v>1513</v>
      </c>
      <c r="N20" s="2">
        <v>46229</v>
      </c>
      <c r="O20" s="2">
        <v>46229</v>
      </c>
      <c r="P20" s="7" t="s">
        <v>15</v>
      </c>
      <c r="Q20" s="9" t="s">
        <v>15</v>
      </c>
      <c r="R20" s="9" t="s">
        <v>781</v>
      </c>
    </row>
    <row r="21" spans="1:18" x14ac:dyDescent="0.3">
      <c r="A21" s="4" t="s">
        <v>466</v>
      </c>
      <c r="B21" s="1" t="s">
        <v>751</v>
      </c>
      <c r="C21" s="1" t="s">
        <v>752</v>
      </c>
      <c r="D21" s="1" t="s">
        <v>815</v>
      </c>
      <c r="E21" s="1">
        <v>2386300707</v>
      </c>
      <c r="F21" s="5">
        <v>0</v>
      </c>
      <c r="G21" s="2">
        <v>46212</v>
      </c>
      <c r="H21" s="1" t="s">
        <v>754</v>
      </c>
      <c r="I21" s="1" t="s">
        <v>816</v>
      </c>
      <c r="J21" s="1" t="s">
        <v>15</v>
      </c>
      <c r="K21" s="1" t="s">
        <v>15</v>
      </c>
      <c r="L21" s="1" t="s">
        <v>15</v>
      </c>
      <c r="M21" s="1" t="s">
        <v>905</v>
      </c>
      <c r="N21" s="2">
        <v>46213</v>
      </c>
      <c r="O21" s="2">
        <v>46213</v>
      </c>
      <c r="P21" s="7" t="s">
        <v>15</v>
      </c>
      <c r="Q21" s="9" t="s">
        <v>15</v>
      </c>
      <c r="R21" s="9" t="s">
        <v>781</v>
      </c>
    </row>
    <row r="22" spans="1:18" x14ac:dyDescent="0.3">
      <c r="A22" s="4" t="s">
        <v>817</v>
      </c>
      <c r="B22" s="1" t="s">
        <v>759</v>
      </c>
      <c r="C22" s="1" t="s">
        <v>760</v>
      </c>
      <c r="D22" s="1" t="s">
        <v>900</v>
      </c>
      <c r="E22" s="1">
        <v>2616062622</v>
      </c>
      <c r="F22" s="5">
        <v>1</v>
      </c>
      <c r="G22" s="2">
        <v>46221</v>
      </c>
      <c r="H22" s="1" t="s">
        <v>754</v>
      </c>
      <c r="I22" s="1" t="s">
        <v>901</v>
      </c>
      <c r="J22" s="1" t="s">
        <v>15</v>
      </c>
      <c r="K22" s="1" t="s">
        <v>902</v>
      </c>
      <c r="L22" s="1" t="s">
        <v>15</v>
      </c>
      <c r="M22" s="1" t="s">
        <v>905</v>
      </c>
      <c r="N22" s="2">
        <v>46229</v>
      </c>
      <c r="O22" s="2">
        <v>46229</v>
      </c>
      <c r="P22" s="7" t="s">
        <v>15</v>
      </c>
      <c r="Q22" s="9" t="s">
        <v>15</v>
      </c>
      <c r="R22" s="9" t="s">
        <v>781</v>
      </c>
    </row>
    <row r="23" spans="1:18" x14ac:dyDescent="0.3">
      <c r="A23" s="4" t="s">
        <v>547</v>
      </c>
      <c r="B23" s="1" t="s">
        <v>759</v>
      </c>
      <c r="C23" s="1" t="s">
        <v>760</v>
      </c>
      <c r="D23" s="1" t="s">
        <v>906</v>
      </c>
      <c r="E23" s="1">
        <v>2596356812</v>
      </c>
      <c r="F23" s="5">
        <v>0</v>
      </c>
      <c r="G23" s="2">
        <v>46227</v>
      </c>
      <c r="H23" s="1" t="s">
        <v>754</v>
      </c>
      <c r="I23" s="1">
        <v>4017615433</v>
      </c>
      <c r="J23" s="1" t="s">
        <v>15</v>
      </c>
      <c r="K23" s="1" t="s">
        <v>902</v>
      </c>
      <c r="L23" s="1" t="s">
        <v>15</v>
      </c>
      <c r="M23" s="1" t="s">
        <v>905</v>
      </c>
      <c r="N23" s="2">
        <v>46229</v>
      </c>
      <c r="O23" s="2">
        <v>46229</v>
      </c>
      <c r="P23" s="7" t="s">
        <v>15</v>
      </c>
      <c r="Q23" s="9" t="s">
        <v>15</v>
      </c>
      <c r="R23" s="9" t="s">
        <v>781</v>
      </c>
    </row>
    <row r="24" spans="1:18" x14ac:dyDescent="0.3">
      <c r="A24" s="4" t="s">
        <v>595</v>
      </c>
      <c r="B24" s="1" t="s">
        <v>759</v>
      </c>
      <c r="C24" s="1" t="s">
        <v>760</v>
      </c>
      <c r="D24" s="1" t="s">
        <v>1505</v>
      </c>
      <c r="E24" s="1">
        <v>2583024712</v>
      </c>
      <c r="F24" s="87"/>
      <c r="G24" s="2">
        <v>46237</v>
      </c>
      <c r="H24" s="1" t="s">
        <v>762</v>
      </c>
      <c r="I24" s="1">
        <v>6004774885</v>
      </c>
      <c r="J24" s="86"/>
      <c r="K24" s="86"/>
      <c r="L24" s="86"/>
      <c r="M24" s="1" t="s">
        <v>1512</v>
      </c>
      <c r="N24" s="2">
        <v>46239</v>
      </c>
      <c r="O24" s="2">
        <v>46239</v>
      </c>
      <c r="P24" s="88"/>
      <c r="Q24" s="88"/>
      <c r="R24" s="6" t="s">
        <v>758</v>
      </c>
    </row>
    <row r="25" spans="1:18" x14ac:dyDescent="0.3">
      <c r="A25" s="4" t="s">
        <v>1482</v>
      </c>
      <c r="B25" s="1" t="s">
        <v>759</v>
      </c>
      <c r="C25" s="1" t="s">
        <v>760</v>
      </c>
      <c r="D25" s="1" t="s">
        <v>1483</v>
      </c>
      <c r="E25" s="1">
        <v>2616439804</v>
      </c>
      <c r="F25" s="5">
        <v>0</v>
      </c>
      <c r="G25" s="2">
        <v>46244</v>
      </c>
      <c r="H25" s="1" t="s">
        <v>754</v>
      </c>
      <c r="I25" s="1" t="s">
        <v>1484</v>
      </c>
      <c r="J25" s="1" t="s">
        <v>15</v>
      </c>
      <c r="K25" s="1" t="s">
        <v>902</v>
      </c>
      <c r="L25" s="1" t="s">
        <v>15</v>
      </c>
      <c r="M25" s="1" t="s">
        <v>905</v>
      </c>
      <c r="N25" s="2">
        <v>46246</v>
      </c>
      <c r="O25" s="2">
        <v>46246</v>
      </c>
      <c r="P25" s="7" t="s">
        <v>15</v>
      </c>
      <c r="Q25" s="9" t="s">
        <v>15</v>
      </c>
      <c r="R25" s="6" t="s">
        <v>758</v>
      </c>
    </row>
    <row r="26" spans="1:18" x14ac:dyDescent="0.3">
      <c r="A26" s="4" t="s">
        <v>470</v>
      </c>
      <c r="B26" s="1" t="s">
        <v>751</v>
      </c>
      <c r="C26" s="1" t="s">
        <v>752</v>
      </c>
      <c r="D26" s="1" t="s">
        <v>1504</v>
      </c>
      <c r="E26" s="1">
        <v>2564446751</v>
      </c>
      <c r="F26" s="86"/>
      <c r="G26" s="2">
        <v>46249</v>
      </c>
      <c r="H26" s="1" t="s">
        <v>762</v>
      </c>
      <c r="I26" s="1">
        <v>6004797177</v>
      </c>
      <c r="J26" s="86"/>
      <c r="K26" s="86"/>
      <c r="L26" s="86"/>
      <c r="M26" s="1" t="s">
        <v>1143</v>
      </c>
      <c r="N26" s="2">
        <v>46250</v>
      </c>
      <c r="O26" s="2">
        <v>46250</v>
      </c>
      <c r="P26" s="88"/>
      <c r="Q26" s="88"/>
      <c r="R26" s="6" t="s">
        <v>758</v>
      </c>
    </row>
    <row r="27" spans="1:18" x14ac:dyDescent="0.3">
      <c r="A27" s="4"/>
      <c r="F27" s="5"/>
      <c r="N27" s="2"/>
      <c r="O27" s="2"/>
      <c r="P27" s="14"/>
      <c r="Q27" s="14"/>
      <c r="R27" s="14"/>
    </row>
    <row r="28" spans="1:18" x14ac:dyDescent="0.3">
      <c r="A28" s="4"/>
      <c r="F28" s="5"/>
      <c r="P28" s="14"/>
      <c r="Q28" s="14"/>
      <c r="R28" s="1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E3CDBA6288CE438FD841C7F514E944" ma:contentTypeVersion="10" ma:contentTypeDescription="Create a new document." ma:contentTypeScope="" ma:versionID="53bbc406560cd274feb5769fc9b2e025">
  <xsd:schema xmlns:xsd="http://www.w3.org/2001/XMLSchema" xmlns:xs="http://www.w3.org/2001/XMLSchema" xmlns:p="http://schemas.microsoft.com/office/2006/metadata/properties" xmlns:ns2="c3303f9b-4baa-4077-a932-2e805a5afa58" xmlns:ns3="c6e9554a-c3a4-4771-9b2d-621dbc800f58" targetNamespace="http://schemas.microsoft.com/office/2006/metadata/properties" ma:root="true" ma:fieldsID="656420f9c50b004521c9f6d0698cbf1e" ns2:_="" ns3:_="">
    <xsd:import namespace="c3303f9b-4baa-4077-a932-2e805a5afa58"/>
    <xsd:import namespace="c6e9554a-c3a4-4771-9b2d-621dbc800f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303f9b-4baa-4077-a932-2e805a5af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fa8b44-31e6-4808-8223-34d59c529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9554a-c3a4-4771-9b2d-621dbc800f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b82a7c-b365-45c7-919e-03fcf4849def}" ma:internalName="TaxCatchAll" ma:showField="CatchAllData" ma:web="c6e9554a-c3a4-4771-9b2d-621dbc800f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e9554a-c3a4-4771-9b2d-621dbc800f58" xsi:nil="true"/>
    <lcf76f155ced4ddcb4097134ff3c332f xmlns="c3303f9b-4baa-4077-a932-2e805a5afa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8171F3-C1DE-4B9F-A044-42D3B94BCB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303f9b-4baa-4077-a932-2e805a5afa58"/>
    <ds:schemaRef ds:uri="c6e9554a-c3a4-4771-9b2d-621dbc800f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EC360D-6DAA-493D-BED0-AB1FC1DA74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622A54-CC6A-4B1C-97D4-655F5CB9209E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c3303f9b-4baa-4077-a932-2e805a5afa58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c6e9554a-c3a4-4771-9b2d-621dbc800f58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Vehicles</vt:lpstr>
      <vt:lpstr>وثائق عامة</vt:lpstr>
      <vt:lpstr>Accidents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energize-abdulaal</dc:creator>
  <cp:keywords/>
  <dc:description/>
  <cp:lastModifiedBy>Mohamed Abdelaal</cp:lastModifiedBy>
  <cp:revision/>
  <cp:lastPrinted>2026-08-18T08:38:38Z</cp:lastPrinted>
  <dcterms:created xsi:type="dcterms:W3CDTF">2015-06-05T18:17:20Z</dcterms:created>
  <dcterms:modified xsi:type="dcterms:W3CDTF">2026-08-26T07:46:58Z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0x01010011E3CDBA6288CE438FD841C7F514E944</vt:lpwstr>
  </property>
  <property fmtid="{D5CDD505-2E9C-101B-9397-08002B2CF9AE}" pid="3" name="MediaServiceImageTags">
    <vt:lpwstr/>
  </property>
</Properties>
</file>