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230819AB-2B73-443E-8036-447B726564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بطاقات السائقين" sheetId="1" r:id="rId1"/>
  </sheets>
  <externalReferences>
    <externalReference r:id="rId2"/>
  </externalReferences>
  <definedNames>
    <definedName name="_xlnm._FilterDatabase" localSheetId="0" hidden="1">'بطاقات السائقين'!$A$2:$H$396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" i="1"/>
  <c r="B1" i="1"/>
  <c r="C1" i="1"/>
  <c r="D1" i="1"/>
  <c r="E1" i="1"/>
  <c r="F1" i="1"/>
  <c r="G1" i="1"/>
  <c r="A1" i="1"/>
</calcChain>
</file>

<file path=xl/sharedStrings.xml><?xml version="1.0" encoding="utf-8"?>
<sst xmlns="http://schemas.openxmlformats.org/spreadsheetml/2006/main" count="2372" uniqueCount="914">
  <si>
    <t>الرقم الوظيفي</t>
  </si>
  <si>
    <t>الاسم</t>
  </si>
  <si>
    <t>رقم الهوية</t>
  </si>
  <si>
    <t>القسم</t>
  </si>
  <si>
    <t>توفّر البطاقة</t>
  </si>
  <si>
    <t>رقم البطاقة</t>
  </si>
  <si>
    <t>تاريخ الانتهاء</t>
  </si>
  <si>
    <t>1129</t>
  </si>
  <si>
    <t>رشيد عباس خان محمد</t>
  </si>
  <si>
    <t>النقل الثقيل</t>
  </si>
  <si>
    <t>يوجد</t>
  </si>
  <si>
    <t>11.00489218</t>
  </si>
  <si>
    <t>2026-09-07</t>
  </si>
  <si>
    <t>1046</t>
  </si>
  <si>
    <t>محمد أسعد خان محمد أشرف خان</t>
  </si>
  <si>
    <t>11.00344311</t>
  </si>
  <si>
    <t>2026-09-10</t>
  </si>
  <si>
    <t>1128</t>
  </si>
  <si>
    <t>mishal mollah</t>
  </si>
  <si>
    <t>11.00495295</t>
  </si>
  <si>
    <t>2026-09-21</t>
  </si>
  <si>
    <t>1102</t>
  </si>
  <si>
    <t>محمد داد</t>
  </si>
  <si>
    <t>11.00495278</t>
  </si>
  <si>
    <t>1116</t>
  </si>
  <si>
    <t>زمير احمد خان</t>
  </si>
  <si>
    <t>11.00495288</t>
  </si>
  <si>
    <t>1080</t>
  </si>
  <si>
    <t>محمد فاسيم عطا محمد مالك</t>
  </si>
  <si>
    <t>11.00495257</t>
  </si>
  <si>
    <t>1227</t>
  </si>
  <si>
    <t>واحد مبارك مبارك علي</t>
  </si>
  <si>
    <t>مطلوب</t>
  </si>
  <si>
    <t>11.00645319</t>
  </si>
  <si>
    <t>2026-09-25</t>
  </si>
  <si>
    <t>1218</t>
  </si>
  <si>
    <t>نصيب حسين محمد فضل</t>
  </si>
  <si>
    <t/>
  </si>
  <si>
    <t>11.00645308</t>
  </si>
  <si>
    <t>1049</t>
  </si>
  <si>
    <t>محمد بلال اشرف محمد اشرف</t>
  </si>
  <si>
    <t>11.00353928</t>
  </si>
  <si>
    <t>2026-09-28</t>
  </si>
  <si>
    <t>1147</t>
  </si>
  <si>
    <t>Sukhdev singh charanjit singh</t>
  </si>
  <si>
    <t>11.00503964</t>
  </si>
  <si>
    <t>2026-10-21</t>
  </si>
  <si>
    <t>3011</t>
  </si>
  <si>
    <t>JAMIR HUSSAIN CHOUDHURY</t>
  </si>
  <si>
    <t>11.00504043</t>
  </si>
  <si>
    <t>3015</t>
  </si>
  <si>
    <t>محمد عباس عبدالرحمن البدوى</t>
  </si>
  <si>
    <t>11.005044249999999</t>
  </si>
  <si>
    <t>2026-10-22</t>
  </si>
  <si>
    <t>3013</t>
  </si>
  <si>
    <t>مسعد صلاح الدين محمود احمد سعد</t>
  </si>
  <si>
    <t>11.00504423</t>
  </si>
  <si>
    <t>1038</t>
  </si>
  <si>
    <t>غفار احمد عبد ال غافور</t>
  </si>
  <si>
    <t>11.00287501</t>
  </si>
  <si>
    <t>2026-10-24</t>
  </si>
  <si>
    <t>3017</t>
  </si>
  <si>
    <t>أحمد السعيد احمد غانم</t>
  </si>
  <si>
    <t>11.00511093</t>
  </si>
  <si>
    <t>2026-11-05</t>
  </si>
  <si>
    <t>3018</t>
  </si>
  <si>
    <t>محمد رجب ابراهيم قطري</t>
  </si>
  <si>
    <t>11.00511097</t>
  </si>
  <si>
    <t>1051</t>
  </si>
  <si>
    <t>MUHAMMAD BILAL FAQIR MUHAMMAD</t>
  </si>
  <si>
    <t>11.00389435</t>
  </si>
  <si>
    <t>2026-11-07</t>
  </si>
  <si>
    <t>1149</t>
  </si>
  <si>
    <t>احمد عبدالباسط احمد حسن</t>
  </si>
  <si>
    <t>11.00520497</t>
  </si>
  <si>
    <t>2026-11-25</t>
  </si>
  <si>
    <t>1057</t>
  </si>
  <si>
    <t>KHALIL UR REHMAN JAMIL UR REHMAN KHAWAJA</t>
  </si>
  <si>
    <t>11.00386031</t>
  </si>
  <si>
    <t>2026-12-24</t>
  </si>
  <si>
    <t>1152</t>
  </si>
  <si>
    <t>طاهر محمود شودرى</t>
  </si>
  <si>
    <t>11.00537884</t>
  </si>
  <si>
    <t>2026-12-31</t>
  </si>
  <si>
    <t>1090</t>
  </si>
  <si>
    <t>محمد عظيم باتي</t>
  </si>
  <si>
    <t>11.00464988</t>
  </si>
  <si>
    <t>2027-01-03</t>
  </si>
  <si>
    <t>3021</t>
  </si>
  <si>
    <t>MUHAMMAD FAYYAZ AITEBAR KHAN</t>
  </si>
  <si>
    <t>11.00548086</t>
  </si>
  <si>
    <t>2027-01-22</t>
  </si>
  <si>
    <t>1058</t>
  </si>
  <si>
    <t>AHTSHAM HUSSAIN MANZOOR HUSSAIN</t>
  </si>
  <si>
    <t>11.00405858</t>
  </si>
  <si>
    <t>2027-02-08</t>
  </si>
  <si>
    <t>1040</t>
  </si>
  <si>
    <t>نور الدين احمد محمد</t>
  </si>
  <si>
    <t>11.00298192</t>
  </si>
  <si>
    <t>2027-02-15</t>
  </si>
  <si>
    <t>1115</t>
  </si>
  <si>
    <t>خالد سيد محمد ابوزيد</t>
  </si>
  <si>
    <t>11.00561597</t>
  </si>
  <si>
    <t>2027-02-20</t>
  </si>
  <si>
    <t>1229</t>
  </si>
  <si>
    <t>محمد ارسلان محمد مهدي</t>
  </si>
  <si>
    <t>59.00169604</t>
  </si>
  <si>
    <t>2027-02-25</t>
  </si>
  <si>
    <t>1070</t>
  </si>
  <si>
    <t>محمد ازهار امير محمد</t>
  </si>
  <si>
    <t>11.00428027</t>
  </si>
  <si>
    <t>2027-04-13</t>
  </si>
  <si>
    <t>3022</t>
  </si>
  <si>
    <t>راشد حسن</t>
  </si>
  <si>
    <t>11.00579928</t>
  </si>
  <si>
    <t>2027-04-14</t>
  </si>
  <si>
    <t>1066</t>
  </si>
  <si>
    <t>MUHAMMAD AJMAL KHAN</t>
  </si>
  <si>
    <t>11.00430446</t>
  </si>
  <si>
    <t>2027-04-17</t>
  </si>
  <si>
    <t>1061</t>
  </si>
  <si>
    <t>israr ul haq khan abbasi</t>
  </si>
  <si>
    <t>11.00430377</t>
  </si>
  <si>
    <t>1072</t>
  </si>
  <si>
    <t>شاهد اقبال محمد عنايت</t>
  </si>
  <si>
    <t>11.00430383</t>
  </si>
  <si>
    <t>1063</t>
  </si>
  <si>
    <t>محمد دلال فول مية</t>
  </si>
  <si>
    <t>11.00430386</t>
  </si>
  <si>
    <t>1060</t>
  </si>
  <si>
    <t>SOEEAM KHAN MUHAMMAD SAEED KHAN</t>
  </si>
  <si>
    <t>11.00430256</t>
  </si>
  <si>
    <t>3019</t>
  </si>
  <si>
    <t>خان عالم محمد</t>
  </si>
  <si>
    <t>11.00588906</t>
  </si>
  <si>
    <t>2027-05-04</t>
  </si>
  <si>
    <t>3001</t>
  </si>
  <si>
    <t>عمران دين شاه</t>
  </si>
  <si>
    <t>11.00589573</t>
  </si>
  <si>
    <t>2027-05-05</t>
  </si>
  <si>
    <t>3005</t>
  </si>
  <si>
    <t>BUKHT UALLH AZIZ GUL</t>
  </si>
  <si>
    <t>11.00589118</t>
  </si>
  <si>
    <t>3007</t>
  </si>
  <si>
    <t>عامر سهيل شوكت اقبال</t>
  </si>
  <si>
    <t>11.00589553</t>
  </si>
  <si>
    <t>3003</t>
  </si>
  <si>
    <t>علي رضا خان راء</t>
  </si>
  <si>
    <t>11.0058957</t>
  </si>
  <si>
    <t>3002</t>
  </si>
  <si>
    <t>عديل فريد غلام فريد</t>
  </si>
  <si>
    <t>11.00589563</t>
  </si>
  <si>
    <t>3004</t>
  </si>
  <si>
    <t>محمد بابا مختيار</t>
  </si>
  <si>
    <t>11.00589583</t>
  </si>
  <si>
    <t>3008</t>
  </si>
  <si>
    <t>matloob ali</t>
  </si>
  <si>
    <t>11.00589506</t>
  </si>
  <si>
    <t>3009</t>
  </si>
  <si>
    <t>شهباز مصطفي</t>
  </si>
  <si>
    <t>11.00589546</t>
  </si>
  <si>
    <t>3010</t>
  </si>
  <si>
    <t>موهد دانش</t>
  </si>
  <si>
    <t>11.00589599</t>
  </si>
  <si>
    <t>3012</t>
  </si>
  <si>
    <t>محمد احمد حمامه ابو زيد</t>
  </si>
  <si>
    <t>11.0058958</t>
  </si>
  <si>
    <t>3016</t>
  </si>
  <si>
    <t>محمود سامي هنداوى أبو عجيله</t>
  </si>
  <si>
    <t>11.00589596</t>
  </si>
  <si>
    <t>3014</t>
  </si>
  <si>
    <t>أحمد محمد السيد زيدان</t>
  </si>
  <si>
    <t>11.00589523</t>
  </si>
  <si>
    <t>1195</t>
  </si>
  <si>
    <t>MUHAMMAD ISMAIL GHULAM KHAN</t>
  </si>
  <si>
    <t>11.00592304</t>
  </si>
  <si>
    <t>2027-05-12</t>
  </si>
  <si>
    <t>1076</t>
  </si>
  <si>
    <t>محمد اسماعيل محمد اسماعيل</t>
  </si>
  <si>
    <t>11.00444963</t>
  </si>
  <si>
    <t>2027-05-19</t>
  </si>
  <si>
    <t>1077</t>
  </si>
  <si>
    <t>FIAZ HAIDER ABDUL LATIF</t>
  </si>
  <si>
    <t>11.00444958</t>
  </si>
  <si>
    <t>1069</t>
  </si>
  <si>
    <t>shafique ahmed khushi muhammad</t>
  </si>
  <si>
    <t>11.00444967</t>
  </si>
  <si>
    <t>1161</t>
  </si>
  <si>
    <t>مير دراز محمد فازيل</t>
  </si>
  <si>
    <t>11.00601006</t>
  </si>
  <si>
    <t>2027-06-10</t>
  </si>
  <si>
    <t>1194</t>
  </si>
  <si>
    <t>MUHAMMAD BILAL MUSHTAQ HUSSAIN</t>
  </si>
  <si>
    <t>11.00601001</t>
  </si>
  <si>
    <t>1041</t>
  </si>
  <si>
    <t>موداسا محمد إرشاد خان عباسي</t>
  </si>
  <si>
    <t>11.00289796</t>
  </si>
  <si>
    <t>2027-07-09</t>
  </si>
  <si>
    <t>1205</t>
  </si>
  <si>
    <t>حافظ عاسف يوسف محمد</t>
  </si>
  <si>
    <t>11.00625796</t>
  </si>
  <si>
    <t>2027-07-23</t>
  </si>
  <si>
    <t>1196</t>
  </si>
  <si>
    <t>BABUL MIAH</t>
  </si>
  <si>
    <t>11.00625784</t>
  </si>
  <si>
    <t>1160</t>
  </si>
  <si>
    <t>محمد خالد محمد احمد</t>
  </si>
  <si>
    <t>11.00625781</t>
  </si>
  <si>
    <t>1089</t>
  </si>
  <si>
    <t>محمد حمزه ممتاز احمد</t>
  </si>
  <si>
    <t>11.00469534</t>
  </si>
  <si>
    <t>2027-07-27</t>
  </si>
  <si>
    <t>1039</t>
  </si>
  <si>
    <t>غفران محمد حنيف</t>
  </si>
  <si>
    <t>11.00287504</t>
  </si>
  <si>
    <t>2027-08-20</t>
  </si>
  <si>
    <t>1078</t>
  </si>
  <si>
    <t>عاطف عباسي محمد الطاف عباسى</t>
  </si>
  <si>
    <t>11.00482048</t>
  </si>
  <si>
    <t>2027-08-21</t>
  </si>
  <si>
    <t>1047</t>
  </si>
  <si>
    <t>سعيد اقبال رجاء محمد افضل</t>
  </si>
  <si>
    <t>11.00382582</t>
  </si>
  <si>
    <t>2027-08-24</t>
  </si>
  <si>
    <t>1050</t>
  </si>
  <si>
    <t>محمد عاضد عزيز عبدالعزيز</t>
  </si>
  <si>
    <t>11.0035195</t>
  </si>
  <si>
    <t>1217</t>
  </si>
  <si>
    <t>MOHD KAMARVEJ MEHFOOJ</t>
  </si>
  <si>
    <t>11.00645422</t>
  </si>
  <si>
    <t>2027-08-26</t>
  </si>
  <si>
    <t>1133</t>
  </si>
  <si>
    <t>رضا شعبان محمد ابو حشيش</t>
  </si>
  <si>
    <t>11.00487779</t>
  </si>
  <si>
    <t>2027-09-02</t>
  </si>
  <si>
    <t>1079</t>
  </si>
  <si>
    <t>شكيل احمد محمد خان</t>
  </si>
  <si>
    <t>11.00487768</t>
  </si>
  <si>
    <t>1226</t>
  </si>
  <si>
    <t>مآثر خالد المحمدي</t>
  </si>
  <si>
    <t>الموارد البشرية</t>
  </si>
  <si>
    <t>184</t>
  </si>
  <si>
    <t>نورهان فراج السيد فراج</t>
  </si>
  <si>
    <t>المالية</t>
  </si>
  <si>
    <t>1004</t>
  </si>
  <si>
    <t>احمد عبدالحميد علي عبدالحميد</t>
  </si>
  <si>
    <t>1145</t>
  </si>
  <si>
    <t>Md Tariqul lslam</t>
  </si>
  <si>
    <t>B2C</t>
  </si>
  <si>
    <t>1193</t>
  </si>
  <si>
    <t>MUHAMMAD IKRAM MUHAMMAD BASHIR</t>
  </si>
  <si>
    <t>1026</t>
  </si>
  <si>
    <t>MD ARSHED ALI</t>
  </si>
  <si>
    <t>1091</t>
  </si>
  <si>
    <t>ابراهيم ابو قاسم احمد قاسم</t>
  </si>
  <si>
    <t>1048</t>
  </si>
  <si>
    <t>MUHAMMAD WASEEM AKRAM MUHAMMAD AKRAM ALI</t>
  </si>
  <si>
    <t>1036</t>
  </si>
  <si>
    <t>SARIFUL ISLAM</t>
  </si>
  <si>
    <t>1188</t>
  </si>
  <si>
    <t>KHAYRUL ISLAM</t>
  </si>
  <si>
    <t>1137</t>
  </si>
  <si>
    <t>عبد الخالق نجاح سعد سرور</t>
  </si>
  <si>
    <t>1126</t>
  </si>
  <si>
    <t>محمود عبد السميع محمود الرويني</t>
  </si>
  <si>
    <t>1166</t>
  </si>
  <si>
    <t>محمد محمد عبدالله احمد</t>
  </si>
  <si>
    <t>1183</t>
  </si>
  <si>
    <t>SHOFIKUL ISLAM SHIPON</t>
  </si>
  <si>
    <t>1201</t>
  </si>
  <si>
    <t>Zeeshan Akram</t>
  </si>
  <si>
    <t>1159</t>
  </si>
  <si>
    <t>MD RAKIBUL SHIKDER</t>
  </si>
  <si>
    <t>1178</t>
  </si>
  <si>
    <t>Mirazul Islam</t>
  </si>
  <si>
    <t>1184</t>
  </si>
  <si>
    <t>Sajjad uz Islam Zaman</t>
  </si>
  <si>
    <t>1190</t>
  </si>
  <si>
    <t>Md Sidur Rahman</t>
  </si>
  <si>
    <t>1187</t>
  </si>
  <si>
    <t>Md Roni Hossain</t>
  </si>
  <si>
    <t>2007</t>
  </si>
  <si>
    <t>محمد أحمد فوزى أبوعجور</t>
  </si>
  <si>
    <t>2012</t>
  </si>
  <si>
    <t>محمد رميح محمد رميح</t>
  </si>
  <si>
    <t>2029</t>
  </si>
  <si>
    <t>MANSUR MIAH</t>
  </si>
  <si>
    <t>2036</t>
  </si>
  <si>
    <t>محمد حسان احمد عبدالكريم</t>
  </si>
  <si>
    <t>بدون مشروع</t>
  </si>
  <si>
    <t>2054</t>
  </si>
  <si>
    <t>MUHAMMAD AJMAL</t>
  </si>
  <si>
    <t>105</t>
  </si>
  <si>
    <t>محمد ظفار الله محمد</t>
  </si>
  <si>
    <t>غير مطلوب</t>
  </si>
  <si>
    <t>عزالدين محمد محمود حسن</t>
  </si>
  <si>
    <t>101</t>
  </si>
  <si>
    <t>MD SHEMUL HOSSAIN</t>
  </si>
  <si>
    <t>103</t>
  </si>
  <si>
    <t>MD Rakib Hossen</t>
  </si>
  <si>
    <t>102</t>
  </si>
  <si>
    <t>محمد ريزول جنات مران</t>
  </si>
  <si>
    <t>108</t>
  </si>
  <si>
    <t>Jahid molla</t>
  </si>
  <si>
    <t>106</t>
  </si>
  <si>
    <t>محمد روبين شيخ</t>
  </si>
  <si>
    <t>110</t>
  </si>
  <si>
    <t>MD Sajid AHMED</t>
  </si>
  <si>
    <t>104</t>
  </si>
  <si>
    <t>MD Mahfuzur Rohman</t>
  </si>
  <si>
    <t>النقل الخفيف</t>
  </si>
  <si>
    <t>100</t>
  </si>
  <si>
    <t>Jahidul Islam</t>
  </si>
  <si>
    <t>112</t>
  </si>
  <si>
    <t>Md Rostum ali</t>
  </si>
  <si>
    <t>113</t>
  </si>
  <si>
    <t>MD Yousuf Hossain Masum</t>
  </si>
  <si>
    <t>181</t>
  </si>
  <si>
    <t>عبدالظاهر سيداحمد حسانى</t>
  </si>
  <si>
    <t>109</t>
  </si>
  <si>
    <t>Rayhan Ahmed Ahmed</t>
  </si>
  <si>
    <t>114</t>
  </si>
  <si>
    <t>mosharaf hossain</t>
  </si>
  <si>
    <t>107</t>
  </si>
  <si>
    <t>يتون شاندره داش</t>
  </si>
  <si>
    <t>111</t>
  </si>
  <si>
    <t>ال امين حسن</t>
  </si>
  <si>
    <t>118</t>
  </si>
  <si>
    <t>نوريجامان بابلو</t>
  </si>
  <si>
    <t>117</t>
  </si>
  <si>
    <t>احمد محمود أحمد زيدان</t>
  </si>
  <si>
    <t>119</t>
  </si>
  <si>
    <t>محمود ابراهيم سعد عويس</t>
  </si>
  <si>
    <t>116</t>
  </si>
  <si>
    <t>SHAMIN MIA</t>
  </si>
  <si>
    <t>178</t>
  </si>
  <si>
    <t>MD MOEEN UDDIN</t>
  </si>
  <si>
    <t>166</t>
  </si>
  <si>
    <t>SHEKH TAMEEM</t>
  </si>
  <si>
    <t>180</t>
  </si>
  <si>
    <t>JUBAYER ABDULLAH</t>
  </si>
  <si>
    <t>164</t>
  </si>
  <si>
    <t>KAMAR EL HASSAN</t>
  </si>
  <si>
    <t>115</t>
  </si>
  <si>
    <t>ASADUL ISLAM</t>
  </si>
  <si>
    <t>179</t>
  </si>
  <si>
    <t>AL AMIN 2</t>
  </si>
  <si>
    <t>167</t>
  </si>
  <si>
    <t>PADEL OHASEN</t>
  </si>
  <si>
    <t>168</t>
  </si>
  <si>
    <t>MD mahamedul hashan</t>
  </si>
  <si>
    <t>163</t>
  </si>
  <si>
    <t>abdelhamid</t>
  </si>
  <si>
    <t>162</t>
  </si>
  <si>
    <t>HASINUR ISLAM BADON</t>
  </si>
  <si>
    <t>165</t>
  </si>
  <si>
    <t>hridoy chandra</t>
  </si>
  <si>
    <t>169</t>
  </si>
  <si>
    <t>MD BARAKAT ULLAH</t>
  </si>
  <si>
    <t>170</t>
  </si>
  <si>
    <t>مصطفي محمود احمد سعيد</t>
  </si>
  <si>
    <t>158</t>
  </si>
  <si>
    <t>مسعود سرتاج خان</t>
  </si>
  <si>
    <t>ادارة B2C</t>
  </si>
  <si>
    <t>146</t>
  </si>
  <si>
    <t>خالد عبدالسلام عباس عبدالسلام</t>
  </si>
  <si>
    <t>174</t>
  </si>
  <si>
    <t>Md Arif Hossain</t>
  </si>
  <si>
    <t>176</t>
  </si>
  <si>
    <t>Md Rasel Hossain</t>
  </si>
  <si>
    <t>172</t>
  </si>
  <si>
    <t>قمر الحسن</t>
  </si>
  <si>
    <t>177</t>
  </si>
  <si>
    <t>مد زاكير اوسين</t>
  </si>
  <si>
    <t>175</t>
  </si>
  <si>
    <t>محمد مياه</t>
  </si>
  <si>
    <t>173</t>
  </si>
  <si>
    <t>مد صلاح الدين</t>
  </si>
  <si>
    <t>160</t>
  </si>
  <si>
    <t>لقمان حسين</t>
  </si>
  <si>
    <t>131</t>
  </si>
  <si>
    <t>محمد موسى عبدالرزاق قطب</t>
  </si>
  <si>
    <t>التشغيل</t>
  </si>
  <si>
    <t>127</t>
  </si>
  <si>
    <t>فتحي محمد خميس عتمان</t>
  </si>
  <si>
    <t>الصيانة</t>
  </si>
  <si>
    <t>129</t>
  </si>
  <si>
    <t>محمد بهاء عبدالفتاح فوده</t>
  </si>
  <si>
    <t>1231</t>
  </si>
  <si>
    <t>ناريمان زكريا محمد محمد</t>
  </si>
  <si>
    <t>149</t>
  </si>
  <si>
    <t>مسعود عبد رزاق</t>
  </si>
  <si>
    <t>198</t>
  </si>
  <si>
    <t>رجب على على ابراهيم</t>
  </si>
  <si>
    <t>157</t>
  </si>
  <si>
    <t>ادهم كريم محمد يوسف</t>
  </si>
  <si>
    <t>1148</t>
  </si>
  <si>
    <t>محمد حسن احمد عوض</t>
  </si>
  <si>
    <t>1154</t>
  </si>
  <si>
    <t>محمد شريف صفوت سعد</t>
  </si>
  <si>
    <t>1002</t>
  </si>
  <si>
    <t>محمود كمال يحي محمدين</t>
  </si>
  <si>
    <t>1056</t>
  </si>
  <si>
    <t>محمود محمد حمدى احمد</t>
  </si>
  <si>
    <t>1151</t>
  </si>
  <si>
    <t>محمود ابوعقيل محمد احمد</t>
  </si>
  <si>
    <t>1001</t>
  </si>
  <si>
    <t>محمد مصطفي علي يوسف</t>
  </si>
  <si>
    <t>1003</t>
  </si>
  <si>
    <t>مرسي حسن حسن فرحات</t>
  </si>
  <si>
    <t>1074</t>
  </si>
  <si>
    <t>علاء عادل محمد عبدالسلام</t>
  </si>
  <si>
    <t>1135</t>
  </si>
  <si>
    <t>احمد حماده احمد الطاهري</t>
  </si>
  <si>
    <t>1020</t>
  </si>
  <si>
    <t>MOZIBUL ISLAM MUZIB</t>
  </si>
  <si>
    <t>1019</t>
  </si>
  <si>
    <t>MD SHOHAN ALI</t>
  </si>
  <si>
    <t>1017</t>
  </si>
  <si>
    <t>MD ARIFUR RAHMAN</t>
  </si>
  <si>
    <t>1018</t>
  </si>
  <si>
    <t>MD BELAL HOSEN</t>
  </si>
  <si>
    <t>1005</t>
  </si>
  <si>
    <t>عبدالحليم عبدالفتاح رجب عبدالرازق</t>
  </si>
  <si>
    <t>1016</t>
  </si>
  <si>
    <t>MD ARIF</t>
  </si>
  <si>
    <t>1022</t>
  </si>
  <si>
    <t>ابراهيم علي عبدالمنعم الاجهوري</t>
  </si>
  <si>
    <t>1144</t>
  </si>
  <si>
    <t>MD ROBIN MIA</t>
  </si>
  <si>
    <t>1142</t>
  </si>
  <si>
    <t>Md Abdul Mazed</t>
  </si>
  <si>
    <t>1143</t>
  </si>
  <si>
    <t>Md Anamul Majnu</t>
  </si>
  <si>
    <t>1211</t>
  </si>
  <si>
    <t>Muhammad Arsenal Ahmed</t>
  </si>
  <si>
    <t>1156</t>
  </si>
  <si>
    <t>احمر علي محمد اسلم</t>
  </si>
  <si>
    <t>1120</t>
  </si>
  <si>
    <t>Muhammad Anas Ali</t>
  </si>
  <si>
    <t>1027</t>
  </si>
  <si>
    <t>MD MAHMUDULLAH HASAN EMON</t>
  </si>
  <si>
    <t>1007</t>
  </si>
  <si>
    <t>حسام الدين مدحت عبدالمعطي عبدالله</t>
  </si>
  <si>
    <t>1182</t>
  </si>
  <si>
    <t>احمد السيد السيد البوهى</t>
  </si>
  <si>
    <t>1117</t>
  </si>
  <si>
    <t>فايز عبدالهادي عبدالفتاح الشرقاوي</t>
  </si>
  <si>
    <t>1014</t>
  </si>
  <si>
    <t>FAIZAN ALI MUHAMMAD NAZIR AHMAD</t>
  </si>
  <si>
    <t>1010</t>
  </si>
  <si>
    <t>احمد عبدالعظيم محمد عبدالسيد</t>
  </si>
  <si>
    <t>1025</t>
  </si>
  <si>
    <t>ANTOR MIA MD ABDUL HELIM</t>
  </si>
  <si>
    <t>1021</t>
  </si>
  <si>
    <t>TANVEER AHMAD SHAFI AHMAD</t>
  </si>
  <si>
    <t>1012</t>
  </si>
  <si>
    <t>AFAQ AHMED MUHAMMAD SAFDAR</t>
  </si>
  <si>
    <t>1015</t>
  </si>
  <si>
    <t>HAMID ALI ARSHAD MEHMOOD</t>
  </si>
  <si>
    <t>1037</t>
  </si>
  <si>
    <t>حفيظ الله صاحب خان</t>
  </si>
  <si>
    <t>1031</t>
  </si>
  <si>
    <t>SHAHZAD AHMAD IRSHAD ULLAH</t>
  </si>
  <si>
    <t>1013</t>
  </si>
  <si>
    <t>AMEER HAMZA RASHID MEHMOOD</t>
  </si>
  <si>
    <t>1030</t>
  </si>
  <si>
    <t>QASIR SHABBIR SHABBIR AHMED</t>
  </si>
  <si>
    <t>1009</t>
  </si>
  <si>
    <t>حسام مصطفى عباس الحوفى</t>
  </si>
  <si>
    <t>التحصيل</t>
  </si>
  <si>
    <t>1028</t>
  </si>
  <si>
    <t>MOHAMMAD ALI ROJAN ALI</t>
  </si>
  <si>
    <t>1029</t>
  </si>
  <si>
    <t>NAGAR SK</t>
  </si>
  <si>
    <t>1042</t>
  </si>
  <si>
    <t>كريم محمد عثمان عبدالجواد نوار</t>
  </si>
  <si>
    <t>1095</t>
  </si>
  <si>
    <t>حسين حسن عرفات شعفه</t>
  </si>
  <si>
    <t>1006</t>
  </si>
  <si>
    <t>محمد رضا محمد عبدالعال</t>
  </si>
  <si>
    <t>1024</t>
  </si>
  <si>
    <t>وائل عبدالعزيز عبدالحليم مصطفي</t>
  </si>
  <si>
    <t>1123</t>
  </si>
  <si>
    <t>Hammad Ali Muhammad Boota</t>
  </si>
  <si>
    <t>1033</t>
  </si>
  <si>
    <t>MURSAD SK</t>
  </si>
  <si>
    <t>1034</t>
  </si>
  <si>
    <t>NASIR SK KARIM SK</t>
  </si>
  <si>
    <t>1035</t>
  </si>
  <si>
    <t>SABUJ SK INSAN SK</t>
  </si>
  <si>
    <t>1023</t>
  </si>
  <si>
    <t>محمد عصام الدين عبدالرحيم جاسر</t>
  </si>
  <si>
    <t>1011</t>
  </si>
  <si>
    <t>احمد محمود عبدالرزاق عبدالهادي</t>
  </si>
  <si>
    <t>1043</t>
  </si>
  <si>
    <t>LADEN SEKH KAFIRUL SEKH</t>
  </si>
  <si>
    <t>1044</t>
  </si>
  <si>
    <t>RAHAMATTULLA SEIKH</t>
  </si>
  <si>
    <t>1032</t>
  </si>
  <si>
    <t>وليد عبد السميع حلمي عمر عوان</t>
  </si>
  <si>
    <t>1185</t>
  </si>
  <si>
    <t>Ramim Islam Munna</t>
  </si>
  <si>
    <t>1199</t>
  </si>
  <si>
    <t>محمد مروان السيد منسي</t>
  </si>
  <si>
    <t>1122</t>
  </si>
  <si>
    <t>محمد ابراهيم محمد الميداني</t>
  </si>
  <si>
    <t>1181</t>
  </si>
  <si>
    <t>محمود محمد خليفه ابو العلا</t>
  </si>
  <si>
    <t>1162</t>
  </si>
  <si>
    <t>محمود سعد محمود مرعي</t>
  </si>
  <si>
    <t>1045</t>
  </si>
  <si>
    <t>مهاب نبيل حسن رجب</t>
  </si>
  <si>
    <t>تخليص جمركي</t>
  </si>
  <si>
    <t>1094</t>
  </si>
  <si>
    <t>اسامه علي عبدالقادر احمد</t>
  </si>
  <si>
    <t>156</t>
  </si>
  <si>
    <t>احمد سعيد محمد نعيم</t>
  </si>
  <si>
    <t>1177</t>
  </si>
  <si>
    <t>شهاب احمد محمد عبدالحميد</t>
  </si>
  <si>
    <t>1081</t>
  </si>
  <si>
    <t>احمد رمضان محمد عبدالرحيم</t>
  </si>
  <si>
    <t>1073</t>
  </si>
  <si>
    <t>هيثم محمد ابراهيم عبدالفتاح</t>
  </si>
  <si>
    <t>1165</t>
  </si>
  <si>
    <t>علي بسيوني على محمد</t>
  </si>
  <si>
    <t>1055</t>
  </si>
  <si>
    <t>سامح عاطف فتحى درويش</t>
  </si>
  <si>
    <t>1158</t>
  </si>
  <si>
    <t>MD JAHANGIR ALAM</t>
  </si>
  <si>
    <t>1186</t>
  </si>
  <si>
    <t>Mohamed Elsayed Abdellatif</t>
  </si>
  <si>
    <t>1124</t>
  </si>
  <si>
    <t>احمد جمال انور امام</t>
  </si>
  <si>
    <t>1114</t>
  </si>
  <si>
    <t>حسن احمد حسن غريب مصطفى</t>
  </si>
  <si>
    <t>1087</t>
  </si>
  <si>
    <t>احمد مجدي حسنى يوسف</t>
  </si>
  <si>
    <t>1140</t>
  </si>
  <si>
    <t>Abdur Rahman</t>
  </si>
  <si>
    <t>1088</t>
  </si>
  <si>
    <t>محمد سعيد عبدالهادي هلال</t>
  </si>
  <si>
    <t>1118</t>
  </si>
  <si>
    <t>محمود السيد محمد عطية</t>
  </si>
  <si>
    <t>1157</t>
  </si>
  <si>
    <t>حسن صبحي زيدان</t>
  </si>
  <si>
    <t>1168</t>
  </si>
  <si>
    <t>جهانغير علام</t>
  </si>
  <si>
    <t>1167</t>
  </si>
  <si>
    <t>MD ABIR HASAN</t>
  </si>
  <si>
    <t>1141</t>
  </si>
  <si>
    <t>Elsayed Ali Deyab</t>
  </si>
  <si>
    <t>1052</t>
  </si>
  <si>
    <t>احمد ياسر عبدالعزيز</t>
  </si>
  <si>
    <t>1200</t>
  </si>
  <si>
    <t>Musadaq hussain satti raja tusadaq hussain</t>
  </si>
  <si>
    <t>1121</t>
  </si>
  <si>
    <t>Shahzad Ali Ahmed</t>
  </si>
  <si>
    <t>1136</t>
  </si>
  <si>
    <t>hassan ali waris ali</t>
  </si>
  <si>
    <t>1146</t>
  </si>
  <si>
    <t>RUMON AHMED</t>
  </si>
  <si>
    <t>1139</t>
  </si>
  <si>
    <t>عبدالرحمن حسن السيد رحومه</t>
  </si>
  <si>
    <t>1164</t>
  </si>
  <si>
    <t>MD IMRAN HOSEN</t>
  </si>
  <si>
    <t>1068</t>
  </si>
  <si>
    <t>شريف اسماعيل عبدالمنعم هلال</t>
  </si>
  <si>
    <t>1180</t>
  </si>
  <si>
    <t>MD EMON HOSSAIN</t>
  </si>
  <si>
    <t>1062</t>
  </si>
  <si>
    <t>ياسر اسامه عبد الخيبر هلال</t>
  </si>
  <si>
    <t>1119</t>
  </si>
  <si>
    <t>مصطفى علاء الدين محمد عطية</t>
  </si>
  <si>
    <t>1065</t>
  </si>
  <si>
    <t>سمر محمد حسن عوض</t>
  </si>
  <si>
    <t>1125</t>
  </si>
  <si>
    <t>محمد سعيد محمود النحاس</t>
  </si>
  <si>
    <t>1067</t>
  </si>
  <si>
    <t>علاء محمد عبدالنعيم عارف علي</t>
  </si>
  <si>
    <t>1082</t>
  </si>
  <si>
    <t>كمال سمير عبدالله ابوالقاسم</t>
  </si>
  <si>
    <t>1179</t>
  </si>
  <si>
    <t>MD OHID SHEIKH</t>
  </si>
  <si>
    <t>1071</t>
  </si>
  <si>
    <t>هيثم عمر عبد النبى محمود</t>
  </si>
  <si>
    <t>1127</t>
  </si>
  <si>
    <t>رائد محمود احمد قايد الدحان</t>
  </si>
  <si>
    <t>1192</t>
  </si>
  <si>
    <t>نور سلام</t>
  </si>
  <si>
    <t>1083</t>
  </si>
  <si>
    <t>حازم علاء توفيق عبدالرحمن</t>
  </si>
  <si>
    <t>1134</t>
  </si>
  <si>
    <t>محمد زاهر سعد الديب</t>
  </si>
  <si>
    <t>IT</t>
  </si>
  <si>
    <t>1064</t>
  </si>
  <si>
    <t>أسماء شوقي محمد النبوي</t>
  </si>
  <si>
    <t>1101</t>
  </si>
  <si>
    <t>عادل حسب الله احمد حسب الله</t>
  </si>
  <si>
    <t>التسويق والاعلان</t>
  </si>
  <si>
    <t>1155</t>
  </si>
  <si>
    <t>احمد عرابي راغب محجوب</t>
  </si>
  <si>
    <t>1150</t>
  </si>
  <si>
    <t>عبدالرحمن علي عبدالمنعم الاجهوري</t>
  </si>
  <si>
    <t>1153</t>
  </si>
  <si>
    <t>عمر محمود محمود عبدالجواد</t>
  </si>
  <si>
    <t>1189</t>
  </si>
  <si>
    <t>محمد كمال على عبد الجواد</t>
  </si>
  <si>
    <t>1191</t>
  </si>
  <si>
    <t>احمد السيد رجب محمد ابراهيم</t>
  </si>
  <si>
    <t>1204</t>
  </si>
  <si>
    <t>عبدالسلام محمد علي عبدالسلام</t>
  </si>
  <si>
    <t>1176</t>
  </si>
  <si>
    <t>علاء جابر محمد فاروق</t>
  </si>
  <si>
    <t>1214</t>
  </si>
  <si>
    <t>MUHAMMAD USMAN SAEED ULLAH</t>
  </si>
  <si>
    <t>2000</t>
  </si>
  <si>
    <t>مراد احمد محمد الطنانى</t>
  </si>
  <si>
    <t>2019</t>
  </si>
  <si>
    <t>MD ALAMGIR</t>
  </si>
  <si>
    <t>2006</t>
  </si>
  <si>
    <t>حسن على حسن الشامى</t>
  </si>
  <si>
    <t>2008</t>
  </si>
  <si>
    <t>احمد صلاح محمد الاسكندراني</t>
  </si>
  <si>
    <t>2009</t>
  </si>
  <si>
    <t>جمعه الشحات السيد علي</t>
  </si>
  <si>
    <t>2010</t>
  </si>
  <si>
    <t>حسام احمد السيد علام</t>
  </si>
  <si>
    <t>2002</t>
  </si>
  <si>
    <t>عادل خالد بن الوليد عبدالخالق</t>
  </si>
  <si>
    <t>2011</t>
  </si>
  <si>
    <t>محمد بكر بسيوني بسيوني</t>
  </si>
  <si>
    <t>2022</t>
  </si>
  <si>
    <t>احمد رميح محمد رميح</t>
  </si>
  <si>
    <t>2014</t>
  </si>
  <si>
    <t>محمود احمد السيد ابوغراره</t>
  </si>
  <si>
    <t>2045</t>
  </si>
  <si>
    <t>محمد حسنى رشاد عبدالله</t>
  </si>
  <si>
    <t>2023</t>
  </si>
  <si>
    <t>محمد احمد عبد الفتاح البسوسي</t>
  </si>
  <si>
    <t>2030</t>
  </si>
  <si>
    <t>MD ATEKUR RAHMAN</t>
  </si>
  <si>
    <t>2034</t>
  </si>
  <si>
    <t>احمد علاء الدين عبدالفتاح معروف</t>
  </si>
  <si>
    <t>2035</t>
  </si>
  <si>
    <t>السيد حسن السيد العطار</t>
  </si>
  <si>
    <t>2013</t>
  </si>
  <si>
    <t>محمد محمود عبدالمولي غنيم</t>
  </si>
  <si>
    <t>2003</t>
  </si>
  <si>
    <t>محمود حسب الله عبد الحميد حسب الله</t>
  </si>
  <si>
    <t>2004</t>
  </si>
  <si>
    <t>مصطفي شعبان محمد جبالي</t>
  </si>
  <si>
    <t>2015</t>
  </si>
  <si>
    <t>محمود عبد الحميد محمد النشرتي</t>
  </si>
  <si>
    <t>2005</t>
  </si>
  <si>
    <t>عبدالرحمن محمد خليل الارناؤطي</t>
  </si>
  <si>
    <t>2028</t>
  </si>
  <si>
    <t>KASHIM UDDIN</t>
  </si>
  <si>
    <t>2016</t>
  </si>
  <si>
    <t>مؤمن سعيد محمد ابوالسعود</t>
  </si>
  <si>
    <t>2062</t>
  </si>
  <si>
    <t>مدحت محمد اسعد الهوارى</t>
  </si>
  <si>
    <t>2025</t>
  </si>
  <si>
    <t>ALI KHAN AYUB KHAN</t>
  </si>
  <si>
    <t>2024</t>
  </si>
  <si>
    <t>OSAMA HAYAT NOOR HAYAT GUL</t>
  </si>
  <si>
    <t>2020</t>
  </si>
  <si>
    <t>MUHAMMAD AQEEL SAIF UL MALOOK</t>
  </si>
  <si>
    <t>2018</t>
  </si>
  <si>
    <t>WARIS KHAN SHARIF KHAN</t>
  </si>
  <si>
    <t>2026</t>
  </si>
  <si>
    <t>BASWAR ALI SARTAJ</t>
  </si>
  <si>
    <t>2031</t>
  </si>
  <si>
    <t>MOHSAN FAREED FAREED JAVID</t>
  </si>
  <si>
    <t>2021</t>
  </si>
  <si>
    <t>MUHAMMAD UMAR MUHAMMAD AKRAM GUJJAR</t>
  </si>
  <si>
    <t>2017</t>
  </si>
  <si>
    <t>SALMAN KHAN RAJ MUHAMMAD</t>
  </si>
  <si>
    <t>2033</t>
  </si>
  <si>
    <t>SHAKLEN MOHAMMAD HANIF</t>
  </si>
  <si>
    <t>2027</t>
  </si>
  <si>
    <t>INJAMAM UL HOQUE</t>
  </si>
  <si>
    <t>2032</t>
  </si>
  <si>
    <t>NURUL ISLAM</t>
  </si>
  <si>
    <t>2047</t>
  </si>
  <si>
    <t>MUHAMMAD RIZWAN SHAHID IQBAL</t>
  </si>
  <si>
    <t>2046</t>
  </si>
  <si>
    <t>BABAR ALI ISTIKHAR AHMAD</t>
  </si>
  <si>
    <t>2039</t>
  </si>
  <si>
    <t>MD ASLAM SEIKH</t>
  </si>
  <si>
    <t>2040</t>
  </si>
  <si>
    <t>MIRZA EKBAL HOSSAIN</t>
  </si>
  <si>
    <t>2041</t>
  </si>
  <si>
    <t>NURE HASANUZZAMAN</t>
  </si>
  <si>
    <t>2043</t>
  </si>
  <si>
    <t>ABUL HASAN SEIKH</t>
  </si>
  <si>
    <t>2044</t>
  </si>
  <si>
    <t>ZIYARUL RAHAMAN AKSAR RAHAMAN</t>
  </si>
  <si>
    <t>2042</t>
  </si>
  <si>
    <t>محمد السعيد اسماعيل زعلوك</t>
  </si>
  <si>
    <t>2052</t>
  </si>
  <si>
    <t>احمد عبد العزيز زكى عبد العزيز</t>
  </si>
  <si>
    <t>2055</t>
  </si>
  <si>
    <t>اسلام اشرف سيد محمد</t>
  </si>
  <si>
    <t>2057</t>
  </si>
  <si>
    <t>محمود جمعه محمد نادى</t>
  </si>
  <si>
    <t>2056</t>
  </si>
  <si>
    <t>حسن محمد الدربيلى محمد</t>
  </si>
  <si>
    <t>2060</t>
  </si>
  <si>
    <t>سيف الدين ياسر احمد المزيودى</t>
  </si>
  <si>
    <t>2059</t>
  </si>
  <si>
    <t>رأفت حاتم رأفت سلام</t>
  </si>
  <si>
    <t>2061</t>
  </si>
  <si>
    <t>محمد حمدى سعيد الخولى</t>
  </si>
  <si>
    <t>1109</t>
  </si>
  <si>
    <t>عبدالعزيز بن مرزوق بن غنام الحربي</t>
  </si>
  <si>
    <t>مؤامة</t>
  </si>
  <si>
    <t>1075</t>
  </si>
  <si>
    <t>ماجد ناصر عبيد بامكريت</t>
  </si>
  <si>
    <t>1000</t>
  </si>
  <si>
    <t>سامح حسن رجب عبد الرازق</t>
  </si>
  <si>
    <t>MD</t>
  </si>
  <si>
    <t>1130</t>
  </si>
  <si>
    <t>ابتسام احمد عثمان الزهراني</t>
  </si>
  <si>
    <t>مواءمة</t>
  </si>
  <si>
    <t>1207</t>
  </si>
  <si>
    <t>نوره سعيد سعيد الزهراني</t>
  </si>
  <si>
    <t>سعودة</t>
  </si>
  <si>
    <t>1098</t>
  </si>
  <si>
    <t>افراح عبدالعزيز محمد العمار</t>
  </si>
  <si>
    <t>1104</t>
  </si>
  <si>
    <t>ابتسام سويد صالح الحربي</t>
  </si>
  <si>
    <t>1208</t>
  </si>
  <si>
    <t>رحمه حسن محمد آل منصور</t>
  </si>
  <si>
    <t>1221</t>
  </si>
  <si>
    <t>نوره علي حسن اليامي</t>
  </si>
  <si>
    <t>1220</t>
  </si>
  <si>
    <t>رابيه مانع عبدالله ال منصور</t>
  </si>
  <si>
    <t>1108</t>
  </si>
  <si>
    <t>سلمى سعد مريزيق الحربي</t>
  </si>
  <si>
    <t>1105</t>
  </si>
  <si>
    <t>أبتهال عبيد سعد الشمري</t>
  </si>
  <si>
    <t>1197</t>
  </si>
  <si>
    <t>دانية خالد عبدالله باعويضان</t>
  </si>
  <si>
    <t>1174</t>
  </si>
  <si>
    <t>نوف فهد بن سعيد آل منصور</t>
  </si>
  <si>
    <t>1097</t>
  </si>
  <si>
    <t>جود عاصم مكي اليماني</t>
  </si>
  <si>
    <t>1222</t>
  </si>
  <si>
    <t>انوار محمد جفين ال يحيا الصخابره</t>
  </si>
  <si>
    <t>1210</t>
  </si>
  <si>
    <t>معاذ حسن وقيتان الزهراني</t>
  </si>
  <si>
    <t>1203</t>
  </si>
  <si>
    <t>زياد عبدالله بن محمد القحطاني</t>
  </si>
  <si>
    <t>1112</t>
  </si>
  <si>
    <t>كريمه عبدالله سليمان العبيد</t>
  </si>
  <si>
    <t>1096</t>
  </si>
  <si>
    <t>فاطمة يحيى مباركي</t>
  </si>
  <si>
    <t>1219</t>
  </si>
  <si>
    <t>اشواق محمد عوض القحطاني</t>
  </si>
  <si>
    <t>1202</t>
  </si>
  <si>
    <t>الين احمد عبدالله الشهري</t>
  </si>
  <si>
    <t>2058</t>
  </si>
  <si>
    <t>لطيفه عويضه محمد أل منصور</t>
  </si>
  <si>
    <t>1169</t>
  </si>
  <si>
    <t>خلود صالح احمد الفهمي الزهراني</t>
  </si>
  <si>
    <t>1106</t>
  </si>
  <si>
    <t>اسماء هليل العنزي</t>
  </si>
  <si>
    <t>1053</t>
  </si>
  <si>
    <t>محمد سعيد محمد الزهراني</t>
  </si>
  <si>
    <t>2049</t>
  </si>
  <si>
    <t>شهد حاتم بن محمد اليامي</t>
  </si>
  <si>
    <t>1111</t>
  </si>
  <si>
    <t>مهند حسن سعيد الطبجي</t>
  </si>
  <si>
    <t>1113</t>
  </si>
  <si>
    <t>مريم مطلق الشهيل</t>
  </si>
  <si>
    <t>1132</t>
  </si>
  <si>
    <t>بدور كريم هزاع العنزي</t>
  </si>
  <si>
    <t>1206</t>
  </si>
  <si>
    <t>فاتن حمد علي الحاذق</t>
  </si>
  <si>
    <t>1171</t>
  </si>
  <si>
    <t>ساره سعيد بن مهدي آل منصور</t>
  </si>
  <si>
    <t>1103</t>
  </si>
  <si>
    <t>ابتسام حسين محمد فقيهي</t>
  </si>
  <si>
    <t>1209</t>
  </si>
  <si>
    <t>طارق حسين محمد اليماني</t>
  </si>
  <si>
    <t>1131</t>
  </si>
  <si>
    <t>اسماء شطي مسعد الشمري</t>
  </si>
  <si>
    <t>1213</t>
  </si>
  <si>
    <t>فتون عبدالله فارس الشريف</t>
  </si>
  <si>
    <t>1100</t>
  </si>
  <si>
    <t>هند سعد محارب الحربي</t>
  </si>
  <si>
    <t>1138</t>
  </si>
  <si>
    <t>علي حسن احمد باصره</t>
  </si>
  <si>
    <t>1170</t>
  </si>
  <si>
    <t>عبدالمحسن عبدالله يحي المالكي</t>
  </si>
  <si>
    <t>1173</t>
  </si>
  <si>
    <t>ساميه حصين بن علي اليامي</t>
  </si>
  <si>
    <t>1054</t>
  </si>
  <si>
    <t>مياسم حمد بن هادي ال منصور</t>
  </si>
  <si>
    <t>1059</t>
  </si>
  <si>
    <t>ليان أسامة عبدالله خالدي</t>
  </si>
  <si>
    <t>2064</t>
  </si>
  <si>
    <t>نوره حسين بن مهدي ال منصور</t>
  </si>
  <si>
    <t>1212</t>
  </si>
  <si>
    <t>جود نواف عبدالعزيز السواط</t>
  </si>
  <si>
    <t>1172</t>
  </si>
  <si>
    <t>البتول محمد بن عبدالله آل جفيش</t>
  </si>
  <si>
    <t>1223</t>
  </si>
  <si>
    <t>سارة حمد مسفر سعد القحطاني</t>
  </si>
  <si>
    <t>1107</t>
  </si>
  <si>
    <t>روان ابراهيم محمد البيحي</t>
  </si>
  <si>
    <t>1110</t>
  </si>
  <si>
    <t>فارس سعد مريزيق الحربي</t>
  </si>
  <si>
    <t>1215</t>
  </si>
  <si>
    <t>هنادي محمد عمر بامكريد</t>
  </si>
  <si>
    <t>1175</t>
  </si>
  <si>
    <t>عائشه ناصر عبدالله الشهري</t>
  </si>
  <si>
    <t>1099</t>
  </si>
  <si>
    <t>حنان محمد بن صالح اباالخيل</t>
  </si>
  <si>
    <t>2050</t>
  </si>
  <si>
    <t>وجنه محمد بن حسين ال منصور</t>
  </si>
  <si>
    <t>2053</t>
  </si>
  <si>
    <t>جازعه عبدالله محمد آل راقع القحطاني</t>
  </si>
  <si>
    <t>6000</t>
  </si>
  <si>
    <t>محمد حمدي محمد عبدالرحمن</t>
  </si>
  <si>
    <t>احمد صبرى ابراهيم الصايغ</t>
  </si>
  <si>
    <t>هنجرستيشن</t>
  </si>
  <si>
    <t>2067</t>
  </si>
  <si>
    <t>محمود السيد عبد الوهاب السيد</t>
  </si>
  <si>
    <t>6001</t>
  </si>
  <si>
    <t>حمدي صلاح عبد العزيز عبد الفتاح</t>
  </si>
  <si>
    <t>أحمد فتحي حامد جودة</t>
  </si>
  <si>
    <t>دسوقي سعد سعد دراز</t>
  </si>
  <si>
    <t>171</t>
  </si>
  <si>
    <t>احمد محمد جلال محمد</t>
  </si>
  <si>
    <t>155</t>
  </si>
  <si>
    <t>محمود محمد محمود خطاب</t>
  </si>
  <si>
    <t>147</t>
  </si>
  <si>
    <t>محمد عادل فوزي امين</t>
  </si>
  <si>
    <t>1224</t>
  </si>
  <si>
    <t>احمد محمد محمد يونس</t>
  </si>
  <si>
    <t>3006</t>
  </si>
  <si>
    <t>اسلام وحيد محمد ثروت سرور</t>
  </si>
  <si>
    <t>4001</t>
  </si>
  <si>
    <t>اسماعيل السيد اسماعيل سليمان</t>
  </si>
  <si>
    <t>5000</t>
  </si>
  <si>
    <t>نادر مجدي محمد عبد الجواد</t>
  </si>
  <si>
    <t>CEO</t>
  </si>
  <si>
    <t>1225</t>
  </si>
  <si>
    <t>ابراهيم ممدوح ابراهيم العيسوي</t>
  </si>
  <si>
    <t>135</t>
  </si>
  <si>
    <t>هدير محمد حامد الحسانين</t>
  </si>
  <si>
    <t>126</t>
  </si>
  <si>
    <t>حاتم محمد نورالدين حماده</t>
  </si>
  <si>
    <t>188</t>
  </si>
  <si>
    <t>سليمان محمد ابكر مكرش</t>
  </si>
  <si>
    <t>4000</t>
  </si>
  <si>
    <t>ساره يحي بن منصور اليامي</t>
  </si>
  <si>
    <t>6002</t>
  </si>
  <si>
    <t>حلمي احمد عبدالحليم احمد</t>
  </si>
  <si>
    <t>1228</t>
  </si>
  <si>
    <t>عبدالرحمن انور محمد نصار</t>
  </si>
  <si>
    <t>153</t>
  </si>
  <si>
    <t>هيثم سعيد على المليجي</t>
  </si>
  <si>
    <t>إبراهيم عبدالحميد صالح ياسر</t>
  </si>
  <si>
    <t>محمد سهيل عباسي علي حسين</t>
  </si>
  <si>
    <t>1230</t>
  </si>
  <si>
    <t>اسماء جميل عبدالعزيز كتبي</t>
  </si>
  <si>
    <t>سامح</t>
  </si>
  <si>
    <t>4002</t>
  </si>
  <si>
    <t>شريف محمود ابو زكي موسى</t>
  </si>
  <si>
    <t>1216</t>
  </si>
  <si>
    <t>ANWAR SOKEN</t>
  </si>
  <si>
    <t>193</t>
  </si>
  <si>
    <t>MD ZAHIDUL ISLAM</t>
  </si>
  <si>
    <t>192</t>
  </si>
  <si>
    <t>حسن احمد حسين جمال الدين</t>
  </si>
  <si>
    <t>191</t>
  </si>
  <si>
    <t>MD JAKIR HUSSEN</t>
  </si>
  <si>
    <t>190</t>
  </si>
  <si>
    <t>عبد الحميد جمال عبد الحميد شعبان</t>
  </si>
  <si>
    <t>189</t>
  </si>
  <si>
    <t>سجى ياسر السيد احمد السيد</t>
  </si>
  <si>
    <t>187</t>
  </si>
  <si>
    <t>محمد رمضان احمد عمر</t>
  </si>
  <si>
    <t>182</t>
  </si>
  <si>
    <t>طارق محمود محمد العسكري</t>
  </si>
  <si>
    <t>161</t>
  </si>
  <si>
    <t>Ridoy Miah</t>
  </si>
  <si>
    <t>128</t>
  </si>
  <si>
    <t>محمد اسامه محمد عاشور</t>
  </si>
  <si>
    <t>195</t>
  </si>
  <si>
    <t>ريفاكات علي</t>
  </si>
  <si>
    <t>196</t>
  </si>
  <si>
    <t>سيال مات خان رود غول</t>
  </si>
  <si>
    <t>197</t>
  </si>
  <si>
    <t>قمر عباس محمد افضل جافيد</t>
  </si>
  <si>
    <t>199</t>
  </si>
  <si>
    <t>مصطفى محمود صادق لولح</t>
  </si>
  <si>
    <t>200</t>
  </si>
  <si>
    <t>اشرف عبدالمجيد علي عبدالمجيد</t>
  </si>
  <si>
    <t>201</t>
  </si>
  <si>
    <t>MD IFRAN</t>
  </si>
  <si>
    <t>202</t>
  </si>
  <si>
    <t>MD ABDULLAH</t>
  </si>
  <si>
    <t>203</t>
  </si>
  <si>
    <t>محمد نبوي محمد باص</t>
  </si>
  <si>
    <t>4003</t>
  </si>
  <si>
    <t>محمود عبدالرازق عبدالهادى محمد</t>
  </si>
  <si>
    <t>1163</t>
  </si>
  <si>
    <t>ALI ASGHAR ABDUL GHAFFAR</t>
  </si>
  <si>
    <t>مقارنة</t>
  </si>
  <si>
    <t xml:space="preserve">غير مطلوب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</si>
</sst>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2" xfId="0" applyNumberFormat="1" applyFill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ize123.sharepoint.com/sites/HumanResourses/Shared%20Documents/test%20som/2025/&#1575;&#1604;&#1605;&#1575;&#1587;&#1578;&#1585;%20&#1575;&#1604;&#1580;&#1583;&#1610;&#1583;.xlsx" TargetMode="External"/><Relationship Id="rId1" Type="http://schemas.openxmlformats.org/officeDocument/2006/relationships/externalLinkPath" Target="https://energize123.sharepoint.com/sites/HumanResourses/Shared%20Documents/test%20som/2025/&#1575;&#1604;&#1605;&#1575;&#1587;&#1578;&#1585;%20&#1575;&#1604;&#1580;&#1583;&#1610;&#158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بيانات الموظفين"/>
      <sheetName val="بيانات المنشأت"/>
    </sheetNames>
    <sheetDataSet>
      <sheetData sheetId="0">
        <row r="1">
          <cell r="B1">
            <v>368</v>
          </cell>
          <cell r="AV1">
            <v>368</v>
          </cell>
        </row>
        <row r="2">
          <cell r="B2" t="str">
            <v>رقم الهوية</v>
          </cell>
          <cell r="AV2" t="str">
            <v>رقم كارت السائق</v>
          </cell>
        </row>
        <row r="3">
          <cell r="B3">
            <v>2619608371</v>
          </cell>
          <cell r="AV3">
            <v>0</v>
          </cell>
        </row>
        <row r="4">
          <cell r="B4">
            <v>2572553077</v>
          </cell>
          <cell r="AV4">
            <v>0</v>
          </cell>
        </row>
        <row r="5">
          <cell r="B5">
            <v>2559188822</v>
          </cell>
          <cell r="AV5">
            <v>0</v>
          </cell>
        </row>
        <row r="6">
          <cell r="B6">
            <v>2337037572</v>
          </cell>
          <cell r="AV6">
            <v>0</v>
          </cell>
        </row>
        <row r="7">
          <cell r="B7">
            <v>2643591668</v>
          </cell>
          <cell r="AV7">
            <v>0</v>
          </cell>
        </row>
        <row r="8">
          <cell r="B8">
            <v>2590428591</v>
          </cell>
          <cell r="AV8">
            <v>0</v>
          </cell>
        </row>
        <row r="9">
          <cell r="B9">
            <v>1069205159</v>
          </cell>
          <cell r="AV9">
            <v>0</v>
          </cell>
        </row>
        <row r="10">
          <cell r="B10">
            <v>2620064499</v>
          </cell>
          <cell r="AV10">
            <v>11.00579928</v>
          </cell>
        </row>
        <row r="11">
          <cell r="B11">
            <v>2367689433</v>
          </cell>
          <cell r="AV11">
            <v>11.00548086</v>
          </cell>
        </row>
        <row r="12">
          <cell r="B12">
            <v>2455453619</v>
          </cell>
          <cell r="AV12">
            <v>11.005889059999999</v>
          </cell>
        </row>
        <row r="13">
          <cell r="B13">
            <v>2616439697</v>
          </cell>
          <cell r="AV13">
            <v>11.00511097</v>
          </cell>
        </row>
        <row r="14">
          <cell r="B14">
            <v>2616439804</v>
          </cell>
          <cell r="AV14">
            <v>11.005110930000001</v>
          </cell>
        </row>
        <row r="15">
          <cell r="B15">
            <v>2614387229</v>
          </cell>
          <cell r="AV15">
            <v>11.00589596</v>
          </cell>
        </row>
        <row r="16">
          <cell r="B16">
            <v>2614387344</v>
          </cell>
          <cell r="AV16">
            <v>11.00589523</v>
          </cell>
        </row>
        <row r="17">
          <cell r="B17">
            <v>2616062622</v>
          </cell>
          <cell r="AV17">
            <v>11.005044229999999</v>
          </cell>
        </row>
        <row r="18">
          <cell r="B18">
            <v>2616062879</v>
          </cell>
          <cell r="AV18">
            <v>11.005895799999999</v>
          </cell>
        </row>
        <row r="19">
          <cell r="B19">
            <v>2553484540</v>
          </cell>
          <cell r="AV19">
            <v>11.005040429999999</v>
          </cell>
        </row>
        <row r="20">
          <cell r="B20">
            <v>2607295744</v>
          </cell>
          <cell r="AV20">
            <v>11.005895990000001</v>
          </cell>
        </row>
        <row r="21">
          <cell r="B21">
            <v>2605874870</v>
          </cell>
          <cell r="AV21">
            <v>11.00589546</v>
          </cell>
        </row>
        <row r="22">
          <cell r="B22">
            <v>2604361465</v>
          </cell>
          <cell r="AV22">
            <v>11.00589506</v>
          </cell>
        </row>
        <row r="23">
          <cell r="B23">
            <v>2569021492</v>
          </cell>
          <cell r="AV23">
            <v>11.00589553</v>
          </cell>
        </row>
        <row r="24">
          <cell r="B24">
            <v>2612690491</v>
          </cell>
          <cell r="AV24">
            <v>0</v>
          </cell>
        </row>
        <row r="25">
          <cell r="B25">
            <v>2490833528</v>
          </cell>
          <cell r="AV25">
            <v>11.005891180000001</v>
          </cell>
        </row>
        <row r="26">
          <cell r="B26">
            <v>2587272325</v>
          </cell>
          <cell r="AV26">
            <v>11.00589583</v>
          </cell>
        </row>
        <row r="27">
          <cell r="B27">
            <v>2583024712</v>
          </cell>
          <cell r="AV27">
            <v>11.0058957</v>
          </cell>
        </row>
        <row r="28">
          <cell r="B28">
            <v>2583917584</v>
          </cell>
          <cell r="AV28">
            <v>11.005895629999999</v>
          </cell>
        </row>
        <row r="29">
          <cell r="B29">
            <v>2386300707</v>
          </cell>
          <cell r="AV29">
            <v>11.005895730000001</v>
          </cell>
        </row>
        <row r="30">
          <cell r="B30">
            <v>1043748290</v>
          </cell>
          <cell r="AV30">
            <v>0</v>
          </cell>
        </row>
        <row r="31">
          <cell r="B31">
            <v>2561610649</v>
          </cell>
          <cell r="AV31">
            <v>0</v>
          </cell>
        </row>
        <row r="32">
          <cell r="B32">
            <v>2587456050</v>
          </cell>
          <cell r="AV32">
            <v>0</v>
          </cell>
        </row>
        <row r="33">
          <cell r="B33">
            <v>2587455821</v>
          </cell>
          <cell r="AV33">
            <v>0</v>
          </cell>
        </row>
        <row r="34">
          <cell r="B34">
            <v>2587455912</v>
          </cell>
          <cell r="AV34">
            <v>0</v>
          </cell>
        </row>
        <row r="35">
          <cell r="B35">
            <v>1015089335</v>
          </cell>
          <cell r="AV35">
            <v>0</v>
          </cell>
        </row>
        <row r="36">
          <cell r="B36">
            <v>2586837904</v>
          </cell>
          <cell r="AV36">
            <v>0</v>
          </cell>
        </row>
        <row r="37">
          <cell r="B37">
            <v>2587455748</v>
          </cell>
          <cell r="AV37">
            <v>0</v>
          </cell>
        </row>
        <row r="38">
          <cell r="B38">
            <v>2586837763</v>
          </cell>
          <cell r="AV38">
            <v>0</v>
          </cell>
        </row>
        <row r="39">
          <cell r="B39">
            <v>2566739211</v>
          </cell>
          <cell r="AV39">
            <v>0</v>
          </cell>
        </row>
        <row r="40">
          <cell r="B40">
            <v>1040024901</v>
          </cell>
          <cell r="AV40">
            <v>0</v>
          </cell>
        </row>
        <row r="41">
          <cell r="B41">
            <v>2583315540</v>
          </cell>
          <cell r="AV41">
            <v>0</v>
          </cell>
        </row>
        <row r="42">
          <cell r="B42">
            <v>1068487964</v>
          </cell>
          <cell r="AV42">
            <v>0</v>
          </cell>
        </row>
        <row r="43">
          <cell r="B43">
            <v>1126785169</v>
          </cell>
          <cell r="AV43">
            <v>0</v>
          </cell>
        </row>
        <row r="44">
          <cell r="B44">
            <v>2566741944</v>
          </cell>
          <cell r="AV44">
            <v>0</v>
          </cell>
        </row>
        <row r="45">
          <cell r="B45">
            <v>2566744484</v>
          </cell>
          <cell r="AV45">
            <v>0</v>
          </cell>
        </row>
        <row r="46">
          <cell r="B46">
            <v>2558042285</v>
          </cell>
          <cell r="AV46">
            <v>0</v>
          </cell>
        </row>
        <row r="47">
          <cell r="B47">
            <v>2570718912</v>
          </cell>
          <cell r="AV47">
            <v>0</v>
          </cell>
        </row>
        <row r="48">
          <cell r="B48">
            <v>2570718409</v>
          </cell>
          <cell r="AV48">
            <v>0</v>
          </cell>
        </row>
        <row r="49">
          <cell r="B49">
            <v>2571944855</v>
          </cell>
          <cell r="AV49">
            <v>0</v>
          </cell>
        </row>
        <row r="50">
          <cell r="B50">
            <v>2567991191</v>
          </cell>
          <cell r="AV50">
            <v>0</v>
          </cell>
        </row>
        <row r="51">
          <cell r="B51">
            <v>2567989229</v>
          </cell>
          <cell r="AV51">
            <v>0</v>
          </cell>
        </row>
        <row r="52">
          <cell r="B52">
            <v>2567988858</v>
          </cell>
          <cell r="AV52">
            <v>0</v>
          </cell>
        </row>
        <row r="53">
          <cell r="B53">
            <v>2563090634</v>
          </cell>
          <cell r="AV53">
            <v>0</v>
          </cell>
        </row>
        <row r="54">
          <cell r="B54">
            <v>2559108622</v>
          </cell>
          <cell r="AV54">
            <v>0</v>
          </cell>
        </row>
        <row r="55">
          <cell r="B55">
            <v>2559108192</v>
          </cell>
          <cell r="AV55">
            <v>0</v>
          </cell>
        </row>
        <row r="56">
          <cell r="B56">
            <v>2562666103</v>
          </cell>
          <cell r="AV56">
            <v>0</v>
          </cell>
        </row>
        <row r="57">
          <cell r="B57">
            <v>2562667341</v>
          </cell>
          <cell r="AV57">
            <v>0</v>
          </cell>
        </row>
        <row r="58">
          <cell r="B58">
            <v>2562204699</v>
          </cell>
          <cell r="AV58">
            <v>0</v>
          </cell>
        </row>
        <row r="59">
          <cell r="B59">
            <v>2559106857</v>
          </cell>
          <cell r="AV59">
            <v>0</v>
          </cell>
        </row>
        <row r="60">
          <cell r="B60">
            <v>2560884062</v>
          </cell>
          <cell r="AV60">
            <v>0</v>
          </cell>
        </row>
        <row r="61">
          <cell r="B61">
            <v>2560883809</v>
          </cell>
          <cell r="AV61">
            <v>0</v>
          </cell>
        </row>
        <row r="62">
          <cell r="B62">
            <v>2562666756</v>
          </cell>
          <cell r="AV62">
            <v>0</v>
          </cell>
        </row>
        <row r="63">
          <cell r="B63">
            <v>2562204244</v>
          </cell>
          <cell r="AV63">
            <v>0</v>
          </cell>
        </row>
        <row r="64">
          <cell r="B64">
            <v>2562201877</v>
          </cell>
          <cell r="AV64">
            <v>0</v>
          </cell>
        </row>
        <row r="65">
          <cell r="B65">
            <v>2562203667</v>
          </cell>
          <cell r="AV65">
            <v>0</v>
          </cell>
        </row>
        <row r="66">
          <cell r="B66">
            <v>2558653974</v>
          </cell>
          <cell r="AV66">
            <v>0</v>
          </cell>
        </row>
        <row r="67">
          <cell r="B67">
            <v>2557508864</v>
          </cell>
          <cell r="AV67">
            <v>0</v>
          </cell>
        </row>
        <row r="68">
          <cell r="B68">
            <v>2562205357</v>
          </cell>
          <cell r="AV68">
            <v>0</v>
          </cell>
        </row>
        <row r="69">
          <cell r="B69">
            <v>2562203923</v>
          </cell>
          <cell r="AV69">
            <v>0</v>
          </cell>
        </row>
        <row r="70">
          <cell r="B70">
            <v>2548466255</v>
          </cell>
          <cell r="AV70">
            <v>0</v>
          </cell>
        </row>
        <row r="71">
          <cell r="B71">
            <v>2562204152</v>
          </cell>
          <cell r="AV71">
            <v>0</v>
          </cell>
        </row>
        <row r="72">
          <cell r="B72">
            <v>2562205845</v>
          </cell>
          <cell r="AV72">
            <v>0</v>
          </cell>
        </row>
        <row r="73">
          <cell r="B73">
            <v>2560885309</v>
          </cell>
          <cell r="AV73">
            <v>0</v>
          </cell>
        </row>
        <row r="74">
          <cell r="B74">
            <v>2559188558</v>
          </cell>
          <cell r="AV74">
            <v>0</v>
          </cell>
        </row>
        <row r="75">
          <cell r="B75">
            <v>2557509482</v>
          </cell>
          <cell r="AV75">
            <v>0</v>
          </cell>
        </row>
        <row r="76">
          <cell r="B76">
            <v>2559186958</v>
          </cell>
          <cell r="AV76">
            <v>0</v>
          </cell>
        </row>
        <row r="77">
          <cell r="B77">
            <v>2557509342</v>
          </cell>
          <cell r="AV77">
            <v>0</v>
          </cell>
        </row>
        <row r="78">
          <cell r="B78">
            <v>2555618590</v>
          </cell>
          <cell r="AV78">
            <v>0</v>
          </cell>
        </row>
        <row r="79">
          <cell r="B79">
            <v>2555618319</v>
          </cell>
          <cell r="AV79">
            <v>0</v>
          </cell>
        </row>
        <row r="80">
          <cell r="B80">
            <v>2555618202</v>
          </cell>
          <cell r="AV80">
            <v>0</v>
          </cell>
        </row>
        <row r="81">
          <cell r="B81">
            <v>2555616289</v>
          </cell>
          <cell r="AV81">
            <v>0</v>
          </cell>
        </row>
        <row r="82">
          <cell r="B82">
            <v>2553949062</v>
          </cell>
          <cell r="AV82">
            <v>0</v>
          </cell>
        </row>
        <row r="83">
          <cell r="B83">
            <v>2553949161</v>
          </cell>
          <cell r="AV83">
            <v>0</v>
          </cell>
        </row>
        <row r="84">
          <cell r="B84">
            <v>2559189242</v>
          </cell>
          <cell r="AV84">
            <v>0</v>
          </cell>
        </row>
        <row r="85">
          <cell r="B85">
            <v>2559187683</v>
          </cell>
          <cell r="AV85">
            <v>0</v>
          </cell>
        </row>
        <row r="86">
          <cell r="B86">
            <v>2559187386</v>
          </cell>
          <cell r="AV86">
            <v>0</v>
          </cell>
        </row>
        <row r="87">
          <cell r="B87">
            <v>2555618350</v>
          </cell>
          <cell r="AV87">
            <v>0</v>
          </cell>
        </row>
        <row r="88">
          <cell r="B88">
            <v>2536526490</v>
          </cell>
          <cell r="AV88">
            <v>0</v>
          </cell>
        </row>
        <row r="89">
          <cell r="B89">
            <v>1138298664</v>
          </cell>
          <cell r="AV89">
            <v>0</v>
          </cell>
        </row>
        <row r="90">
          <cell r="B90">
            <v>2558094252</v>
          </cell>
          <cell r="AV90">
            <v>59.001696039999999</v>
          </cell>
        </row>
        <row r="91">
          <cell r="B91">
            <v>2637115417</v>
          </cell>
          <cell r="AV91">
            <v>0</v>
          </cell>
        </row>
        <row r="92">
          <cell r="B92">
            <v>2571017389</v>
          </cell>
          <cell r="AV92">
            <v>11.00645319</v>
          </cell>
        </row>
        <row r="93">
          <cell r="B93">
            <v>1089296907</v>
          </cell>
          <cell r="AV93">
            <v>0</v>
          </cell>
        </row>
        <row r="94">
          <cell r="B94">
            <v>2618971234</v>
          </cell>
          <cell r="AV94">
            <v>0</v>
          </cell>
        </row>
        <row r="95">
          <cell r="B95">
            <v>2570614806</v>
          </cell>
          <cell r="AV95">
            <v>0</v>
          </cell>
        </row>
        <row r="96">
          <cell r="B96">
            <v>1078196035</v>
          </cell>
          <cell r="AV96">
            <v>0</v>
          </cell>
        </row>
        <row r="97">
          <cell r="B97">
            <v>1083042414</v>
          </cell>
          <cell r="AV97">
            <v>0</v>
          </cell>
        </row>
        <row r="98">
          <cell r="B98">
            <v>1074048974</v>
          </cell>
          <cell r="AV98">
            <v>0</v>
          </cell>
        </row>
        <row r="99">
          <cell r="B99">
            <v>1040107110</v>
          </cell>
          <cell r="AV99">
            <v>0</v>
          </cell>
        </row>
        <row r="100">
          <cell r="B100">
            <v>1087822290</v>
          </cell>
          <cell r="AV100">
            <v>0</v>
          </cell>
        </row>
        <row r="101">
          <cell r="B101">
            <v>2249015393</v>
          </cell>
          <cell r="AV101">
            <v>11.00645308</v>
          </cell>
        </row>
        <row r="102">
          <cell r="B102">
            <v>2554127460</v>
          </cell>
          <cell r="AV102">
            <v>11.00645422</v>
          </cell>
        </row>
        <row r="103">
          <cell r="B103">
            <v>2578710648</v>
          </cell>
          <cell r="AV103">
            <v>0</v>
          </cell>
        </row>
        <row r="104">
          <cell r="B104">
            <v>1121011975</v>
          </cell>
          <cell r="AV104">
            <v>0</v>
          </cell>
        </row>
        <row r="105">
          <cell r="B105">
            <v>2640028011</v>
          </cell>
          <cell r="AV105">
            <v>0</v>
          </cell>
        </row>
        <row r="106">
          <cell r="B106">
            <v>1115323428</v>
          </cell>
          <cell r="AV106">
            <v>0</v>
          </cell>
        </row>
        <row r="107">
          <cell r="B107">
            <v>1123755611</v>
          </cell>
          <cell r="AV107">
            <v>0</v>
          </cell>
        </row>
        <row r="108">
          <cell r="B108">
            <v>2558830671</v>
          </cell>
          <cell r="AV108">
            <v>0</v>
          </cell>
        </row>
        <row r="109">
          <cell r="B109">
            <v>1106373531</v>
          </cell>
          <cell r="AV109">
            <v>0</v>
          </cell>
        </row>
        <row r="110">
          <cell r="B110">
            <v>1085311114</v>
          </cell>
          <cell r="AV110">
            <v>0</v>
          </cell>
        </row>
        <row r="111">
          <cell r="B111">
            <v>1036441911</v>
          </cell>
          <cell r="AV111">
            <v>0</v>
          </cell>
        </row>
        <row r="112">
          <cell r="B112">
            <v>1050827466</v>
          </cell>
          <cell r="AV112">
            <v>0</v>
          </cell>
        </row>
        <row r="113">
          <cell r="B113">
            <v>1134965670</v>
          </cell>
          <cell r="AV113">
            <v>0</v>
          </cell>
        </row>
        <row r="114">
          <cell r="B114">
            <v>2468312547</v>
          </cell>
          <cell r="AV114">
            <v>11.006257959999999</v>
          </cell>
        </row>
        <row r="115">
          <cell r="B115">
            <v>2634191908</v>
          </cell>
          <cell r="AV115">
            <v>0</v>
          </cell>
        </row>
        <row r="116">
          <cell r="B116">
            <v>1115390468</v>
          </cell>
          <cell r="AV116">
            <v>0</v>
          </cell>
        </row>
        <row r="117">
          <cell r="B117">
            <v>1116278639</v>
          </cell>
          <cell r="AV117">
            <v>0</v>
          </cell>
        </row>
        <row r="118">
          <cell r="B118">
            <v>2591942483</v>
          </cell>
          <cell r="AV118">
            <v>0</v>
          </cell>
        </row>
        <row r="119">
          <cell r="B119">
            <v>2587774726</v>
          </cell>
          <cell r="AV119">
            <v>0</v>
          </cell>
        </row>
        <row r="120">
          <cell r="B120">
            <v>2575175340</v>
          </cell>
          <cell r="AV120">
            <v>0</v>
          </cell>
        </row>
        <row r="121">
          <cell r="B121">
            <v>1113368953</v>
          </cell>
          <cell r="AV121">
            <v>0</v>
          </cell>
        </row>
        <row r="122">
          <cell r="B122">
            <v>2593522820</v>
          </cell>
          <cell r="AV122">
            <v>11.00625784</v>
          </cell>
        </row>
        <row r="123">
          <cell r="B123">
            <v>2262246396</v>
          </cell>
          <cell r="AV123">
            <v>11.005923040000001</v>
          </cell>
        </row>
        <row r="124">
          <cell r="B124">
            <v>2621465596</v>
          </cell>
          <cell r="AV124">
            <v>11.006010010000001</v>
          </cell>
        </row>
        <row r="125">
          <cell r="B125">
            <v>2557191836</v>
          </cell>
          <cell r="AV125">
            <v>0</v>
          </cell>
        </row>
        <row r="126">
          <cell r="B126">
            <v>2609164559</v>
          </cell>
          <cell r="AV126">
            <v>0</v>
          </cell>
        </row>
        <row r="127">
          <cell r="B127">
            <v>2634166710</v>
          </cell>
          <cell r="AV127">
            <v>0</v>
          </cell>
        </row>
        <row r="128">
          <cell r="B128">
            <v>2612532800</v>
          </cell>
          <cell r="AV128">
            <v>0</v>
          </cell>
        </row>
        <row r="129">
          <cell r="B129">
            <v>2626922260</v>
          </cell>
          <cell r="AV129">
            <v>0</v>
          </cell>
        </row>
        <row r="130">
          <cell r="B130">
            <v>2569644962</v>
          </cell>
          <cell r="AV130">
            <v>0</v>
          </cell>
        </row>
        <row r="131">
          <cell r="B131">
            <v>2616523037</v>
          </cell>
          <cell r="AV131">
            <v>0</v>
          </cell>
        </row>
        <row r="132">
          <cell r="B132">
            <v>2585423763</v>
          </cell>
          <cell r="AV132">
            <v>0</v>
          </cell>
        </row>
        <row r="133">
          <cell r="B133">
            <v>2573679533</v>
          </cell>
          <cell r="AV133">
            <v>0</v>
          </cell>
        </row>
        <row r="134">
          <cell r="B134">
            <v>2608568529</v>
          </cell>
          <cell r="AV134">
            <v>0</v>
          </cell>
        </row>
        <row r="135">
          <cell r="B135">
            <v>2581879877</v>
          </cell>
          <cell r="AV135">
            <v>0</v>
          </cell>
        </row>
        <row r="136">
          <cell r="B136">
            <v>2560551612</v>
          </cell>
          <cell r="AV136">
            <v>0</v>
          </cell>
        </row>
        <row r="137">
          <cell r="B137">
            <v>2577075902</v>
          </cell>
          <cell r="AV137">
            <v>0</v>
          </cell>
        </row>
        <row r="138">
          <cell r="B138">
            <v>2594515492</v>
          </cell>
          <cell r="AV138">
            <v>0</v>
          </cell>
        </row>
        <row r="139">
          <cell r="B139">
            <v>2602574606</v>
          </cell>
          <cell r="AV139">
            <v>0</v>
          </cell>
        </row>
        <row r="140">
          <cell r="B140">
            <v>2601020726</v>
          </cell>
          <cell r="AV140">
            <v>0</v>
          </cell>
        </row>
        <row r="141">
          <cell r="B141">
            <v>2581308950</v>
          </cell>
          <cell r="AV141">
            <v>0</v>
          </cell>
        </row>
        <row r="142">
          <cell r="B142">
            <v>2635559079</v>
          </cell>
          <cell r="AV142">
            <v>0</v>
          </cell>
        </row>
        <row r="143">
          <cell r="B143">
            <v>1137448062</v>
          </cell>
          <cell r="AV143">
            <v>0</v>
          </cell>
        </row>
        <row r="144">
          <cell r="B144">
            <v>1111390694</v>
          </cell>
          <cell r="AV144">
            <v>0</v>
          </cell>
        </row>
        <row r="145">
          <cell r="B145">
            <v>1045414388</v>
          </cell>
          <cell r="AV145">
            <v>0</v>
          </cell>
        </row>
        <row r="146">
          <cell r="B146">
            <v>1055987182</v>
          </cell>
          <cell r="AV146">
            <v>0</v>
          </cell>
        </row>
        <row r="147">
          <cell r="B147">
            <v>1065794115</v>
          </cell>
          <cell r="AV147">
            <v>0</v>
          </cell>
        </row>
        <row r="148">
          <cell r="B148">
            <v>1104513179</v>
          </cell>
          <cell r="AV148">
            <v>0</v>
          </cell>
        </row>
        <row r="149">
          <cell r="B149">
            <v>1078583463</v>
          </cell>
          <cell r="AV149">
            <v>0</v>
          </cell>
        </row>
        <row r="150">
          <cell r="B150">
            <v>2586867323</v>
          </cell>
          <cell r="AV150">
            <v>0</v>
          </cell>
        </row>
        <row r="151">
          <cell r="B151">
            <v>2586867471</v>
          </cell>
          <cell r="AV151">
            <v>0</v>
          </cell>
        </row>
        <row r="152">
          <cell r="B152">
            <v>2579771524</v>
          </cell>
          <cell r="AV152">
            <v>0</v>
          </cell>
        </row>
        <row r="153">
          <cell r="B153">
            <v>2583315326</v>
          </cell>
          <cell r="AV153">
            <v>0</v>
          </cell>
        </row>
        <row r="154">
          <cell r="B154">
            <v>2594102754</v>
          </cell>
          <cell r="AV154">
            <v>0</v>
          </cell>
        </row>
        <row r="155">
          <cell r="B155">
            <v>2578797025</v>
          </cell>
          <cell r="AV155">
            <v>0</v>
          </cell>
        </row>
        <row r="156">
          <cell r="B156">
            <v>2535994467</v>
          </cell>
          <cell r="AV156">
            <v>11.006010059999999</v>
          </cell>
        </row>
        <row r="157">
          <cell r="B157">
            <v>2622382121</v>
          </cell>
          <cell r="AV157">
            <v>11.006257809999999</v>
          </cell>
        </row>
        <row r="158">
          <cell r="B158">
            <v>2597004569</v>
          </cell>
          <cell r="AV158">
            <v>0</v>
          </cell>
        </row>
        <row r="159">
          <cell r="B159">
            <v>2585189612</v>
          </cell>
          <cell r="AV159">
            <v>0</v>
          </cell>
        </row>
        <row r="160">
          <cell r="B160">
            <v>2586780997</v>
          </cell>
          <cell r="AV160">
            <v>0</v>
          </cell>
        </row>
        <row r="161">
          <cell r="B161">
            <v>2558834244</v>
          </cell>
          <cell r="AV161">
            <v>0</v>
          </cell>
        </row>
        <row r="162">
          <cell r="B162">
            <v>2617425794</v>
          </cell>
          <cell r="AV162">
            <v>0</v>
          </cell>
        </row>
        <row r="163">
          <cell r="B163">
            <v>2030048710</v>
          </cell>
          <cell r="AV163">
            <v>0</v>
          </cell>
        </row>
        <row r="164">
          <cell r="B164">
            <v>2623869993</v>
          </cell>
          <cell r="AV164">
            <v>0</v>
          </cell>
        </row>
        <row r="165">
          <cell r="B165">
            <v>2572965479</v>
          </cell>
          <cell r="AV165">
            <v>11.005378840000001</v>
          </cell>
        </row>
        <row r="166">
          <cell r="B166">
            <v>2485941344</v>
          </cell>
          <cell r="AV166">
            <v>0</v>
          </cell>
        </row>
        <row r="167">
          <cell r="B167">
            <v>2620891024</v>
          </cell>
          <cell r="AV167">
            <v>0</v>
          </cell>
        </row>
        <row r="168">
          <cell r="B168">
            <v>2516526031</v>
          </cell>
          <cell r="AV168">
            <v>11.005204969999999</v>
          </cell>
        </row>
        <row r="169">
          <cell r="B169">
            <v>2015321132</v>
          </cell>
          <cell r="AV169">
            <v>0</v>
          </cell>
        </row>
        <row r="170">
          <cell r="B170">
            <v>2425598634</v>
          </cell>
          <cell r="AV170">
            <v>11.00503964</v>
          </cell>
        </row>
        <row r="171">
          <cell r="B171">
            <v>2556809818</v>
          </cell>
          <cell r="AV171">
            <v>0</v>
          </cell>
        </row>
        <row r="172">
          <cell r="B172">
            <v>2556808885</v>
          </cell>
          <cell r="AV172">
            <v>0</v>
          </cell>
        </row>
        <row r="173">
          <cell r="B173">
            <v>2556809404</v>
          </cell>
          <cell r="AV173">
            <v>0</v>
          </cell>
        </row>
        <row r="174">
          <cell r="B174">
            <v>2556809024</v>
          </cell>
          <cell r="AV174">
            <v>0</v>
          </cell>
        </row>
        <row r="175">
          <cell r="B175">
            <v>2586978567</v>
          </cell>
          <cell r="AV175">
            <v>0</v>
          </cell>
        </row>
        <row r="176">
          <cell r="B176">
            <v>2586503613</v>
          </cell>
          <cell r="AV176">
            <v>0</v>
          </cell>
        </row>
        <row r="177">
          <cell r="B177">
            <v>2592246322</v>
          </cell>
          <cell r="AV177">
            <v>0</v>
          </cell>
        </row>
        <row r="178">
          <cell r="B178">
            <v>1015830860</v>
          </cell>
          <cell r="AV178">
            <v>0</v>
          </cell>
        </row>
        <row r="179">
          <cell r="B179">
            <v>2572567705</v>
          </cell>
          <cell r="AV179">
            <v>0</v>
          </cell>
        </row>
        <row r="180">
          <cell r="B180">
            <v>2588700811</v>
          </cell>
          <cell r="AV180">
            <v>0</v>
          </cell>
        </row>
        <row r="181">
          <cell r="B181">
            <v>2540796881</v>
          </cell>
          <cell r="AV181">
            <v>0</v>
          </cell>
        </row>
        <row r="182">
          <cell r="B182">
            <v>2611730538</v>
          </cell>
          <cell r="AV182">
            <v>0</v>
          </cell>
        </row>
        <row r="183">
          <cell r="B183">
            <v>2543597690</v>
          </cell>
          <cell r="AV183">
            <v>11.00487779</v>
          </cell>
        </row>
        <row r="184">
          <cell r="B184">
            <v>1099699983</v>
          </cell>
          <cell r="AV184">
            <v>0</v>
          </cell>
        </row>
        <row r="185">
          <cell r="B185">
            <v>1080161688</v>
          </cell>
          <cell r="AV185">
            <v>0</v>
          </cell>
        </row>
        <row r="186">
          <cell r="B186">
            <v>1045660790</v>
          </cell>
          <cell r="AV186">
            <v>0</v>
          </cell>
        </row>
        <row r="187">
          <cell r="B187">
            <v>2608472185</v>
          </cell>
          <cell r="AV187">
            <v>11.004892180000001</v>
          </cell>
        </row>
        <row r="188">
          <cell r="B188">
            <v>2165310059</v>
          </cell>
          <cell r="AV188">
            <v>11.00495295</v>
          </cell>
        </row>
        <row r="189">
          <cell r="B189">
            <v>2604300323</v>
          </cell>
          <cell r="AV189">
            <v>0</v>
          </cell>
        </row>
        <row r="190">
          <cell r="B190">
            <v>2572567853</v>
          </cell>
          <cell r="AV190">
            <v>0</v>
          </cell>
        </row>
        <row r="191">
          <cell r="B191">
            <v>2600302281</v>
          </cell>
          <cell r="AV191">
            <v>0</v>
          </cell>
        </row>
        <row r="192">
          <cell r="B192">
            <v>2585780618</v>
          </cell>
          <cell r="AV192">
            <v>0</v>
          </cell>
        </row>
        <row r="193">
          <cell r="B193">
            <v>2566854838</v>
          </cell>
          <cell r="AV193">
            <v>0</v>
          </cell>
        </row>
        <row r="194">
          <cell r="B194">
            <v>2575936675</v>
          </cell>
          <cell r="AV194">
            <v>0</v>
          </cell>
        </row>
        <row r="195">
          <cell r="B195">
            <v>2588700563</v>
          </cell>
          <cell r="AV195">
            <v>0</v>
          </cell>
        </row>
        <row r="196">
          <cell r="B196">
            <v>2558834301</v>
          </cell>
          <cell r="AV196">
            <v>0</v>
          </cell>
        </row>
        <row r="197">
          <cell r="B197">
            <v>2596558060</v>
          </cell>
          <cell r="AV197">
            <v>0</v>
          </cell>
        </row>
        <row r="198">
          <cell r="B198">
            <v>2586565455</v>
          </cell>
          <cell r="AV198">
            <v>0</v>
          </cell>
        </row>
        <row r="199">
          <cell r="B199">
            <v>2560703817</v>
          </cell>
          <cell r="AV199">
            <v>0</v>
          </cell>
        </row>
        <row r="200">
          <cell r="B200">
            <v>2596356812</v>
          </cell>
          <cell r="AV200">
            <v>11.004952879999999</v>
          </cell>
        </row>
        <row r="201">
          <cell r="B201">
            <v>2569572122</v>
          </cell>
          <cell r="AV201">
            <v>11.005615969999999</v>
          </cell>
        </row>
        <row r="202">
          <cell r="B202">
            <v>2585782051</v>
          </cell>
          <cell r="AV202">
            <v>0</v>
          </cell>
        </row>
        <row r="203">
          <cell r="B203">
            <v>1094345566</v>
          </cell>
          <cell r="AV203">
            <v>0</v>
          </cell>
        </row>
        <row r="204">
          <cell r="B204">
            <v>1116440007</v>
          </cell>
          <cell r="AV204">
            <v>0</v>
          </cell>
        </row>
        <row r="205">
          <cell r="B205">
            <v>1187541121</v>
          </cell>
          <cell r="AV205">
            <v>0</v>
          </cell>
        </row>
        <row r="206">
          <cell r="B206">
            <v>1043954799</v>
          </cell>
          <cell r="AV206">
            <v>0</v>
          </cell>
        </row>
        <row r="207">
          <cell r="B207">
            <v>2348634250</v>
          </cell>
          <cell r="AV207">
            <v>11.00495278</v>
          </cell>
        </row>
        <row r="208">
          <cell r="B208">
            <v>2612798724</v>
          </cell>
          <cell r="AV208">
            <v>0</v>
          </cell>
        </row>
        <row r="209">
          <cell r="B209">
            <v>1124364066</v>
          </cell>
          <cell r="AV209">
            <v>0</v>
          </cell>
        </row>
        <row r="210">
          <cell r="B210">
            <v>1043111978</v>
          </cell>
          <cell r="AV210">
            <v>0</v>
          </cell>
        </row>
        <row r="211">
          <cell r="B211">
            <v>2564307391</v>
          </cell>
          <cell r="AV211">
            <v>0</v>
          </cell>
        </row>
        <row r="212">
          <cell r="B212">
            <v>2579027281</v>
          </cell>
          <cell r="AV212">
            <v>0</v>
          </cell>
        </row>
        <row r="213">
          <cell r="B213">
            <v>2564307250</v>
          </cell>
          <cell r="AV213">
            <v>0</v>
          </cell>
        </row>
        <row r="214">
          <cell r="B214">
            <v>2308978341</v>
          </cell>
          <cell r="AV214">
            <v>11.004649880000001</v>
          </cell>
        </row>
        <row r="215">
          <cell r="B215">
            <v>2588080305</v>
          </cell>
          <cell r="AV215">
            <v>11.00469534</v>
          </cell>
        </row>
        <row r="216">
          <cell r="B216">
            <v>2586563708</v>
          </cell>
          <cell r="AV216">
            <v>0</v>
          </cell>
        </row>
        <row r="217">
          <cell r="B217">
            <v>2586481174</v>
          </cell>
          <cell r="AV217">
            <v>0</v>
          </cell>
        </row>
        <row r="218">
          <cell r="B218">
            <v>2609238593</v>
          </cell>
          <cell r="AV218">
            <v>0</v>
          </cell>
        </row>
        <row r="219">
          <cell r="B219">
            <v>2602107704</v>
          </cell>
          <cell r="AV219">
            <v>0</v>
          </cell>
        </row>
        <row r="220">
          <cell r="B220">
            <v>2582221335</v>
          </cell>
          <cell r="AV220">
            <v>0</v>
          </cell>
        </row>
        <row r="221">
          <cell r="B221">
            <v>2602245975</v>
          </cell>
          <cell r="AV221">
            <v>11.00495257</v>
          </cell>
        </row>
        <row r="222">
          <cell r="B222">
            <v>2546691888</v>
          </cell>
          <cell r="AV222">
            <v>11.00487768</v>
          </cell>
        </row>
        <row r="223">
          <cell r="B223">
            <v>2596356267</v>
          </cell>
          <cell r="AV223">
            <v>11.004820479999999</v>
          </cell>
        </row>
        <row r="224">
          <cell r="B224">
            <v>2578741379</v>
          </cell>
          <cell r="AV224">
            <v>11.004449579999999</v>
          </cell>
        </row>
        <row r="225">
          <cell r="B225">
            <v>2404248755</v>
          </cell>
          <cell r="AV225">
            <v>11.00444963</v>
          </cell>
        </row>
        <row r="226">
          <cell r="B226">
            <v>1016501163</v>
          </cell>
          <cell r="AV226">
            <v>0</v>
          </cell>
        </row>
        <row r="227">
          <cell r="B227">
            <v>2528117357</v>
          </cell>
          <cell r="AV227">
            <v>0</v>
          </cell>
        </row>
        <row r="228">
          <cell r="B228">
            <v>2582489270</v>
          </cell>
          <cell r="AV228">
            <v>0</v>
          </cell>
        </row>
        <row r="229">
          <cell r="B229">
            <v>2419343096</v>
          </cell>
          <cell r="AV229">
            <v>11.00430383</v>
          </cell>
        </row>
        <row r="230">
          <cell r="B230">
            <v>2537315679</v>
          </cell>
          <cell r="AV230">
            <v>11.004280270000001</v>
          </cell>
        </row>
        <row r="231">
          <cell r="B231">
            <v>2588259362</v>
          </cell>
          <cell r="AV231">
            <v>11.00444967</v>
          </cell>
        </row>
        <row r="232">
          <cell r="B232">
            <v>2594162956</v>
          </cell>
          <cell r="AV232">
            <v>0</v>
          </cell>
        </row>
        <row r="233">
          <cell r="B233">
            <v>2600958801</v>
          </cell>
          <cell r="AV233">
            <v>0</v>
          </cell>
        </row>
        <row r="234">
          <cell r="B234">
            <v>2313229391</v>
          </cell>
          <cell r="AV234">
            <v>11.00430446</v>
          </cell>
        </row>
        <row r="235">
          <cell r="B235">
            <v>2600263335</v>
          </cell>
          <cell r="AV235">
            <v>0</v>
          </cell>
        </row>
        <row r="236">
          <cell r="B236">
            <v>2611848157</v>
          </cell>
          <cell r="AV236">
            <v>0</v>
          </cell>
        </row>
        <row r="237">
          <cell r="B237">
            <v>2564446751</v>
          </cell>
          <cell r="AV237">
            <v>11.00430386</v>
          </cell>
        </row>
        <row r="238">
          <cell r="B238">
            <v>2595239118</v>
          </cell>
          <cell r="AV238">
            <v>0</v>
          </cell>
        </row>
        <row r="239">
          <cell r="B239">
            <v>2408501704</v>
          </cell>
          <cell r="AV239">
            <v>11.00430377</v>
          </cell>
        </row>
        <row r="240">
          <cell r="B240">
            <v>2571648183</v>
          </cell>
          <cell r="AV240">
            <v>11.004302559999999</v>
          </cell>
        </row>
        <row r="241">
          <cell r="B241">
            <v>1104136260</v>
          </cell>
          <cell r="AV241">
            <v>0</v>
          </cell>
        </row>
        <row r="242">
          <cell r="B242">
            <v>2581738354</v>
          </cell>
          <cell r="AV242">
            <v>11.004058580000001</v>
          </cell>
        </row>
        <row r="243">
          <cell r="B243">
            <v>2557688427</v>
          </cell>
          <cell r="AV243">
            <v>11.00386031</v>
          </cell>
        </row>
        <row r="244">
          <cell r="B244">
            <v>2425848534</v>
          </cell>
          <cell r="AV244">
            <v>0</v>
          </cell>
        </row>
        <row r="245">
          <cell r="B245">
            <v>2583917600</v>
          </cell>
          <cell r="AV245">
            <v>0</v>
          </cell>
        </row>
        <row r="246">
          <cell r="B246">
            <v>1124275999</v>
          </cell>
          <cell r="AV246">
            <v>0</v>
          </cell>
        </row>
        <row r="247">
          <cell r="B247">
            <v>1127525952</v>
          </cell>
          <cell r="AV247">
            <v>0</v>
          </cell>
        </row>
        <row r="248">
          <cell r="B248">
            <v>2587272416</v>
          </cell>
          <cell r="AV248">
            <v>0</v>
          </cell>
        </row>
        <row r="249">
          <cell r="B249">
            <v>2588493870</v>
          </cell>
          <cell r="AV249">
            <v>11.003894349999999</v>
          </cell>
        </row>
        <row r="250">
          <cell r="B250">
            <v>2583673120</v>
          </cell>
          <cell r="AV250">
            <v>11.003519499999999</v>
          </cell>
        </row>
        <row r="251">
          <cell r="B251">
            <v>2583024472</v>
          </cell>
          <cell r="AV251">
            <v>11.00353928</v>
          </cell>
        </row>
        <row r="252">
          <cell r="B252">
            <v>2566744575</v>
          </cell>
          <cell r="AV252">
            <v>0</v>
          </cell>
        </row>
        <row r="253">
          <cell r="B253">
            <v>2575060708</v>
          </cell>
          <cell r="AV253">
            <v>11.003825819999999</v>
          </cell>
        </row>
        <row r="254">
          <cell r="B254">
            <v>2510901008</v>
          </cell>
          <cell r="AV254">
            <v>11.003443109999999</v>
          </cell>
        </row>
        <row r="255">
          <cell r="B255">
            <v>2578800423</v>
          </cell>
          <cell r="AV255">
            <v>0</v>
          </cell>
        </row>
        <row r="256">
          <cell r="B256">
            <v>2570719662</v>
          </cell>
          <cell r="AV256">
            <v>0</v>
          </cell>
        </row>
        <row r="257">
          <cell r="B257">
            <v>2570719415</v>
          </cell>
          <cell r="AV257">
            <v>0</v>
          </cell>
        </row>
        <row r="258">
          <cell r="B258">
            <v>2563494273</v>
          </cell>
          <cell r="AV258">
            <v>0</v>
          </cell>
        </row>
        <row r="259">
          <cell r="B259">
            <v>2390387542</v>
          </cell>
          <cell r="AV259">
            <v>11.00289796</v>
          </cell>
        </row>
        <row r="260">
          <cell r="B260">
            <v>2325608988</v>
          </cell>
          <cell r="AV260">
            <v>11.00298192</v>
          </cell>
        </row>
        <row r="261">
          <cell r="B261">
            <v>2353619238</v>
          </cell>
          <cell r="AV261">
            <v>11.002875039999999</v>
          </cell>
        </row>
        <row r="262">
          <cell r="B262">
            <v>2425065808</v>
          </cell>
          <cell r="AV262">
            <v>11.00287501</v>
          </cell>
        </row>
        <row r="263">
          <cell r="B263">
            <v>2562205076</v>
          </cell>
          <cell r="AV263">
            <v>0</v>
          </cell>
        </row>
        <row r="264">
          <cell r="B264">
            <v>2567992678</v>
          </cell>
          <cell r="AV264">
            <v>0</v>
          </cell>
        </row>
        <row r="265">
          <cell r="B265">
            <v>2567991936</v>
          </cell>
          <cell r="AV265">
            <v>0</v>
          </cell>
        </row>
        <row r="266">
          <cell r="B266">
            <v>2567989856</v>
          </cell>
          <cell r="AV266">
            <v>0</v>
          </cell>
        </row>
        <row r="267">
          <cell r="B267">
            <v>2567989484</v>
          </cell>
          <cell r="AV267">
            <v>0</v>
          </cell>
        </row>
        <row r="268">
          <cell r="B268">
            <v>2571767439</v>
          </cell>
          <cell r="AV268">
            <v>0</v>
          </cell>
        </row>
        <row r="269">
          <cell r="B269">
            <v>2562205761</v>
          </cell>
          <cell r="AV269">
            <v>0</v>
          </cell>
        </row>
        <row r="270">
          <cell r="B270">
            <v>2562206330</v>
          </cell>
          <cell r="AV270">
            <v>0</v>
          </cell>
        </row>
        <row r="271">
          <cell r="B271">
            <v>2562717062</v>
          </cell>
          <cell r="AV271">
            <v>0</v>
          </cell>
        </row>
        <row r="272">
          <cell r="B272">
            <v>2562667267</v>
          </cell>
          <cell r="AV272">
            <v>0</v>
          </cell>
        </row>
        <row r="273">
          <cell r="B273">
            <v>2559107137</v>
          </cell>
          <cell r="AV273">
            <v>0</v>
          </cell>
        </row>
        <row r="274">
          <cell r="B274">
            <v>2559106345</v>
          </cell>
          <cell r="AV274">
            <v>0</v>
          </cell>
        </row>
        <row r="275">
          <cell r="B275">
            <v>2561738671</v>
          </cell>
          <cell r="AV275">
            <v>0</v>
          </cell>
        </row>
        <row r="276">
          <cell r="B276">
            <v>2566127847</v>
          </cell>
          <cell r="AV276">
            <v>0</v>
          </cell>
        </row>
        <row r="277">
          <cell r="B277">
            <v>2570559894</v>
          </cell>
          <cell r="AV277">
            <v>0</v>
          </cell>
        </row>
        <row r="278">
          <cell r="B278">
            <v>2555616065</v>
          </cell>
          <cell r="AV278">
            <v>0</v>
          </cell>
        </row>
        <row r="279">
          <cell r="B279">
            <v>2562201455</v>
          </cell>
          <cell r="AV279">
            <v>0</v>
          </cell>
        </row>
        <row r="280">
          <cell r="B280">
            <v>2548467295</v>
          </cell>
          <cell r="AV280">
            <v>0</v>
          </cell>
        </row>
        <row r="281">
          <cell r="B281">
            <v>2548467725</v>
          </cell>
          <cell r="AV281">
            <v>0</v>
          </cell>
        </row>
        <row r="282">
          <cell r="B282">
            <v>2548474473</v>
          </cell>
          <cell r="AV282">
            <v>0</v>
          </cell>
        </row>
        <row r="283">
          <cell r="B283">
            <v>2548468749</v>
          </cell>
          <cell r="AV283">
            <v>0</v>
          </cell>
        </row>
        <row r="284">
          <cell r="B284">
            <v>2552546232</v>
          </cell>
          <cell r="AV284">
            <v>0</v>
          </cell>
        </row>
        <row r="285">
          <cell r="B285">
            <v>2562203287</v>
          </cell>
          <cell r="AV285">
            <v>0</v>
          </cell>
        </row>
        <row r="286">
          <cell r="B286">
            <v>2560883593</v>
          </cell>
          <cell r="AV286">
            <v>0</v>
          </cell>
        </row>
        <row r="287">
          <cell r="B287">
            <v>2562206058</v>
          </cell>
          <cell r="AV287">
            <v>0</v>
          </cell>
        </row>
        <row r="288">
          <cell r="B288">
            <v>2562202172</v>
          </cell>
          <cell r="AV288">
            <v>0</v>
          </cell>
        </row>
        <row r="289">
          <cell r="B289">
            <v>2570646386</v>
          </cell>
          <cell r="AV289">
            <v>0</v>
          </cell>
        </row>
        <row r="290">
          <cell r="B290">
            <v>2560885176</v>
          </cell>
          <cell r="AV290">
            <v>0</v>
          </cell>
        </row>
        <row r="291">
          <cell r="B291">
            <v>2562460747</v>
          </cell>
          <cell r="AV291">
            <v>0</v>
          </cell>
        </row>
        <row r="292">
          <cell r="B292">
            <v>2559108770</v>
          </cell>
          <cell r="AV292">
            <v>0</v>
          </cell>
        </row>
        <row r="293">
          <cell r="B293">
            <v>2564919377</v>
          </cell>
          <cell r="AV293">
            <v>0</v>
          </cell>
        </row>
        <row r="294">
          <cell r="B294">
            <v>2552219772</v>
          </cell>
          <cell r="AV294">
            <v>0</v>
          </cell>
        </row>
        <row r="295">
          <cell r="B295">
            <v>2540878036</v>
          </cell>
          <cell r="AV295">
            <v>0</v>
          </cell>
        </row>
        <row r="296">
          <cell r="B296">
            <v>2517102568</v>
          </cell>
          <cell r="AV296">
            <v>0</v>
          </cell>
        </row>
        <row r="297">
          <cell r="B297">
            <v>2414016424</v>
          </cell>
          <cell r="AV297">
            <v>0</v>
          </cell>
        </row>
        <row r="298">
          <cell r="B298">
            <v>2505228151</v>
          </cell>
          <cell r="AV298">
            <v>0</v>
          </cell>
        </row>
        <row r="299">
          <cell r="B299">
            <v>2337919969</v>
          </cell>
          <cell r="AV299">
            <v>0</v>
          </cell>
        </row>
        <row r="300">
          <cell r="B300">
            <v>2607007255</v>
          </cell>
          <cell r="AV300">
            <v>0</v>
          </cell>
        </row>
        <row r="301">
          <cell r="B301">
            <v>2636257749</v>
          </cell>
          <cell r="AV301">
            <v>0</v>
          </cell>
        </row>
        <row r="302">
          <cell r="B302">
            <v>2568200659</v>
          </cell>
          <cell r="AV302">
            <v>0</v>
          </cell>
        </row>
        <row r="303">
          <cell r="B303">
            <v>2590036691</v>
          </cell>
          <cell r="AV303">
            <v>0</v>
          </cell>
        </row>
        <row r="304">
          <cell r="B304">
            <v>2639555164</v>
          </cell>
          <cell r="AV304">
            <v>0</v>
          </cell>
        </row>
        <row r="305">
          <cell r="B305">
            <v>2444446393</v>
          </cell>
          <cell r="AV305">
            <v>0</v>
          </cell>
        </row>
        <row r="306">
          <cell r="B306">
            <v>2598673842</v>
          </cell>
          <cell r="AV306">
            <v>0</v>
          </cell>
        </row>
        <row r="307">
          <cell r="B307">
            <v>2566369878</v>
          </cell>
          <cell r="AV307">
            <v>0</v>
          </cell>
        </row>
        <row r="308">
          <cell r="B308">
            <v>2578671519</v>
          </cell>
          <cell r="AV308">
            <v>0</v>
          </cell>
        </row>
        <row r="309">
          <cell r="B309">
            <v>2589695374</v>
          </cell>
          <cell r="AV309">
            <v>0</v>
          </cell>
        </row>
        <row r="310">
          <cell r="B310">
            <v>2600845370</v>
          </cell>
          <cell r="AV310">
            <v>0</v>
          </cell>
        </row>
        <row r="311">
          <cell r="B311">
            <v>2560708006</v>
          </cell>
          <cell r="AV311">
            <v>0</v>
          </cell>
        </row>
        <row r="312">
          <cell r="B312">
            <v>2613704226</v>
          </cell>
          <cell r="AV312">
            <v>0</v>
          </cell>
        </row>
        <row r="313">
          <cell r="B313">
            <v>2586502839</v>
          </cell>
          <cell r="AV313">
            <v>0</v>
          </cell>
        </row>
        <row r="314">
          <cell r="B314">
            <v>2588682613</v>
          </cell>
          <cell r="AV314">
            <v>0</v>
          </cell>
        </row>
        <row r="315">
          <cell r="B315">
            <v>2605532643</v>
          </cell>
          <cell r="AV315">
            <v>0</v>
          </cell>
        </row>
        <row r="316">
          <cell r="B316">
            <v>2591742545</v>
          </cell>
          <cell r="AV316">
            <v>0</v>
          </cell>
        </row>
        <row r="317">
          <cell r="B317">
            <v>2630928295</v>
          </cell>
          <cell r="AV317">
            <v>0</v>
          </cell>
        </row>
        <row r="318">
          <cell r="B318">
            <v>2588109203</v>
          </cell>
          <cell r="AV318">
            <v>0</v>
          </cell>
        </row>
        <row r="319">
          <cell r="B319">
            <v>2567275397</v>
          </cell>
          <cell r="AV319">
            <v>0</v>
          </cell>
        </row>
        <row r="320">
          <cell r="B320">
            <v>2585711043</v>
          </cell>
          <cell r="AV320">
            <v>0</v>
          </cell>
        </row>
        <row r="321">
          <cell r="B321">
            <v>2581749112</v>
          </cell>
          <cell r="AV321">
            <v>0</v>
          </cell>
        </row>
        <row r="322">
          <cell r="B322">
            <v>2589023700</v>
          </cell>
          <cell r="AV322">
            <v>0</v>
          </cell>
        </row>
        <row r="323">
          <cell r="B323">
            <v>2581785736</v>
          </cell>
          <cell r="AV323">
            <v>0</v>
          </cell>
        </row>
        <row r="324">
          <cell r="B324">
            <v>2410864439</v>
          </cell>
          <cell r="AV324">
            <v>0</v>
          </cell>
        </row>
        <row r="325">
          <cell r="B325">
            <v>2634031138</v>
          </cell>
          <cell r="AV325">
            <v>0</v>
          </cell>
        </row>
        <row r="326">
          <cell r="B326">
            <v>2580147763</v>
          </cell>
          <cell r="AV326">
            <v>0</v>
          </cell>
        </row>
        <row r="327">
          <cell r="B327">
            <v>2344848714</v>
          </cell>
          <cell r="AV327">
            <v>0</v>
          </cell>
        </row>
        <row r="328">
          <cell r="B328">
            <v>2609188863</v>
          </cell>
          <cell r="AV328">
            <v>0</v>
          </cell>
        </row>
        <row r="329">
          <cell r="B329">
            <v>2559532565</v>
          </cell>
          <cell r="AV329">
            <v>0</v>
          </cell>
        </row>
        <row r="330">
          <cell r="B330">
            <v>2601428259</v>
          </cell>
          <cell r="AV330">
            <v>0</v>
          </cell>
        </row>
        <row r="331">
          <cell r="B331">
            <v>4659518213</v>
          </cell>
          <cell r="AV331">
            <v>0</v>
          </cell>
        </row>
        <row r="332">
          <cell r="B332">
            <v>2621980495</v>
          </cell>
          <cell r="AV332">
            <v>0</v>
          </cell>
        </row>
        <row r="333">
          <cell r="B333">
            <v>2365000195</v>
          </cell>
          <cell r="AV333">
            <v>0</v>
          </cell>
        </row>
        <row r="334">
          <cell r="B334">
            <v>2535530840</v>
          </cell>
          <cell r="AV334">
            <v>0</v>
          </cell>
        </row>
        <row r="335">
          <cell r="B335">
            <v>2621086426</v>
          </cell>
          <cell r="AV335">
            <v>0</v>
          </cell>
        </row>
        <row r="336">
          <cell r="B336">
            <v>2547036372</v>
          </cell>
          <cell r="AV336">
            <v>0</v>
          </cell>
        </row>
        <row r="337">
          <cell r="B337">
            <v>2404882967</v>
          </cell>
          <cell r="AV337">
            <v>0</v>
          </cell>
        </row>
        <row r="338">
          <cell r="B338">
            <v>2615256175</v>
          </cell>
          <cell r="AV338">
            <v>0</v>
          </cell>
        </row>
        <row r="339">
          <cell r="B339">
            <v>2609179607</v>
          </cell>
          <cell r="AV339">
            <v>0</v>
          </cell>
        </row>
        <row r="340">
          <cell r="B340">
            <v>2577457951</v>
          </cell>
          <cell r="AV340">
            <v>0</v>
          </cell>
        </row>
        <row r="341">
          <cell r="B341">
            <v>2569644772</v>
          </cell>
          <cell r="AV341">
            <v>0</v>
          </cell>
        </row>
        <row r="342">
          <cell r="B342">
            <v>2569646728</v>
          </cell>
          <cell r="AV342">
            <v>0</v>
          </cell>
        </row>
        <row r="343">
          <cell r="B343">
            <v>2589063623</v>
          </cell>
          <cell r="AV343">
            <v>0</v>
          </cell>
        </row>
        <row r="344">
          <cell r="B344">
            <v>2600468512</v>
          </cell>
          <cell r="AV344">
            <v>0</v>
          </cell>
        </row>
        <row r="345">
          <cell r="B345">
            <v>2529914224</v>
          </cell>
          <cell r="AV345">
            <v>0</v>
          </cell>
        </row>
        <row r="346">
          <cell r="B346">
            <v>2586867489</v>
          </cell>
          <cell r="AV346">
            <v>0</v>
          </cell>
        </row>
        <row r="347">
          <cell r="B347">
            <v>2562205704</v>
          </cell>
          <cell r="AV347">
            <v>0</v>
          </cell>
        </row>
        <row r="348">
          <cell r="B348">
            <v>2578744076</v>
          </cell>
          <cell r="AV348">
            <v>0</v>
          </cell>
        </row>
        <row r="349">
          <cell r="B349">
            <v>2570585915</v>
          </cell>
          <cell r="AV349">
            <v>0</v>
          </cell>
        </row>
        <row r="350">
          <cell r="B350">
            <v>2562021978</v>
          </cell>
          <cell r="AV350">
            <v>0</v>
          </cell>
        </row>
        <row r="351">
          <cell r="B351">
            <v>2568883777</v>
          </cell>
          <cell r="AV351">
            <v>0</v>
          </cell>
        </row>
        <row r="352">
          <cell r="B352">
            <v>2643085877</v>
          </cell>
          <cell r="AV352">
            <v>0</v>
          </cell>
        </row>
        <row r="353">
          <cell r="B353">
            <v>2360829754</v>
          </cell>
          <cell r="AV353">
            <v>0</v>
          </cell>
        </row>
        <row r="354">
          <cell r="B354">
            <v>2571606447</v>
          </cell>
          <cell r="AV354">
            <v>0</v>
          </cell>
        </row>
        <row r="355">
          <cell r="B355">
            <v>2532063233</v>
          </cell>
          <cell r="AV355">
            <v>0</v>
          </cell>
        </row>
        <row r="356">
          <cell r="B356">
            <v>2608015794</v>
          </cell>
          <cell r="AV356">
            <v>0</v>
          </cell>
        </row>
        <row r="357">
          <cell r="B357">
            <v>2605086525</v>
          </cell>
          <cell r="AV357">
            <v>0</v>
          </cell>
        </row>
        <row r="358">
          <cell r="B358">
            <v>2534173972</v>
          </cell>
          <cell r="AV358">
            <v>0</v>
          </cell>
        </row>
        <row r="359">
          <cell r="B359">
            <v>2616746968</v>
          </cell>
          <cell r="AV359">
            <v>0</v>
          </cell>
        </row>
        <row r="360">
          <cell r="B360">
            <v>2644111508</v>
          </cell>
          <cell r="AV360">
            <v>0</v>
          </cell>
        </row>
        <row r="361">
          <cell r="B361">
            <v>2591331687</v>
          </cell>
          <cell r="AV361">
            <v>0</v>
          </cell>
        </row>
        <row r="362">
          <cell r="B362">
            <v>2592963413</v>
          </cell>
          <cell r="AV362">
            <v>0</v>
          </cell>
        </row>
        <row r="363">
          <cell r="B363">
            <v>2592963348</v>
          </cell>
          <cell r="AV363">
            <v>0</v>
          </cell>
        </row>
        <row r="364">
          <cell r="B364">
            <v>2591331760</v>
          </cell>
          <cell r="AV364">
            <v>0</v>
          </cell>
        </row>
        <row r="365">
          <cell r="B365">
            <v>2596969952</v>
          </cell>
          <cell r="AV365">
            <v>0</v>
          </cell>
        </row>
        <row r="366">
          <cell r="B366">
            <v>2584522383</v>
          </cell>
          <cell r="AV366">
            <v>0</v>
          </cell>
        </row>
        <row r="367">
          <cell r="B367">
            <v>1124045970</v>
          </cell>
          <cell r="AV367">
            <v>0</v>
          </cell>
        </row>
        <row r="368">
          <cell r="B368">
            <v>1124283423</v>
          </cell>
          <cell r="AV368">
            <v>0</v>
          </cell>
        </row>
        <row r="369">
          <cell r="B369">
            <v>1071332306</v>
          </cell>
          <cell r="AV369">
            <v>0</v>
          </cell>
        </row>
        <row r="370">
          <cell r="B370">
            <v>3645249248</v>
          </cell>
          <cell r="AV370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6"/>
  <sheetViews>
    <sheetView rightToLeft="1" tabSelected="1" workbookViewId="0">
      <pane ySplit="2" topLeftCell="A67" activePane="bottomLeft" state="frozen"/>
      <selection pane="bottomLeft" activeCell="E11" sqref="E11"/>
    </sheetView>
  </sheetViews>
  <sheetFormatPr defaultRowHeight="14.4" x14ac:dyDescent="0.3"/>
  <cols>
    <col min="1" max="1" width="14" customWidth="1"/>
    <col min="2" max="2" width="30" customWidth="1"/>
    <col min="3" max="3" width="16" customWidth="1"/>
    <col min="4" max="7" width="18" customWidth="1"/>
    <col min="8" max="8" width="24.44140625" customWidth="1"/>
  </cols>
  <sheetData>
    <row r="1" spans="1:8" x14ac:dyDescent="0.3">
      <c r="A1" s="6">
        <f>SUBTOTAL(3,A3:A396)</f>
        <v>394</v>
      </c>
      <c r="B1" s="6">
        <f t="shared" ref="B1:G1" si="0">SUBTOTAL(3,B3:B396)</f>
        <v>394</v>
      </c>
      <c r="C1" s="6">
        <f t="shared" si="0"/>
        <v>394</v>
      </c>
      <c r="D1" s="6">
        <f t="shared" si="0"/>
        <v>394</v>
      </c>
      <c r="E1" s="6">
        <f t="shared" si="0"/>
        <v>394</v>
      </c>
      <c r="F1" s="6">
        <f t="shared" si="0"/>
        <v>394</v>
      </c>
      <c r="G1" s="6">
        <f t="shared" si="0"/>
        <v>394</v>
      </c>
    </row>
    <row r="2" spans="1:8" ht="25.9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7" t="s">
        <v>912</v>
      </c>
    </row>
    <row r="3" spans="1:8" ht="19.95" customHeight="1" x14ac:dyDescent="0.3">
      <c r="A3" s="2" t="s">
        <v>7</v>
      </c>
      <c r="B3" s="2" t="s">
        <v>8</v>
      </c>
      <c r="C3" s="4">
        <v>2608472185</v>
      </c>
      <c r="D3" s="2" t="s">
        <v>9</v>
      </c>
      <c r="E3" s="2" t="s">
        <v>10</v>
      </c>
      <c r="F3" s="2" t="s">
        <v>11</v>
      </c>
      <c r="G3" s="2" t="s">
        <v>12</v>
      </c>
      <c r="H3">
        <f>_xlfn.XLOOKUP(C3,'[1]بيانات الموظفين'!$B:$B,'[1]بيانات الموظفين'!$AV:$AV)</f>
        <v>11.004892180000001</v>
      </c>
    </row>
    <row r="4" spans="1:8" ht="19.95" customHeight="1" x14ac:dyDescent="0.3">
      <c r="A4" s="3" t="s">
        <v>13</v>
      </c>
      <c r="B4" s="3" t="s">
        <v>14</v>
      </c>
      <c r="C4" s="5">
        <v>2510901008</v>
      </c>
      <c r="D4" s="3" t="s">
        <v>9</v>
      </c>
      <c r="E4" s="3" t="s">
        <v>10</v>
      </c>
      <c r="F4" s="3" t="s">
        <v>15</v>
      </c>
      <c r="G4" s="3" t="s">
        <v>16</v>
      </c>
      <c r="H4">
        <f>_xlfn.XLOOKUP(C4,'[1]بيانات الموظفين'!$B:$B,'[1]بيانات الموظفين'!$AV:$AV)</f>
        <v>11.003443109999999</v>
      </c>
    </row>
    <row r="5" spans="1:8" ht="19.95" customHeight="1" x14ac:dyDescent="0.3">
      <c r="A5" s="2" t="s">
        <v>17</v>
      </c>
      <c r="B5" s="2" t="s">
        <v>18</v>
      </c>
      <c r="C5" s="4">
        <v>2165310059</v>
      </c>
      <c r="D5" s="2" t="s">
        <v>9</v>
      </c>
      <c r="E5" s="2" t="s">
        <v>10</v>
      </c>
      <c r="F5" s="2" t="s">
        <v>19</v>
      </c>
      <c r="G5" s="2" t="s">
        <v>20</v>
      </c>
      <c r="H5">
        <f>_xlfn.XLOOKUP(C5,'[1]بيانات الموظفين'!$B:$B,'[1]بيانات الموظفين'!$AV:$AV)</f>
        <v>11.00495295</v>
      </c>
    </row>
    <row r="6" spans="1:8" ht="19.95" customHeight="1" x14ac:dyDescent="0.3">
      <c r="A6" s="3" t="s">
        <v>21</v>
      </c>
      <c r="B6" s="3" t="s">
        <v>22</v>
      </c>
      <c r="C6" s="5">
        <v>2348634250</v>
      </c>
      <c r="D6" s="3" t="s">
        <v>9</v>
      </c>
      <c r="E6" s="3" t="s">
        <v>10</v>
      </c>
      <c r="F6" s="3" t="s">
        <v>23</v>
      </c>
      <c r="G6" s="3" t="s">
        <v>20</v>
      </c>
      <c r="H6">
        <f>_xlfn.XLOOKUP(C6,'[1]بيانات الموظفين'!$B:$B,'[1]بيانات الموظفين'!$AV:$AV)</f>
        <v>11.00495278</v>
      </c>
    </row>
    <row r="7" spans="1:8" ht="19.95" customHeight="1" x14ac:dyDescent="0.3">
      <c r="A7" s="2" t="s">
        <v>24</v>
      </c>
      <c r="B7" s="2" t="s">
        <v>25</v>
      </c>
      <c r="C7" s="4">
        <v>2596356812</v>
      </c>
      <c r="D7" s="2" t="s">
        <v>9</v>
      </c>
      <c r="E7" s="2" t="s">
        <v>10</v>
      </c>
      <c r="F7" s="2" t="s">
        <v>26</v>
      </c>
      <c r="G7" s="2" t="s">
        <v>20</v>
      </c>
      <c r="H7">
        <f>_xlfn.XLOOKUP(C7,'[1]بيانات الموظفين'!$B:$B,'[1]بيانات الموظفين'!$AV:$AV)</f>
        <v>11.004952879999999</v>
      </c>
    </row>
    <row r="8" spans="1:8" ht="19.95" customHeight="1" x14ac:dyDescent="0.3">
      <c r="A8" s="3" t="s">
        <v>27</v>
      </c>
      <c r="B8" s="3" t="s">
        <v>28</v>
      </c>
      <c r="C8" s="5">
        <v>2602245975</v>
      </c>
      <c r="D8" s="3" t="s">
        <v>9</v>
      </c>
      <c r="E8" s="3" t="s">
        <v>10</v>
      </c>
      <c r="F8" s="3" t="s">
        <v>29</v>
      </c>
      <c r="G8" s="3" t="s">
        <v>20</v>
      </c>
      <c r="H8">
        <f>_xlfn.XLOOKUP(C8,'[1]بيانات الموظفين'!$B:$B,'[1]بيانات الموظفين'!$AV:$AV)</f>
        <v>11.00495257</v>
      </c>
    </row>
    <row r="9" spans="1:8" ht="19.95" customHeight="1" x14ac:dyDescent="0.3">
      <c r="A9" s="2" t="s">
        <v>30</v>
      </c>
      <c r="B9" s="2" t="s">
        <v>31</v>
      </c>
      <c r="C9" s="4">
        <v>2571017389</v>
      </c>
      <c r="D9" s="2" t="s">
        <v>9</v>
      </c>
      <c r="E9" s="2" t="s">
        <v>10</v>
      </c>
      <c r="F9" s="2" t="s">
        <v>33</v>
      </c>
      <c r="G9" s="2" t="s">
        <v>34</v>
      </c>
      <c r="H9">
        <f>_xlfn.XLOOKUP(C9,'[1]بيانات الموظفين'!$B:$B,'[1]بيانات الموظفين'!$AV:$AV)</f>
        <v>11.00645319</v>
      </c>
    </row>
    <row r="10" spans="1:8" ht="19.95" customHeight="1" x14ac:dyDescent="0.3">
      <c r="A10" s="3" t="s">
        <v>35</v>
      </c>
      <c r="B10" s="3" t="s">
        <v>36</v>
      </c>
      <c r="C10" s="5">
        <v>2249015393</v>
      </c>
      <c r="D10" s="3" t="s">
        <v>9</v>
      </c>
      <c r="E10" s="3" t="s">
        <v>10</v>
      </c>
      <c r="F10" s="3" t="s">
        <v>38</v>
      </c>
      <c r="G10" s="3" t="s">
        <v>34</v>
      </c>
      <c r="H10">
        <f>_xlfn.XLOOKUP(C10,'[1]بيانات الموظفين'!$B:$B,'[1]بيانات الموظفين'!$AV:$AV)</f>
        <v>11.00645308</v>
      </c>
    </row>
    <row r="11" spans="1:8" ht="19.95" customHeight="1" x14ac:dyDescent="0.3">
      <c r="A11" s="2" t="s">
        <v>39</v>
      </c>
      <c r="B11" s="2" t="s">
        <v>40</v>
      </c>
      <c r="C11" s="4">
        <v>2583024472</v>
      </c>
      <c r="D11" s="2" t="s">
        <v>9</v>
      </c>
      <c r="E11" s="2" t="s">
        <v>10</v>
      </c>
      <c r="F11" s="2" t="s">
        <v>41</v>
      </c>
      <c r="G11" s="2" t="s">
        <v>42</v>
      </c>
      <c r="H11">
        <f>_xlfn.XLOOKUP(C11,'[1]بيانات الموظفين'!$B:$B,'[1]بيانات الموظفين'!$AV:$AV)</f>
        <v>11.00353928</v>
      </c>
    </row>
    <row r="12" spans="1:8" ht="19.95" customHeight="1" x14ac:dyDescent="0.3">
      <c r="A12" s="3" t="s">
        <v>43</v>
      </c>
      <c r="B12" s="3" t="s">
        <v>44</v>
      </c>
      <c r="C12" s="5">
        <v>2425598634</v>
      </c>
      <c r="D12" s="3" t="s">
        <v>9</v>
      </c>
      <c r="E12" s="3" t="s">
        <v>10</v>
      </c>
      <c r="F12" s="3" t="s">
        <v>45</v>
      </c>
      <c r="G12" s="3" t="s">
        <v>46</v>
      </c>
      <c r="H12">
        <f>_xlfn.XLOOKUP(C12,'[1]بيانات الموظفين'!$B:$B,'[1]بيانات الموظفين'!$AV:$AV)</f>
        <v>11.00503964</v>
      </c>
    </row>
    <row r="13" spans="1:8" ht="19.95" customHeight="1" x14ac:dyDescent="0.3">
      <c r="A13" s="2" t="s">
        <v>47</v>
      </c>
      <c r="B13" s="2" t="s">
        <v>48</v>
      </c>
      <c r="C13" s="4">
        <v>2553484540</v>
      </c>
      <c r="D13" s="2" t="s">
        <v>9</v>
      </c>
      <c r="E13" s="2" t="s">
        <v>10</v>
      </c>
      <c r="F13" s="2" t="s">
        <v>49</v>
      </c>
      <c r="G13" s="2" t="s">
        <v>46</v>
      </c>
      <c r="H13">
        <f>_xlfn.XLOOKUP(C13,'[1]بيانات الموظفين'!$B:$B,'[1]بيانات الموظفين'!$AV:$AV)</f>
        <v>11.005040429999999</v>
      </c>
    </row>
    <row r="14" spans="1:8" ht="19.95" customHeight="1" x14ac:dyDescent="0.3">
      <c r="A14" s="3" t="s">
        <v>50</v>
      </c>
      <c r="B14" s="3" t="s">
        <v>51</v>
      </c>
      <c r="C14" s="5">
        <v>2615434715</v>
      </c>
      <c r="D14" s="3" t="s">
        <v>9</v>
      </c>
      <c r="E14" s="3" t="s">
        <v>10</v>
      </c>
      <c r="F14" s="3" t="s">
        <v>52</v>
      </c>
      <c r="G14" s="3" t="s">
        <v>53</v>
      </c>
      <c r="H14" t="e">
        <f>_xlfn.XLOOKUP(C14,'[1]بيانات الموظفين'!$B:$B,'[1]بيانات الموظفين'!$AV:$AV)</f>
        <v>#N/A</v>
      </c>
    </row>
    <row r="15" spans="1:8" ht="19.95" customHeight="1" x14ac:dyDescent="0.3">
      <c r="A15" s="2" t="s">
        <v>54</v>
      </c>
      <c r="B15" s="2" t="s">
        <v>55</v>
      </c>
      <c r="C15" s="4">
        <v>2616062622</v>
      </c>
      <c r="D15" s="2" t="s">
        <v>9</v>
      </c>
      <c r="E15" s="2" t="s">
        <v>10</v>
      </c>
      <c r="F15" s="2" t="s">
        <v>56</v>
      </c>
      <c r="G15" s="2" t="s">
        <v>53</v>
      </c>
      <c r="H15">
        <f>_xlfn.XLOOKUP(C15,'[1]بيانات الموظفين'!$B:$B,'[1]بيانات الموظفين'!$AV:$AV)</f>
        <v>11.005044229999999</v>
      </c>
    </row>
    <row r="16" spans="1:8" ht="19.95" customHeight="1" x14ac:dyDescent="0.3">
      <c r="A16" s="3" t="s">
        <v>57</v>
      </c>
      <c r="B16" s="3" t="s">
        <v>58</v>
      </c>
      <c r="C16" s="5">
        <v>2425065808</v>
      </c>
      <c r="D16" s="3" t="s">
        <v>9</v>
      </c>
      <c r="E16" s="3" t="s">
        <v>10</v>
      </c>
      <c r="F16" s="3" t="s">
        <v>59</v>
      </c>
      <c r="G16" s="3" t="s">
        <v>60</v>
      </c>
      <c r="H16">
        <f>_xlfn.XLOOKUP(C16,'[1]بيانات الموظفين'!$B:$B,'[1]بيانات الموظفين'!$AV:$AV)</f>
        <v>11.00287501</v>
      </c>
    </row>
    <row r="17" spans="1:8" ht="19.95" customHeight="1" x14ac:dyDescent="0.3">
      <c r="A17" s="2" t="s">
        <v>61</v>
      </c>
      <c r="B17" s="2" t="s">
        <v>62</v>
      </c>
      <c r="C17" s="4">
        <v>2616439804</v>
      </c>
      <c r="D17" s="2" t="s">
        <v>9</v>
      </c>
      <c r="E17" s="2" t="s">
        <v>10</v>
      </c>
      <c r="F17" s="2" t="s">
        <v>63</v>
      </c>
      <c r="G17" s="2" t="s">
        <v>64</v>
      </c>
      <c r="H17">
        <f>_xlfn.XLOOKUP(C17,'[1]بيانات الموظفين'!$B:$B,'[1]بيانات الموظفين'!$AV:$AV)</f>
        <v>11.005110930000001</v>
      </c>
    </row>
    <row r="18" spans="1:8" ht="19.95" customHeight="1" x14ac:dyDescent="0.3">
      <c r="A18" s="3" t="s">
        <v>65</v>
      </c>
      <c r="B18" s="3" t="s">
        <v>66</v>
      </c>
      <c r="C18" s="5">
        <v>2616439697</v>
      </c>
      <c r="D18" s="3" t="s">
        <v>9</v>
      </c>
      <c r="E18" s="3" t="s">
        <v>10</v>
      </c>
      <c r="F18" s="3" t="s">
        <v>67</v>
      </c>
      <c r="G18" s="3" t="s">
        <v>64</v>
      </c>
      <c r="H18">
        <f>_xlfn.XLOOKUP(C18,'[1]بيانات الموظفين'!$B:$B,'[1]بيانات الموظفين'!$AV:$AV)</f>
        <v>11.00511097</v>
      </c>
    </row>
    <row r="19" spans="1:8" ht="19.95" customHeight="1" x14ac:dyDescent="0.3">
      <c r="A19" s="2" t="s">
        <v>68</v>
      </c>
      <c r="B19" s="2" t="s">
        <v>69</v>
      </c>
      <c r="C19" s="4">
        <v>2588493870</v>
      </c>
      <c r="D19" s="2" t="s">
        <v>9</v>
      </c>
      <c r="E19" s="2" t="s">
        <v>10</v>
      </c>
      <c r="F19" s="2" t="s">
        <v>70</v>
      </c>
      <c r="G19" s="2" t="s">
        <v>71</v>
      </c>
      <c r="H19">
        <f>_xlfn.XLOOKUP(C19,'[1]بيانات الموظفين'!$B:$B,'[1]بيانات الموظفين'!$AV:$AV)</f>
        <v>11.003894349999999</v>
      </c>
    </row>
    <row r="20" spans="1:8" ht="19.95" customHeight="1" x14ac:dyDescent="0.3">
      <c r="A20" s="3" t="s">
        <v>72</v>
      </c>
      <c r="B20" s="3" t="s">
        <v>73</v>
      </c>
      <c r="C20" s="5">
        <v>2516526031</v>
      </c>
      <c r="D20" s="3" t="s">
        <v>9</v>
      </c>
      <c r="E20" s="3" t="s">
        <v>10</v>
      </c>
      <c r="F20" s="3" t="s">
        <v>74</v>
      </c>
      <c r="G20" s="3" t="s">
        <v>75</v>
      </c>
      <c r="H20">
        <f>_xlfn.XLOOKUP(C20,'[1]بيانات الموظفين'!$B:$B,'[1]بيانات الموظفين'!$AV:$AV)</f>
        <v>11.005204969999999</v>
      </c>
    </row>
    <row r="21" spans="1:8" ht="19.95" customHeight="1" x14ac:dyDescent="0.3">
      <c r="A21" s="2" t="s">
        <v>76</v>
      </c>
      <c r="B21" s="2" t="s">
        <v>77</v>
      </c>
      <c r="C21" s="4">
        <v>2557688427</v>
      </c>
      <c r="D21" s="2" t="s">
        <v>9</v>
      </c>
      <c r="E21" s="2" t="s">
        <v>10</v>
      </c>
      <c r="F21" s="2" t="s">
        <v>78</v>
      </c>
      <c r="G21" s="2" t="s">
        <v>79</v>
      </c>
      <c r="H21">
        <f>_xlfn.XLOOKUP(C21,'[1]بيانات الموظفين'!$B:$B,'[1]بيانات الموظفين'!$AV:$AV)</f>
        <v>11.00386031</v>
      </c>
    </row>
    <row r="22" spans="1:8" ht="19.95" customHeight="1" x14ac:dyDescent="0.3">
      <c r="A22" s="3" t="s">
        <v>80</v>
      </c>
      <c r="B22" s="3" t="s">
        <v>81</v>
      </c>
      <c r="C22" s="5">
        <v>2572965479</v>
      </c>
      <c r="D22" s="3" t="s">
        <v>9</v>
      </c>
      <c r="E22" s="3" t="s">
        <v>10</v>
      </c>
      <c r="F22" s="3" t="s">
        <v>82</v>
      </c>
      <c r="G22" s="3" t="s">
        <v>83</v>
      </c>
      <c r="H22">
        <f>_xlfn.XLOOKUP(C22,'[1]بيانات الموظفين'!$B:$B,'[1]بيانات الموظفين'!$AV:$AV)</f>
        <v>11.005378840000001</v>
      </c>
    </row>
    <row r="23" spans="1:8" ht="19.95" customHeight="1" x14ac:dyDescent="0.3">
      <c r="A23" s="2" t="s">
        <v>84</v>
      </c>
      <c r="B23" s="2" t="s">
        <v>85</v>
      </c>
      <c r="C23" s="4">
        <v>2308978341</v>
      </c>
      <c r="D23" s="2" t="s">
        <v>9</v>
      </c>
      <c r="E23" s="2" t="s">
        <v>10</v>
      </c>
      <c r="F23" s="2" t="s">
        <v>86</v>
      </c>
      <c r="G23" s="2" t="s">
        <v>87</v>
      </c>
      <c r="H23">
        <f>_xlfn.XLOOKUP(C23,'[1]بيانات الموظفين'!$B:$B,'[1]بيانات الموظفين'!$AV:$AV)</f>
        <v>11.004649880000001</v>
      </c>
    </row>
    <row r="24" spans="1:8" ht="19.95" customHeight="1" x14ac:dyDescent="0.3">
      <c r="A24" s="3" t="s">
        <v>88</v>
      </c>
      <c r="B24" s="3" t="s">
        <v>89</v>
      </c>
      <c r="C24" s="5">
        <v>2367689433</v>
      </c>
      <c r="D24" s="3" t="s">
        <v>9</v>
      </c>
      <c r="E24" s="3" t="s">
        <v>10</v>
      </c>
      <c r="F24" s="3" t="s">
        <v>90</v>
      </c>
      <c r="G24" s="3" t="s">
        <v>91</v>
      </c>
      <c r="H24">
        <f>_xlfn.XLOOKUP(C24,'[1]بيانات الموظفين'!$B:$B,'[1]بيانات الموظفين'!$AV:$AV)</f>
        <v>11.00548086</v>
      </c>
    </row>
    <row r="25" spans="1:8" ht="19.95" customHeight="1" x14ac:dyDescent="0.3">
      <c r="A25" s="2" t="s">
        <v>92</v>
      </c>
      <c r="B25" s="2" t="s">
        <v>93</v>
      </c>
      <c r="C25" s="4">
        <v>2581738354</v>
      </c>
      <c r="D25" s="2" t="s">
        <v>9</v>
      </c>
      <c r="E25" s="2" t="s">
        <v>10</v>
      </c>
      <c r="F25" s="2" t="s">
        <v>94</v>
      </c>
      <c r="G25" s="2" t="s">
        <v>95</v>
      </c>
      <c r="H25">
        <f>_xlfn.XLOOKUP(C25,'[1]بيانات الموظفين'!$B:$B,'[1]بيانات الموظفين'!$AV:$AV)</f>
        <v>11.004058580000001</v>
      </c>
    </row>
    <row r="26" spans="1:8" ht="19.95" customHeight="1" x14ac:dyDescent="0.3">
      <c r="A26" s="3" t="s">
        <v>96</v>
      </c>
      <c r="B26" s="3" t="s">
        <v>97</v>
      </c>
      <c r="C26" s="5">
        <v>2325608988</v>
      </c>
      <c r="D26" s="3" t="s">
        <v>9</v>
      </c>
      <c r="E26" s="3" t="s">
        <v>10</v>
      </c>
      <c r="F26" s="3" t="s">
        <v>98</v>
      </c>
      <c r="G26" s="3" t="s">
        <v>99</v>
      </c>
      <c r="H26">
        <f>_xlfn.XLOOKUP(C26,'[1]بيانات الموظفين'!$B:$B,'[1]بيانات الموظفين'!$AV:$AV)</f>
        <v>11.00298192</v>
      </c>
    </row>
    <row r="27" spans="1:8" ht="19.95" customHeight="1" x14ac:dyDescent="0.3">
      <c r="A27" s="2" t="s">
        <v>100</v>
      </c>
      <c r="B27" s="2" t="s">
        <v>101</v>
      </c>
      <c r="C27" s="4">
        <v>2569572122</v>
      </c>
      <c r="D27" s="2" t="s">
        <v>9</v>
      </c>
      <c r="E27" s="2" t="s">
        <v>10</v>
      </c>
      <c r="F27" s="2" t="s">
        <v>102</v>
      </c>
      <c r="G27" s="2" t="s">
        <v>103</v>
      </c>
      <c r="H27">
        <f>_xlfn.XLOOKUP(C27,'[1]بيانات الموظفين'!$B:$B,'[1]بيانات الموظفين'!$AV:$AV)</f>
        <v>11.005615969999999</v>
      </c>
    </row>
    <row r="28" spans="1:8" ht="19.95" customHeight="1" x14ac:dyDescent="0.3">
      <c r="A28" s="3" t="s">
        <v>104</v>
      </c>
      <c r="B28" s="3" t="s">
        <v>105</v>
      </c>
      <c r="C28" s="5">
        <v>2558094252</v>
      </c>
      <c r="D28" s="3" t="s">
        <v>9</v>
      </c>
      <c r="E28" s="3" t="s">
        <v>10</v>
      </c>
      <c r="F28" s="3" t="s">
        <v>106</v>
      </c>
      <c r="G28" s="3" t="s">
        <v>107</v>
      </c>
      <c r="H28">
        <f>_xlfn.XLOOKUP(C28,'[1]بيانات الموظفين'!$B:$B,'[1]بيانات الموظفين'!$AV:$AV)</f>
        <v>59.001696039999999</v>
      </c>
    </row>
    <row r="29" spans="1:8" ht="19.95" customHeight="1" x14ac:dyDescent="0.3">
      <c r="A29" s="2" t="s">
        <v>108</v>
      </c>
      <c r="B29" s="2" t="s">
        <v>109</v>
      </c>
      <c r="C29" s="4">
        <v>2537315679</v>
      </c>
      <c r="D29" s="2" t="s">
        <v>9</v>
      </c>
      <c r="E29" s="2" t="s">
        <v>10</v>
      </c>
      <c r="F29" s="2" t="s">
        <v>110</v>
      </c>
      <c r="G29" s="2" t="s">
        <v>111</v>
      </c>
      <c r="H29">
        <f>_xlfn.XLOOKUP(C29,'[1]بيانات الموظفين'!$B:$B,'[1]بيانات الموظفين'!$AV:$AV)</f>
        <v>11.004280270000001</v>
      </c>
    </row>
    <row r="30" spans="1:8" ht="19.95" customHeight="1" x14ac:dyDescent="0.3">
      <c r="A30" s="3" t="s">
        <v>112</v>
      </c>
      <c r="B30" s="3" t="s">
        <v>113</v>
      </c>
      <c r="C30" s="5">
        <v>2620064499</v>
      </c>
      <c r="D30" s="3" t="s">
        <v>9</v>
      </c>
      <c r="E30" s="3" t="s">
        <v>10</v>
      </c>
      <c r="F30" s="3" t="s">
        <v>114</v>
      </c>
      <c r="G30" s="3" t="s">
        <v>115</v>
      </c>
      <c r="H30">
        <f>_xlfn.XLOOKUP(C30,'[1]بيانات الموظفين'!$B:$B,'[1]بيانات الموظفين'!$AV:$AV)</f>
        <v>11.00579928</v>
      </c>
    </row>
    <row r="31" spans="1:8" ht="19.95" customHeight="1" x14ac:dyDescent="0.3">
      <c r="A31" s="2" t="s">
        <v>116</v>
      </c>
      <c r="B31" s="2" t="s">
        <v>117</v>
      </c>
      <c r="C31" s="4">
        <v>2313229391</v>
      </c>
      <c r="D31" s="2" t="s">
        <v>9</v>
      </c>
      <c r="E31" s="2" t="s">
        <v>10</v>
      </c>
      <c r="F31" s="2" t="s">
        <v>118</v>
      </c>
      <c r="G31" s="2" t="s">
        <v>119</v>
      </c>
      <c r="H31">
        <f>_xlfn.XLOOKUP(C31,'[1]بيانات الموظفين'!$B:$B,'[1]بيانات الموظفين'!$AV:$AV)</f>
        <v>11.00430446</v>
      </c>
    </row>
    <row r="32" spans="1:8" ht="19.95" customHeight="1" x14ac:dyDescent="0.3">
      <c r="A32" s="3" t="s">
        <v>120</v>
      </c>
      <c r="B32" s="3" t="s">
        <v>121</v>
      </c>
      <c r="C32" s="5">
        <v>2408501704</v>
      </c>
      <c r="D32" s="3" t="s">
        <v>9</v>
      </c>
      <c r="E32" s="3" t="s">
        <v>10</v>
      </c>
      <c r="F32" s="3" t="s">
        <v>122</v>
      </c>
      <c r="G32" s="3" t="s">
        <v>119</v>
      </c>
      <c r="H32">
        <f>_xlfn.XLOOKUP(C32,'[1]بيانات الموظفين'!$B:$B,'[1]بيانات الموظفين'!$AV:$AV)</f>
        <v>11.00430377</v>
      </c>
    </row>
    <row r="33" spans="1:8" ht="19.95" customHeight="1" x14ac:dyDescent="0.3">
      <c r="A33" s="2" t="s">
        <v>123</v>
      </c>
      <c r="B33" s="2" t="s">
        <v>124</v>
      </c>
      <c r="C33" s="4">
        <v>2419343096</v>
      </c>
      <c r="D33" s="2" t="s">
        <v>9</v>
      </c>
      <c r="E33" s="2" t="s">
        <v>10</v>
      </c>
      <c r="F33" s="2" t="s">
        <v>125</v>
      </c>
      <c r="G33" s="2" t="s">
        <v>119</v>
      </c>
      <c r="H33">
        <f>_xlfn.XLOOKUP(C33,'[1]بيانات الموظفين'!$B:$B,'[1]بيانات الموظفين'!$AV:$AV)</f>
        <v>11.00430383</v>
      </c>
    </row>
    <row r="34" spans="1:8" ht="19.95" customHeight="1" x14ac:dyDescent="0.3">
      <c r="A34" s="3" t="s">
        <v>126</v>
      </c>
      <c r="B34" s="3" t="s">
        <v>127</v>
      </c>
      <c r="C34" s="5">
        <v>2564446751</v>
      </c>
      <c r="D34" s="3" t="s">
        <v>9</v>
      </c>
      <c r="E34" s="3" t="s">
        <v>10</v>
      </c>
      <c r="F34" s="3" t="s">
        <v>128</v>
      </c>
      <c r="G34" s="3" t="s">
        <v>119</v>
      </c>
      <c r="H34">
        <f>_xlfn.XLOOKUP(C34,'[1]بيانات الموظفين'!$B:$B,'[1]بيانات الموظفين'!$AV:$AV)</f>
        <v>11.00430386</v>
      </c>
    </row>
    <row r="35" spans="1:8" ht="19.95" customHeight="1" x14ac:dyDescent="0.3">
      <c r="A35" s="2" t="s">
        <v>129</v>
      </c>
      <c r="B35" s="2" t="s">
        <v>130</v>
      </c>
      <c r="C35" s="4">
        <v>2571648183</v>
      </c>
      <c r="D35" s="2" t="s">
        <v>9</v>
      </c>
      <c r="E35" s="2" t="s">
        <v>10</v>
      </c>
      <c r="F35" s="2" t="s">
        <v>131</v>
      </c>
      <c r="G35" s="2" t="s">
        <v>119</v>
      </c>
      <c r="H35">
        <f>_xlfn.XLOOKUP(C35,'[1]بيانات الموظفين'!$B:$B,'[1]بيانات الموظفين'!$AV:$AV)</f>
        <v>11.004302559999999</v>
      </c>
    </row>
    <row r="36" spans="1:8" ht="19.95" customHeight="1" x14ac:dyDescent="0.3">
      <c r="A36" s="3" t="s">
        <v>132</v>
      </c>
      <c r="B36" s="3" t="s">
        <v>133</v>
      </c>
      <c r="C36" s="5">
        <v>2455453619</v>
      </c>
      <c r="D36" s="3" t="s">
        <v>9</v>
      </c>
      <c r="E36" s="3" t="s">
        <v>10</v>
      </c>
      <c r="F36" s="3" t="s">
        <v>134</v>
      </c>
      <c r="G36" s="3" t="s">
        <v>135</v>
      </c>
      <c r="H36">
        <f>_xlfn.XLOOKUP(C36,'[1]بيانات الموظفين'!$B:$B,'[1]بيانات الموظفين'!$AV:$AV)</f>
        <v>11.005889059999999</v>
      </c>
    </row>
    <row r="37" spans="1:8" ht="19.95" customHeight="1" x14ac:dyDescent="0.3">
      <c r="A37" s="2" t="s">
        <v>136</v>
      </c>
      <c r="B37" s="2" t="s">
        <v>137</v>
      </c>
      <c r="C37" s="4">
        <v>2386300707</v>
      </c>
      <c r="D37" s="2" t="s">
        <v>9</v>
      </c>
      <c r="E37" s="2" t="s">
        <v>10</v>
      </c>
      <c r="F37" s="2" t="s">
        <v>138</v>
      </c>
      <c r="G37" s="2" t="s">
        <v>139</v>
      </c>
      <c r="H37">
        <f>_xlfn.XLOOKUP(C37,'[1]بيانات الموظفين'!$B:$B,'[1]بيانات الموظفين'!$AV:$AV)</f>
        <v>11.005895730000001</v>
      </c>
    </row>
    <row r="38" spans="1:8" ht="19.95" customHeight="1" x14ac:dyDescent="0.3">
      <c r="A38" s="3" t="s">
        <v>140</v>
      </c>
      <c r="B38" s="3" t="s">
        <v>141</v>
      </c>
      <c r="C38" s="5">
        <v>2490833528</v>
      </c>
      <c r="D38" s="3" t="s">
        <v>9</v>
      </c>
      <c r="E38" s="3" t="s">
        <v>10</v>
      </c>
      <c r="F38" s="3" t="s">
        <v>142</v>
      </c>
      <c r="G38" s="3" t="s">
        <v>139</v>
      </c>
      <c r="H38">
        <f>_xlfn.XLOOKUP(C38,'[1]بيانات الموظفين'!$B:$B,'[1]بيانات الموظفين'!$AV:$AV)</f>
        <v>11.005891180000001</v>
      </c>
    </row>
    <row r="39" spans="1:8" ht="19.95" customHeight="1" x14ac:dyDescent="0.3">
      <c r="A39" s="2" t="s">
        <v>143</v>
      </c>
      <c r="B39" s="2" t="s">
        <v>144</v>
      </c>
      <c r="C39" s="4">
        <v>2569021492</v>
      </c>
      <c r="D39" s="2" t="s">
        <v>9</v>
      </c>
      <c r="E39" s="2" t="s">
        <v>10</v>
      </c>
      <c r="F39" s="2" t="s">
        <v>145</v>
      </c>
      <c r="G39" s="2" t="s">
        <v>139</v>
      </c>
      <c r="H39">
        <f>_xlfn.XLOOKUP(C39,'[1]بيانات الموظفين'!$B:$B,'[1]بيانات الموظفين'!$AV:$AV)</f>
        <v>11.00589553</v>
      </c>
    </row>
    <row r="40" spans="1:8" ht="19.95" customHeight="1" x14ac:dyDescent="0.3">
      <c r="A40" s="3" t="s">
        <v>146</v>
      </c>
      <c r="B40" s="3" t="s">
        <v>147</v>
      </c>
      <c r="C40" s="5">
        <v>2583024712</v>
      </c>
      <c r="D40" s="3" t="s">
        <v>9</v>
      </c>
      <c r="E40" s="3" t="s">
        <v>10</v>
      </c>
      <c r="F40" s="3" t="s">
        <v>148</v>
      </c>
      <c r="G40" s="3" t="s">
        <v>139</v>
      </c>
      <c r="H40">
        <f>_xlfn.XLOOKUP(C40,'[1]بيانات الموظفين'!$B:$B,'[1]بيانات الموظفين'!$AV:$AV)</f>
        <v>11.0058957</v>
      </c>
    </row>
    <row r="41" spans="1:8" ht="19.95" customHeight="1" x14ac:dyDescent="0.3">
      <c r="A41" s="2" t="s">
        <v>149</v>
      </c>
      <c r="B41" s="2" t="s">
        <v>150</v>
      </c>
      <c r="C41" s="4">
        <v>2583917584</v>
      </c>
      <c r="D41" s="2" t="s">
        <v>9</v>
      </c>
      <c r="E41" s="2" t="s">
        <v>10</v>
      </c>
      <c r="F41" s="2" t="s">
        <v>151</v>
      </c>
      <c r="G41" s="2" t="s">
        <v>139</v>
      </c>
      <c r="H41">
        <f>_xlfn.XLOOKUP(C41,'[1]بيانات الموظفين'!$B:$B,'[1]بيانات الموظفين'!$AV:$AV)</f>
        <v>11.005895629999999</v>
      </c>
    </row>
    <row r="42" spans="1:8" ht="19.95" customHeight="1" x14ac:dyDescent="0.3">
      <c r="A42" s="3" t="s">
        <v>152</v>
      </c>
      <c r="B42" s="3" t="s">
        <v>153</v>
      </c>
      <c r="C42" s="5">
        <v>2587272325</v>
      </c>
      <c r="D42" s="3" t="s">
        <v>9</v>
      </c>
      <c r="E42" s="3" t="s">
        <v>10</v>
      </c>
      <c r="F42" s="3" t="s">
        <v>154</v>
      </c>
      <c r="G42" s="3" t="s">
        <v>139</v>
      </c>
      <c r="H42">
        <f>_xlfn.XLOOKUP(C42,'[1]بيانات الموظفين'!$B:$B,'[1]بيانات الموظفين'!$AV:$AV)</f>
        <v>11.00589583</v>
      </c>
    </row>
    <row r="43" spans="1:8" ht="19.95" customHeight="1" x14ac:dyDescent="0.3">
      <c r="A43" s="2" t="s">
        <v>155</v>
      </c>
      <c r="B43" s="2" t="s">
        <v>156</v>
      </c>
      <c r="C43" s="4">
        <v>2604361465</v>
      </c>
      <c r="D43" s="2" t="s">
        <v>9</v>
      </c>
      <c r="E43" s="2" t="s">
        <v>10</v>
      </c>
      <c r="F43" s="2" t="s">
        <v>157</v>
      </c>
      <c r="G43" s="2" t="s">
        <v>139</v>
      </c>
      <c r="H43">
        <f>_xlfn.XLOOKUP(C43,'[1]بيانات الموظفين'!$B:$B,'[1]بيانات الموظفين'!$AV:$AV)</f>
        <v>11.00589506</v>
      </c>
    </row>
    <row r="44" spans="1:8" ht="19.95" customHeight="1" x14ac:dyDescent="0.3">
      <c r="A44" s="3" t="s">
        <v>158</v>
      </c>
      <c r="B44" s="3" t="s">
        <v>159</v>
      </c>
      <c r="C44" s="5">
        <v>2605874870</v>
      </c>
      <c r="D44" s="3" t="s">
        <v>9</v>
      </c>
      <c r="E44" s="3" t="s">
        <v>10</v>
      </c>
      <c r="F44" s="3" t="s">
        <v>160</v>
      </c>
      <c r="G44" s="3" t="s">
        <v>139</v>
      </c>
      <c r="H44">
        <f>_xlfn.XLOOKUP(C44,'[1]بيانات الموظفين'!$B:$B,'[1]بيانات الموظفين'!$AV:$AV)</f>
        <v>11.00589546</v>
      </c>
    </row>
    <row r="45" spans="1:8" ht="19.95" customHeight="1" x14ac:dyDescent="0.3">
      <c r="A45" s="2" t="s">
        <v>161</v>
      </c>
      <c r="B45" s="2" t="s">
        <v>162</v>
      </c>
      <c r="C45" s="4">
        <v>2607295744</v>
      </c>
      <c r="D45" s="2" t="s">
        <v>9</v>
      </c>
      <c r="E45" s="2" t="s">
        <v>10</v>
      </c>
      <c r="F45" s="2" t="s">
        <v>163</v>
      </c>
      <c r="G45" s="2" t="s">
        <v>139</v>
      </c>
      <c r="H45">
        <f>_xlfn.XLOOKUP(C45,'[1]بيانات الموظفين'!$B:$B,'[1]بيانات الموظفين'!$AV:$AV)</f>
        <v>11.005895990000001</v>
      </c>
    </row>
    <row r="46" spans="1:8" ht="19.95" customHeight="1" x14ac:dyDescent="0.3">
      <c r="A46" s="3" t="s">
        <v>164</v>
      </c>
      <c r="B46" s="3" t="s">
        <v>165</v>
      </c>
      <c r="C46" s="5">
        <v>2616062879</v>
      </c>
      <c r="D46" s="3" t="s">
        <v>9</v>
      </c>
      <c r="E46" s="3" t="s">
        <v>10</v>
      </c>
      <c r="F46" s="3" t="s">
        <v>166</v>
      </c>
      <c r="G46" s="3" t="s">
        <v>139</v>
      </c>
      <c r="H46">
        <f>_xlfn.XLOOKUP(C46,'[1]بيانات الموظفين'!$B:$B,'[1]بيانات الموظفين'!$AV:$AV)</f>
        <v>11.005895799999999</v>
      </c>
    </row>
    <row r="47" spans="1:8" ht="19.95" customHeight="1" x14ac:dyDescent="0.3">
      <c r="A47" s="2" t="s">
        <v>167</v>
      </c>
      <c r="B47" s="2" t="s">
        <v>168</v>
      </c>
      <c r="C47" s="4">
        <v>2614387229</v>
      </c>
      <c r="D47" s="2" t="s">
        <v>9</v>
      </c>
      <c r="E47" s="2" t="s">
        <v>10</v>
      </c>
      <c r="F47" s="2" t="s">
        <v>169</v>
      </c>
      <c r="G47" s="2" t="s">
        <v>139</v>
      </c>
      <c r="H47">
        <f>_xlfn.XLOOKUP(C47,'[1]بيانات الموظفين'!$B:$B,'[1]بيانات الموظفين'!$AV:$AV)</f>
        <v>11.00589596</v>
      </c>
    </row>
    <row r="48" spans="1:8" ht="19.95" customHeight="1" x14ac:dyDescent="0.3">
      <c r="A48" s="3" t="s">
        <v>170</v>
      </c>
      <c r="B48" s="3" t="s">
        <v>171</v>
      </c>
      <c r="C48" s="5">
        <v>2614387344</v>
      </c>
      <c r="D48" s="3" t="s">
        <v>9</v>
      </c>
      <c r="E48" s="3" t="s">
        <v>37</v>
      </c>
      <c r="F48" s="3" t="s">
        <v>172</v>
      </c>
      <c r="G48" s="3" t="s">
        <v>139</v>
      </c>
      <c r="H48">
        <f>_xlfn.XLOOKUP(C48,'[1]بيانات الموظفين'!$B:$B,'[1]بيانات الموظفين'!$AV:$AV)</f>
        <v>11.00589523</v>
      </c>
    </row>
    <row r="49" spans="1:8" ht="19.95" customHeight="1" x14ac:dyDescent="0.3">
      <c r="A49" s="2" t="s">
        <v>173</v>
      </c>
      <c r="B49" s="2" t="s">
        <v>174</v>
      </c>
      <c r="C49" s="4">
        <v>2262246396</v>
      </c>
      <c r="D49" s="2" t="s">
        <v>9</v>
      </c>
      <c r="E49" s="2" t="s">
        <v>10</v>
      </c>
      <c r="F49" s="2" t="s">
        <v>175</v>
      </c>
      <c r="G49" s="2" t="s">
        <v>176</v>
      </c>
      <c r="H49">
        <f>_xlfn.XLOOKUP(C49,'[1]بيانات الموظفين'!$B:$B,'[1]بيانات الموظفين'!$AV:$AV)</f>
        <v>11.005923040000001</v>
      </c>
    </row>
    <row r="50" spans="1:8" ht="19.95" customHeight="1" x14ac:dyDescent="0.3">
      <c r="A50" s="3" t="s">
        <v>177</v>
      </c>
      <c r="B50" s="3" t="s">
        <v>178</v>
      </c>
      <c r="C50" s="5">
        <v>2404248755</v>
      </c>
      <c r="D50" s="3" t="s">
        <v>9</v>
      </c>
      <c r="E50" s="3" t="s">
        <v>10</v>
      </c>
      <c r="F50" s="3" t="s">
        <v>179</v>
      </c>
      <c r="G50" s="3" t="s">
        <v>180</v>
      </c>
      <c r="H50">
        <f>_xlfn.XLOOKUP(C50,'[1]بيانات الموظفين'!$B:$B,'[1]بيانات الموظفين'!$AV:$AV)</f>
        <v>11.00444963</v>
      </c>
    </row>
    <row r="51" spans="1:8" ht="19.95" customHeight="1" x14ac:dyDescent="0.3">
      <c r="A51" s="2" t="s">
        <v>181</v>
      </c>
      <c r="B51" s="2" t="s">
        <v>182</v>
      </c>
      <c r="C51" s="4">
        <v>2578741379</v>
      </c>
      <c r="D51" s="2" t="s">
        <v>9</v>
      </c>
      <c r="E51" s="2" t="s">
        <v>10</v>
      </c>
      <c r="F51" s="2" t="s">
        <v>183</v>
      </c>
      <c r="G51" s="2" t="s">
        <v>180</v>
      </c>
      <c r="H51">
        <f>_xlfn.XLOOKUP(C51,'[1]بيانات الموظفين'!$B:$B,'[1]بيانات الموظفين'!$AV:$AV)</f>
        <v>11.004449579999999</v>
      </c>
    </row>
    <row r="52" spans="1:8" ht="19.95" customHeight="1" x14ac:dyDescent="0.3">
      <c r="A52" s="3" t="s">
        <v>184</v>
      </c>
      <c r="B52" s="3" t="s">
        <v>185</v>
      </c>
      <c r="C52" s="5">
        <v>2588259362</v>
      </c>
      <c r="D52" s="3" t="s">
        <v>9</v>
      </c>
      <c r="E52" s="3" t="s">
        <v>10</v>
      </c>
      <c r="F52" s="3" t="s">
        <v>186</v>
      </c>
      <c r="G52" s="3" t="s">
        <v>180</v>
      </c>
      <c r="H52">
        <f>_xlfn.XLOOKUP(C52,'[1]بيانات الموظفين'!$B:$B,'[1]بيانات الموظفين'!$AV:$AV)</f>
        <v>11.00444967</v>
      </c>
    </row>
    <row r="53" spans="1:8" ht="19.95" customHeight="1" x14ac:dyDescent="0.3">
      <c r="A53" s="2" t="s">
        <v>187</v>
      </c>
      <c r="B53" s="2" t="s">
        <v>188</v>
      </c>
      <c r="C53" s="4">
        <v>2535994467</v>
      </c>
      <c r="D53" s="2" t="s">
        <v>9</v>
      </c>
      <c r="E53" s="2" t="s">
        <v>10</v>
      </c>
      <c r="F53" s="2" t="s">
        <v>189</v>
      </c>
      <c r="G53" s="2" t="s">
        <v>190</v>
      </c>
      <c r="H53">
        <f>_xlfn.XLOOKUP(C53,'[1]بيانات الموظفين'!$B:$B,'[1]بيانات الموظفين'!$AV:$AV)</f>
        <v>11.006010059999999</v>
      </c>
    </row>
    <row r="54" spans="1:8" ht="19.95" customHeight="1" x14ac:dyDescent="0.3">
      <c r="A54" s="3" t="s">
        <v>191</v>
      </c>
      <c r="B54" s="3" t="s">
        <v>192</v>
      </c>
      <c r="C54" s="5">
        <v>2621465596</v>
      </c>
      <c r="D54" s="3" t="s">
        <v>9</v>
      </c>
      <c r="E54" s="3" t="s">
        <v>10</v>
      </c>
      <c r="F54" s="3" t="s">
        <v>193</v>
      </c>
      <c r="G54" s="3" t="s">
        <v>190</v>
      </c>
      <c r="H54">
        <f>_xlfn.XLOOKUP(C54,'[1]بيانات الموظفين'!$B:$B,'[1]بيانات الموظفين'!$AV:$AV)</f>
        <v>11.006010010000001</v>
      </c>
    </row>
    <row r="55" spans="1:8" ht="19.95" customHeight="1" x14ac:dyDescent="0.3">
      <c r="A55" s="2" t="s">
        <v>194</v>
      </c>
      <c r="B55" s="2" t="s">
        <v>195</v>
      </c>
      <c r="C55" s="4">
        <v>2390387542</v>
      </c>
      <c r="D55" s="2" t="s">
        <v>9</v>
      </c>
      <c r="E55" s="2" t="s">
        <v>10</v>
      </c>
      <c r="F55" s="2" t="s">
        <v>196</v>
      </c>
      <c r="G55" s="2" t="s">
        <v>197</v>
      </c>
      <c r="H55">
        <f>_xlfn.XLOOKUP(C55,'[1]بيانات الموظفين'!$B:$B,'[1]بيانات الموظفين'!$AV:$AV)</f>
        <v>11.00289796</v>
      </c>
    </row>
    <row r="56" spans="1:8" ht="19.95" customHeight="1" x14ac:dyDescent="0.3">
      <c r="A56" s="3" t="s">
        <v>198</v>
      </c>
      <c r="B56" s="3" t="s">
        <v>199</v>
      </c>
      <c r="C56" s="5">
        <v>2468312547</v>
      </c>
      <c r="D56" s="3" t="s">
        <v>9</v>
      </c>
      <c r="E56" s="3" t="s">
        <v>10</v>
      </c>
      <c r="F56" s="3" t="s">
        <v>200</v>
      </c>
      <c r="G56" s="3" t="s">
        <v>201</v>
      </c>
      <c r="H56">
        <f>_xlfn.XLOOKUP(C56,'[1]بيانات الموظفين'!$B:$B,'[1]بيانات الموظفين'!$AV:$AV)</f>
        <v>11.006257959999999</v>
      </c>
    </row>
    <row r="57" spans="1:8" ht="19.95" customHeight="1" x14ac:dyDescent="0.3">
      <c r="A57" s="2" t="s">
        <v>202</v>
      </c>
      <c r="B57" s="2" t="s">
        <v>203</v>
      </c>
      <c r="C57" s="4">
        <v>2593522820</v>
      </c>
      <c r="D57" s="2" t="s">
        <v>9</v>
      </c>
      <c r="E57" s="2" t="s">
        <v>10</v>
      </c>
      <c r="F57" s="2" t="s">
        <v>204</v>
      </c>
      <c r="G57" s="2" t="s">
        <v>201</v>
      </c>
      <c r="H57">
        <f>_xlfn.XLOOKUP(C57,'[1]بيانات الموظفين'!$B:$B,'[1]بيانات الموظفين'!$AV:$AV)</f>
        <v>11.00625784</v>
      </c>
    </row>
    <row r="58" spans="1:8" ht="19.95" customHeight="1" x14ac:dyDescent="0.3">
      <c r="A58" s="3" t="s">
        <v>205</v>
      </c>
      <c r="B58" s="3" t="s">
        <v>206</v>
      </c>
      <c r="C58" s="5">
        <v>2622382121</v>
      </c>
      <c r="D58" s="3" t="s">
        <v>9</v>
      </c>
      <c r="E58" s="3" t="s">
        <v>10</v>
      </c>
      <c r="F58" s="3" t="s">
        <v>207</v>
      </c>
      <c r="G58" s="3" t="s">
        <v>201</v>
      </c>
      <c r="H58">
        <f>_xlfn.XLOOKUP(C58,'[1]بيانات الموظفين'!$B:$B,'[1]بيانات الموظفين'!$AV:$AV)</f>
        <v>11.006257809999999</v>
      </c>
    </row>
    <row r="59" spans="1:8" ht="19.95" customHeight="1" x14ac:dyDescent="0.3">
      <c r="A59" s="2" t="s">
        <v>208</v>
      </c>
      <c r="B59" s="2" t="s">
        <v>209</v>
      </c>
      <c r="C59" s="4">
        <v>2588080305</v>
      </c>
      <c r="D59" s="2" t="s">
        <v>9</v>
      </c>
      <c r="E59" s="2" t="s">
        <v>10</v>
      </c>
      <c r="F59" s="2" t="s">
        <v>210</v>
      </c>
      <c r="G59" s="2" t="s">
        <v>211</v>
      </c>
      <c r="H59">
        <f>_xlfn.XLOOKUP(C59,'[1]بيانات الموظفين'!$B:$B,'[1]بيانات الموظفين'!$AV:$AV)</f>
        <v>11.00469534</v>
      </c>
    </row>
    <row r="60" spans="1:8" ht="19.95" customHeight="1" x14ac:dyDescent="0.3">
      <c r="A60" s="3" t="s">
        <v>212</v>
      </c>
      <c r="B60" s="3" t="s">
        <v>213</v>
      </c>
      <c r="C60" s="5">
        <v>2353619238</v>
      </c>
      <c r="D60" s="3" t="s">
        <v>9</v>
      </c>
      <c r="E60" s="3" t="s">
        <v>10</v>
      </c>
      <c r="F60" s="3" t="s">
        <v>214</v>
      </c>
      <c r="G60" s="3" t="s">
        <v>215</v>
      </c>
      <c r="H60">
        <f>_xlfn.XLOOKUP(C60,'[1]بيانات الموظفين'!$B:$B,'[1]بيانات الموظفين'!$AV:$AV)</f>
        <v>11.002875039999999</v>
      </c>
    </row>
    <row r="61" spans="1:8" ht="19.95" customHeight="1" x14ac:dyDescent="0.3">
      <c r="A61" s="2" t="s">
        <v>216</v>
      </c>
      <c r="B61" s="2" t="s">
        <v>217</v>
      </c>
      <c r="C61" s="4">
        <v>2596356267</v>
      </c>
      <c r="D61" s="2" t="s">
        <v>9</v>
      </c>
      <c r="E61" s="2" t="s">
        <v>10</v>
      </c>
      <c r="F61" s="2" t="s">
        <v>218</v>
      </c>
      <c r="G61" s="2" t="s">
        <v>219</v>
      </c>
      <c r="H61">
        <f>_xlfn.XLOOKUP(C61,'[1]بيانات الموظفين'!$B:$B,'[1]بيانات الموظفين'!$AV:$AV)</f>
        <v>11.004820479999999</v>
      </c>
    </row>
    <row r="62" spans="1:8" ht="19.95" customHeight="1" x14ac:dyDescent="0.3">
      <c r="A62" s="3" t="s">
        <v>220</v>
      </c>
      <c r="B62" s="3" t="s">
        <v>221</v>
      </c>
      <c r="C62" s="5">
        <v>2575060708</v>
      </c>
      <c r="D62" s="3" t="s">
        <v>9</v>
      </c>
      <c r="E62" s="3" t="s">
        <v>10</v>
      </c>
      <c r="F62" s="3" t="s">
        <v>222</v>
      </c>
      <c r="G62" s="3" t="s">
        <v>223</v>
      </c>
      <c r="H62">
        <f>_xlfn.XLOOKUP(C62,'[1]بيانات الموظفين'!$B:$B,'[1]بيانات الموظفين'!$AV:$AV)</f>
        <v>11.003825819999999</v>
      </c>
    </row>
    <row r="63" spans="1:8" ht="19.95" customHeight="1" x14ac:dyDescent="0.3">
      <c r="A63" s="2" t="s">
        <v>224</v>
      </c>
      <c r="B63" s="2" t="s">
        <v>225</v>
      </c>
      <c r="C63" s="4">
        <v>2583673120</v>
      </c>
      <c r="D63" s="2" t="s">
        <v>9</v>
      </c>
      <c r="E63" s="2" t="s">
        <v>10</v>
      </c>
      <c r="F63" s="2" t="s">
        <v>226</v>
      </c>
      <c r="G63" s="2" t="s">
        <v>223</v>
      </c>
      <c r="H63">
        <f>_xlfn.XLOOKUP(C63,'[1]بيانات الموظفين'!$B:$B,'[1]بيانات الموظفين'!$AV:$AV)</f>
        <v>11.003519499999999</v>
      </c>
    </row>
    <row r="64" spans="1:8" ht="19.95" customHeight="1" x14ac:dyDescent="0.3">
      <c r="A64" s="3" t="s">
        <v>227</v>
      </c>
      <c r="B64" s="3" t="s">
        <v>228</v>
      </c>
      <c r="C64" s="5">
        <v>2554127460</v>
      </c>
      <c r="D64" s="3" t="s">
        <v>9</v>
      </c>
      <c r="E64" s="3" t="s">
        <v>37</v>
      </c>
      <c r="F64" s="3" t="s">
        <v>229</v>
      </c>
      <c r="G64" s="3" t="s">
        <v>230</v>
      </c>
      <c r="H64">
        <f>_xlfn.XLOOKUP(C64,'[1]بيانات الموظفين'!$B:$B,'[1]بيانات الموظفين'!$AV:$AV)</f>
        <v>11.00645422</v>
      </c>
    </row>
    <row r="65" spans="1:8" ht="19.95" customHeight="1" x14ac:dyDescent="0.3">
      <c r="A65" s="2" t="s">
        <v>231</v>
      </c>
      <c r="B65" s="2" t="s">
        <v>232</v>
      </c>
      <c r="C65" s="4">
        <v>2543597690</v>
      </c>
      <c r="D65" s="2" t="s">
        <v>9</v>
      </c>
      <c r="E65" s="2" t="s">
        <v>10</v>
      </c>
      <c r="F65" s="2" t="s">
        <v>233</v>
      </c>
      <c r="G65" s="2" t="s">
        <v>234</v>
      </c>
      <c r="H65">
        <f>_xlfn.XLOOKUP(C65,'[1]بيانات الموظفين'!$B:$B,'[1]بيانات الموظفين'!$AV:$AV)</f>
        <v>11.00487779</v>
      </c>
    </row>
    <row r="66" spans="1:8" ht="19.95" customHeight="1" x14ac:dyDescent="0.3">
      <c r="A66" s="3" t="s">
        <v>235</v>
      </c>
      <c r="B66" s="3" t="s">
        <v>236</v>
      </c>
      <c r="C66" s="5">
        <v>2546691888</v>
      </c>
      <c r="D66" s="3" t="s">
        <v>9</v>
      </c>
      <c r="E66" s="3" t="s">
        <v>10</v>
      </c>
      <c r="F66" s="3" t="s">
        <v>237</v>
      </c>
      <c r="G66" s="3" t="s">
        <v>234</v>
      </c>
      <c r="H66">
        <f>_xlfn.XLOOKUP(C66,'[1]بيانات الموظفين'!$B:$B,'[1]بيانات الموظفين'!$AV:$AV)</f>
        <v>11.00487768</v>
      </c>
    </row>
    <row r="67" spans="1:8" ht="19.95" customHeight="1" x14ac:dyDescent="0.3">
      <c r="A67" s="2" t="s">
        <v>238</v>
      </c>
      <c r="B67" s="2" t="s">
        <v>239</v>
      </c>
      <c r="C67" s="4">
        <v>1089296907</v>
      </c>
      <c r="D67" s="2" t="s">
        <v>240</v>
      </c>
      <c r="E67" s="2" t="s">
        <v>913</v>
      </c>
      <c r="F67" s="2" t="s">
        <v>913</v>
      </c>
      <c r="G67" s="2" t="s">
        <v>913</v>
      </c>
      <c r="H67">
        <f>_xlfn.XLOOKUP(C67,'[1]بيانات الموظفين'!$B:$B,'[1]بيانات الموظفين'!$AV:$AV)</f>
        <v>0</v>
      </c>
    </row>
    <row r="68" spans="1:8" ht="19.95" customHeight="1" x14ac:dyDescent="0.3">
      <c r="A68" s="3" t="s">
        <v>241</v>
      </c>
      <c r="B68" s="3" t="s">
        <v>242</v>
      </c>
      <c r="C68" s="5">
        <v>2566369878</v>
      </c>
      <c r="D68" s="3" t="s">
        <v>243</v>
      </c>
      <c r="E68" s="2" t="s">
        <v>913</v>
      </c>
      <c r="F68" s="2" t="s">
        <v>913</v>
      </c>
      <c r="G68" s="2" t="s">
        <v>913</v>
      </c>
      <c r="H68">
        <f>_xlfn.XLOOKUP(C68,'[1]بيانات الموظفين'!$B:$B,'[1]بيانات الموظفين'!$AV:$AV)</f>
        <v>0</v>
      </c>
    </row>
    <row r="69" spans="1:8" ht="19.95" customHeight="1" x14ac:dyDescent="0.3">
      <c r="A69" s="2" t="s">
        <v>244</v>
      </c>
      <c r="B69" s="2" t="s">
        <v>245</v>
      </c>
      <c r="C69" s="4">
        <v>2540878036</v>
      </c>
      <c r="D69" s="2" t="s">
        <v>9</v>
      </c>
      <c r="E69" s="2" t="s">
        <v>913</v>
      </c>
      <c r="F69" s="2" t="s">
        <v>913</v>
      </c>
      <c r="G69" s="2" t="s">
        <v>913</v>
      </c>
      <c r="H69">
        <f>_xlfn.XLOOKUP(C69,'[1]بيانات الموظفين'!$B:$B,'[1]بيانات الموظفين'!$AV:$AV)</f>
        <v>0</v>
      </c>
    </row>
    <row r="70" spans="1:8" ht="19.95" customHeight="1" x14ac:dyDescent="0.3">
      <c r="A70" s="3" t="s">
        <v>246</v>
      </c>
      <c r="B70" s="3" t="s">
        <v>247</v>
      </c>
      <c r="C70" s="5">
        <v>2556809818</v>
      </c>
      <c r="D70" s="3" t="s">
        <v>248</v>
      </c>
      <c r="E70" s="2" t="s">
        <v>913</v>
      </c>
      <c r="F70" s="2" t="s">
        <v>913</v>
      </c>
      <c r="G70" s="2" t="s">
        <v>913</v>
      </c>
      <c r="H70">
        <f>_xlfn.XLOOKUP(C70,'[1]بيانات الموظفين'!$B:$B,'[1]بيانات الموظفين'!$AV:$AV)</f>
        <v>0</v>
      </c>
    </row>
    <row r="71" spans="1:8" ht="19.95" customHeight="1" x14ac:dyDescent="0.3">
      <c r="A71" s="2" t="s">
        <v>249</v>
      </c>
      <c r="B71" s="2" t="s">
        <v>250</v>
      </c>
      <c r="C71" s="4">
        <v>2557191836</v>
      </c>
      <c r="D71" s="2" t="s">
        <v>248</v>
      </c>
      <c r="E71" s="2" t="s">
        <v>913</v>
      </c>
      <c r="F71" s="2" t="s">
        <v>913</v>
      </c>
      <c r="G71" s="2" t="s">
        <v>913</v>
      </c>
      <c r="H71">
        <f>_xlfn.XLOOKUP(C71,'[1]بيانات الموظفين'!$B:$B,'[1]بيانات الموظفين'!$AV:$AV)</f>
        <v>0</v>
      </c>
    </row>
    <row r="72" spans="1:8" ht="19.95" customHeight="1" x14ac:dyDescent="0.3">
      <c r="A72" s="3" t="s">
        <v>251</v>
      </c>
      <c r="B72" s="3" t="s">
        <v>252</v>
      </c>
      <c r="C72" s="5">
        <v>2559106345</v>
      </c>
      <c r="D72" s="3" t="s">
        <v>248</v>
      </c>
      <c r="E72" s="2" t="s">
        <v>913</v>
      </c>
      <c r="F72" s="2" t="s">
        <v>913</v>
      </c>
      <c r="G72" s="2" t="s">
        <v>913</v>
      </c>
      <c r="H72">
        <f>_xlfn.XLOOKUP(C72,'[1]بيانات الموظفين'!$B:$B,'[1]بيانات الموظفين'!$AV:$AV)</f>
        <v>0</v>
      </c>
    </row>
    <row r="73" spans="1:8" ht="19.95" customHeight="1" x14ac:dyDescent="0.3">
      <c r="A73" s="2" t="s">
        <v>253</v>
      </c>
      <c r="B73" s="2" t="s">
        <v>254</v>
      </c>
      <c r="C73" s="4">
        <v>2564307250</v>
      </c>
      <c r="D73" s="2" t="s">
        <v>248</v>
      </c>
      <c r="E73" s="2" t="s">
        <v>913</v>
      </c>
      <c r="F73" s="2" t="s">
        <v>913</v>
      </c>
      <c r="G73" s="2" t="s">
        <v>913</v>
      </c>
      <c r="H73">
        <f>_xlfn.XLOOKUP(C73,'[1]بيانات الموظفين'!$B:$B,'[1]بيانات الموظفين'!$AV:$AV)</f>
        <v>0</v>
      </c>
    </row>
    <row r="74" spans="1:8" ht="19.95" customHeight="1" x14ac:dyDescent="0.3">
      <c r="A74" s="3" t="s">
        <v>255</v>
      </c>
      <c r="B74" s="3" t="s">
        <v>256</v>
      </c>
      <c r="C74" s="5">
        <v>2566744575</v>
      </c>
      <c r="D74" s="3" t="s">
        <v>248</v>
      </c>
      <c r="E74" s="2" t="s">
        <v>913</v>
      </c>
      <c r="F74" s="2" t="s">
        <v>913</v>
      </c>
      <c r="G74" s="2" t="s">
        <v>913</v>
      </c>
      <c r="H74">
        <f>_xlfn.XLOOKUP(C74,'[1]بيانات الموظفين'!$B:$B,'[1]بيانات الموظفين'!$AV:$AV)</f>
        <v>0</v>
      </c>
    </row>
    <row r="75" spans="1:8" ht="19.95" customHeight="1" x14ac:dyDescent="0.3">
      <c r="A75" s="2" t="s">
        <v>257</v>
      </c>
      <c r="B75" s="2" t="s">
        <v>258</v>
      </c>
      <c r="C75" s="4">
        <v>2567992678</v>
      </c>
      <c r="D75" s="2" t="s">
        <v>248</v>
      </c>
      <c r="E75" s="2" t="s">
        <v>913</v>
      </c>
      <c r="F75" s="2" t="s">
        <v>913</v>
      </c>
      <c r="G75" s="2" t="s">
        <v>913</v>
      </c>
      <c r="H75">
        <f>_xlfn.XLOOKUP(C75,'[1]بيانات الموظفين'!$B:$B,'[1]بيانات الموظفين'!$AV:$AV)</f>
        <v>0</v>
      </c>
    </row>
    <row r="76" spans="1:8" ht="19.95" customHeight="1" x14ac:dyDescent="0.3">
      <c r="A76" s="3" t="s">
        <v>259</v>
      </c>
      <c r="B76" s="3" t="s">
        <v>260</v>
      </c>
      <c r="C76" s="5">
        <v>2569644962</v>
      </c>
      <c r="D76" s="3" t="s">
        <v>248</v>
      </c>
      <c r="E76" s="2" t="s">
        <v>913</v>
      </c>
      <c r="F76" s="2" t="s">
        <v>913</v>
      </c>
      <c r="G76" s="2" t="s">
        <v>913</v>
      </c>
      <c r="H76">
        <f>_xlfn.XLOOKUP(C76,'[1]بيانات الموظفين'!$B:$B,'[1]بيانات الموظفين'!$AV:$AV)</f>
        <v>0</v>
      </c>
    </row>
    <row r="77" spans="1:8" ht="19.95" customHeight="1" x14ac:dyDescent="0.3">
      <c r="A77" s="2" t="s">
        <v>261</v>
      </c>
      <c r="B77" s="2" t="s">
        <v>262</v>
      </c>
      <c r="C77" s="4">
        <v>2572567705</v>
      </c>
      <c r="D77" s="2" t="s">
        <v>248</v>
      </c>
      <c r="E77" s="2" t="s">
        <v>913</v>
      </c>
      <c r="F77" s="2" t="s">
        <v>913</v>
      </c>
      <c r="G77" s="2" t="s">
        <v>913</v>
      </c>
      <c r="H77">
        <f>_xlfn.XLOOKUP(C77,'[1]بيانات الموظفين'!$B:$B,'[1]بيانات الموظفين'!$AV:$AV)</f>
        <v>0</v>
      </c>
    </row>
    <row r="78" spans="1:8" ht="19.95" customHeight="1" x14ac:dyDescent="0.3">
      <c r="A78" s="3" t="s">
        <v>263</v>
      </c>
      <c r="B78" s="3" t="s">
        <v>264</v>
      </c>
      <c r="C78" s="5">
        <v>2572567853</v>
      </c>
      <c r="D78" s="3" t="s">
        <v>248</v>
      </c>
      <c r="E78" s="2" t="s">
        <v>913</v>
      </c>
      <c r="F78" s="2" t="s">
        <v>913</v>
      </c>
      <c r="G78" s="2" t="s">
        <v>913</v>
      </c>
      <c r="H78">
        <f>_xlfn.XLOOKUP(C78,'[1]بيانات الموظفين'!$B:$B,'[1]بيانات الموظفين'!$AV:$AV)</f>
        <v>0</v>
      </c>
    </row>
    <row r="79" spans="1:8" ht="19.95" customHeight="1" x14ac:dyDescent="0.3">
      <c r="A79" s="2" t="s">
        <v>265</v>
      </c>
      <c r="B79" s="2" t="s">
        <v>266</v>
      </c>
      <c r="C79" s="4">
        <v>2579771524</v>
      </c>
      <c r="D79" s="2" t="s">
        <v>248</v>
      </c>
      <c r="E79" s="2" t="s">
        <v>913</v>
      </c>
      <c r="F79" s="2" t="s">
        <v>913</v>
      </c>
      <c r="G79" s="2" t="s">
        <v>913</v>
      </c>
      <c r="H79">
        <f>_xlfn.XLOOKUP(C79,'[1]بيانات الموظفين'!$B:$B,'[1]بيانات الموظفين'!$AV:$AV)</f>
        <v>0</v>
      </c>
    </row>
    <row r="80" spans="1:8" ht="19.95" customHeight="1" x14ac:dyDescent="0.3">
      <c r="A80" s="3" t="s">
        <v>267</v>
      </c>
      <c r="B80" s="3" t="s">
        <v>268</v>
      </c>
      <c r="C80" s="5">
        <v>2581879877</v>
      </c>
      <c r="D80" s="3" t="s">
        <v>248</v>
      </c>
      <c r="E80" s="2" t="s">
        <v>913</v>
      </c>
      <c r="F80" s="2" t="s">
        <v>913</v>
      </c>
      <c r="G80" s="2" t="s">
        <v>913</v>
      </c>
      <c r="H80">
        <f>_xlfn.XLOOKUP(C80,'[1]بيانات الموظفين'!$B:$B,'[1]بيانات الموظفين'!$AV:$AV)</f>
        <v>0</v>
      </c>
    </row>
    <row r="81" spans="1:8" ht="19.95" customHeight="1" x14ac:dyDescent="0.3">
      <c r="A81" s="2" t="s">
        <v>269</v>
      </c>
      <c r="B81" s="2" t="s">
        <v>270</v>
      </c>
      <c r="C81" s="4">
        <v>2591942483</v>
      </c>
      <c r="D81" s="2" t="s">
        <v>248</v>
      </c>
      <c r="E81" s="2" t="s">
        <v>913</v>
      </c>
      <c r="F81" s="2" t="s">
        <v>913</v>
      </c>
      <c r="G81" s="2" t="s">
        <v>913</v>
      </c>
      <c r="H81">
        <f>_xlfn.XLOOKUP(C81,'[1]بيانات الموظفين'!$B:$B,'[1]بيانات الموظفين'!$AV:$AV)</f>
        <v>0</v>
      </c>
    </row>
    <row r="82" spans="1:8" ht="19.95" customHeight="1" x14ac:dyDescent="0.3">
      <c r="A82" s="3" t="s">
        <v>271</v>
      </c>
      <c r="B82" s="3" t="s">
        <v>272</v>
      </c>
      <c r="C82" s="5">
        <v>2597004569</v>
      </c>
      <c r="D82" s="3" t="s">
        <v>248</v>
      </c>
      <c r="E82" s="2" t="s">
        <v>913</v>
      </c>
      <c r="F82" s="2" t="s">
        <v>913</v>
      </c>
      <c r="G82" s="2" t="s">
        <v>913</v>
      </c>
      <c r="H82">
        <f>_xlfn.XLOOKUP(C82,'[1]بيانات الموظفين'!$B:$B,'[1]بيانات الموظفين'!$AV:$AV)</f>
        <v>0</v>
      </c>
    </row>
    <row r="83" spans="1:8" ht="19.95" customHeight="1" x14ac:dyDescent="0.3">
      <c r="A83" s="2" t="s">
        <v>273</v>
      </c>
      <c r="B83" s="2" t="s">
        <v>274</v>
      </c>
      <c r="C83" s="4">
        <v>2601020726</v>
      </c>
      <c r="D83" s="2" t="s">
        <v>248</v>
      </c>
      <c r="E83" s="2" t="s">
        <v>913</v>
      </c>
      <c r="F83" s="2" t="s">
        <v>913</v>
      </c>
      <c r="G83" s="2" t="s">
        <v>913</v>
      </c>
      <c r="H83">
        <f>_xlfn.XLOOKUP(C83,'[1]بيانات الموظفين'!$B:$B,'[1]بيانات الموظفين'!$AV:$AV)</f>
        <v>0</v>
      </c>
    </row>
    <row r="84" spans="1:8" ht="19.95" customHeight="1" x14ac:dyDescent="0.3">
      <c r="A84" s="3" t="s">
        <v>275</v>
      </c>
      <c r="B84" s="3" t="s">
        <v>276</v>
      </c>
      <c r="C84" s="5">
        <v>2608568529</v>
      </c>
      <c r="D84" s="3" t="s">
        <v>248</v>
      </c>
      <c r="E84" s="2" t="s">
        <v>913</v>
      </c>
      <c r="F84" s="2" t="s">
        <v>913</v>
      </c>
      <c r="G84" s="2" t="s">
        <v>913</v>
      </c>
      <c r="H84">
        <f>_xlfn.XLOOKUP(C84,'[1]بيانات الموظفين'!$B:$B,'[1]بيانات الموظفين'!$AV:$AV)</f>
        <v>0</v>
      </c>
    </row>
    <row r="85" spans="1:8" ht="19.95" customHeight="1" x14ac:dyDescent="0.3">
      <c r="A85" s="2" t="s">
        <v>277</v>
      </c>
      <c r="B85" s="2" t="s">
        <v>278</v>
      </c>
      <c r="C85" s="4">
        <v>2612532800</v>
      </c>
      <c r="D85" s="2" t="s">
        <v>248</v>
      </c>
      <c r="E85" s="2" t="s">
        <v>913</v>
      </c>
      <c r="F85" s="2" t="s">
        <v>913</v>
      </c>
      <c r="G85" s="2" t="s">
        <v>913</v>
      </c>
      <c r="H85">
        <f>_xlfn.XLOOKUP(C85,'[1]بيانات الموظفين'!$B:$B,'[1]بيانات الموظفين'!$AV:$AV)</f>
        <v>0</v>
      </c>
    </row>
    <row r="86" spans="1:8" ht="19.95" customHeight="1" x14ac:dyDescent="0.3">
      <c r="A86" s="3" t="s">
        <v>279</v>
      </c>
      <c r="B86" s="3" t="s">
        <v>280</v>
      </c>
      <c r="C86" s="5">
        <v>2616523037</v>
      </c>
      <c r="D86" s="3" t="s">
        <v>248</v>
      </c>
      <c r="E86" s="2" t="s">
        <v>913</v>
      </c>
      <c r="F86" s="2" t="s">
        <v>913</v>
      </c>
      <c r="G86" s="2" t="s">
        <v>913</v>
      </c>
      <c r="H86">
        <f>_xlfn.XLOOKUP(C86,'[1]بيانات الموظفين'!$B:$B,'[1]بيانات الموظفين'!$AV:$AV)</f>
        <v>0</v>
      </c>
    </row>
    <row r="87" spans="1:8" ht="19.95" customHeight="1" x14ac:dyDescent="0.3">
      <c r="A87" s="2" t="s">
        <v>281</v>
      </c>
      <c r="B87" s="2" t="s">
        <v>282</v>
      </c>
      <c r="C87" s="4">
        <v>2553949062</v>
      </c>
      <c r="D87" s="2" t="s">
        <v>248</v>
      </c>
      <c r="E87" s="2" t="s">
        <v>913</v>
      </c>
      <c r="F87" s="2" t="s">
        <v>913</v>
      </c>
      <c r="G87" s="2" t="s">
        <v>913</v>
      </c>
      <c r="H87">
        <f>_xlfn.XLOOKUP(C87,'[1]بيانات الموظفين'!$B:$B,'[1]بيانات الموظفين'!$AV:$AV)</f>
        <v>0</v>
      </c>
    </row>
    <row r="88" spans="1:8" ht="19.95" customHeight="1" x14ac:dyDescent="0.3">
      <c r="A88" s="3" t="s">
        <v>283</v>
      </c>
      <c r="B88" s="3" t="s">
        <v>284</v>
      </c>
      <c r="C88" s="5">
        <v>2557509342</v>
      </c>
      <c r="D88" s="3" t="s">
        <v>248</v>
      </c>
      <c r="E88" s="2" t="s">
        <v>913</v>
      </c>
      <c r="F88" s="2" t="s">
        <v>913</v>
      </c>
      <c r="G88" s="2" t="s">
        <v>913</v>
      </c>
      <c r="H88">
        <f>_xlfn.XLOOKUP(C88,'[1]بيانات الموظفين'!$B:$B,'[1]بيانات الموظفين'!$AV:$AV)</f>
        <v>0</v>
      </c>
    </row>
    <row r="89" spans="1:8" ht="19.95" customHeight="1" x14ac:dyDescent="0.3">
      <c r="A89" s="2" t="s">
        <v>285</v>
      </c>
      <c r="B89" s="2" t="s">
        <v>286</v>
      </c>
      <c r="C89" s="4">
        <v>2560884062</v>
      </c>
      <c r="D89" s="2" t="s">
        <v>248</v>
      </c>
      <c r="E89" s="2" t="s">
        <v>913</v>
      </c>
      <c r="F89" s="2" t="s">
        <v>913</v>
      </c>
      <c r="G89" s="2" t="s">
        <v>913</v>
      </c>
      <c r="H89">
        <f>_xlfn.XLOOKUP(C89,'[1]بيانات الموظفين'!$B:$B,'[1]بيانات الموظفين'!$AV:$AV)</f>
        <v>0</v>
      </c>
    </row>
    <row r="90" spans="1:8" ht="19.95" customHeight="1" x14ac:dyDescent="0.3">
      <c r="A90" s="3" t="s">
        <v>287</v>
      </c>
      <c r="B90" s="3" t="s">
        <v>288</v>
      </c>
      <c r="C90" s="5">
        <v>2563090634</v>
      </c>
      <c r="D90" s="3" t="s">
        <v>289</v>
      </c>
      <c r="E90" s="2" t="s">
        <v>913</v>
      </c>
      <c r="F90" s="2" t="s">
        <v>913</v>
      </c>
      <c r="G90" s="2" t="s">
        <v>913</v>
      </c>
      <c r="H90">
        <f>_xlfn.XLOOKUP(C90,'[1]بيانات الموظفين'!$B:$B,'[1]بيانات الموظفين'!$AV:$AV)</f>
        <v>0</v>
      </c>
    </row>
    <row r="91" spans="1:8" ht="19.95" customHeight="1" x14ac:dyDescent="0.3">
      <c r="A91" s="2" t="s">
        <v>290</v>
      </c>
      <c r="B91" s="2" t="s">
        <v>291</v>
      </c>
      <c r="C91" s="4">
        <v>2566739211</v>
      </c>
      <c r="D91" s="2" t="s">
        <v>248</v>
      </c>
      <c r="E91" s="2" t="s">
        <v>913</v>
      </c>
      <c r="F91" s="2" t="s">
        <v>913</v>
      </c>
      <c r="G91" s="2" t="s">
        <v>913</v>
      </c>
      <c r="H91">
        <f>_xlfn.XLOOKUP(C91,'[1]بيانات الموظفين'!$B:$B,'[1]بيانات الموظفين'!$AV:$AV)</f>
        <v>0</v>
      </c>
    </row>
    <row r="92" spans="1:8" ht="19.95" customHeight="1" x14ac:dyDescent="0.3">
      <c r="A92" s="3" t="s">
        <v>292</v>
      </c>
      <c r="B92" s="3" t="s">
        <v>293</v>
      </c>
      <c r="C92" s="5">
        <v>2562205704</v>
      </c>
      <c r="D92" s="3" t="s">
        <v>248</v>
      </c>
      <c r="E92" s="2" t="s">
        <v>913</v>
      </c>
      <c r="F92" s="2" t="s">
        <v>913</v>
      </c>
      <c r="G92" s="2" t="s">
        <v>913</v>
      </c>
      <c r="H92">
        <f>_xlfn.XLOOKUP(C92,'[1]بيانات الموظفين'!$B:$B,'[1]بيانات الموظفين'!$AV:$AV)</f>
        <v>0</v>
      </c>
    </row>
    <row r="93" spans="1:8" ht="19.95" customHeight="1" x14ac:dyDescent="0.3">
      <c r="A93" s="2" t="s">
        <v>294</v>
      </c>
      <c r="B93" s="2" t="s">
        <v>295</v>
      </c>
      <c r="C93" s="4">
        <v>2600507749</v>
      </c>
      <c r="D93" s="2" t="s">
        <v>294</v>
      </c>
      <c r="E93" s="2" t="s">
        <v>913</v>
      </c>
      <c r="F93" s="2" t="s">
        <v>913</v>
      </c>
      <c r="G93" s="2" t="s">
        <v>913</v>
      </c>
      <c r="H93" t="e">
        <f>_xlfn.XLOOKUP(C93,'[1]بيانات الموظفين'!$B:$B,'[1]بيانات الموظفين'!$AV:$AV)</f>
        <v>#N/A</v>
      </c>
    </row>
    <row r="94" spans="1:8" ht="19.95" customHeight="1" x14ac:dyDescent="0.3">
      <c r="A94" s="3" t="s">
        <v>296</v>
      </c>
      <c r="B94" s="3" t="s">
        <v>297</v>
      </c>
      <c r="C94" s="5">
        <v>2562021978</v>
      </c>
      <c r="D94" s="3" t="s">
        <v>248</v>
      </c>
      <c r="E94" s="2" t="s">
        <v>913</v>
      </c>
      <c r="F94" s="2" t="s">
        <v>913</v>
      </c>
      <c r="G94" s="2" t="s">
        <v>913</v>
      </c>
      <c r="H94">
        <f>_xlfn.XLOOKUP(C94,'[1]بيانات الموظفين'!$B:$B,'[1]بيانات الموظفين'!$AV:$AV)</f>
        <v>0</v>
      </c>
    </row>
    <row r="95" spans="1:8" ht="19.95" customHeight="1" x14ac:dyDescent="0.3">
      <c r="A95" s="2" t="s">
        <v>298</v>
      </c>
      <c r="B95" s="2" t="s">
        <v>299</v>
      </c>
      <c r="C95" s="4">
        <v>2578744076</v>
      </c>
      <c r="D95" s="2" t="s">
        <v>248</v>
      </c>
      <c r="E95" s="2" t="s">
        <v>913</v>
      </c>
      <c r="F95" s="2" t="s">
        <v>913</v>
      </c>
      <c r="G95" s="2" t="s">
        <v>913</v>
      </c>
      <c r="H95">
        <f>_xlfn.XLOOKUP(C95,'[1]بيانات الموظفين'!$B:$B,'[1]بيانات الموظفين'!$AV:$AV)</f>
        <v>0</v>
      </c>
    </row>
    <row r="96" spans="1:8" ht="19.95" customHeight="1" x14ac:dyDescent="0.3">
      <c r="A96" s="3" t="s">
        <v>300</v>
      </c>
      <c r="B96" s="3" t="s">
        <v>301</v>
      </c>
      <c r="C96" s="5">
        <v>2570585915</v>
      </c>
      <c r="D96" s="3" t="s">
        <v>248</v>
      </c>
      <c r="E96" s="2" t="s">
        <v>913</v>
      </c>
      <c r="F96" s="2" t="s">
        <v>913</v>
      </c>
      <c r="G96" s="2" t="s">
        <v>913</v>
      </c>
      <c r="H96">
        <f>_xlfn.XLOOKUP(C96,'[1]بيانات الموظفين'!$B:$B,'[1]بيانات الموظفين'!$AV:$AV)</f>
        <v>0</v>
      </c>
    </row>
    <row r="97" spans="1:8" ht="19.95" customHeight="1" x14ac:dyDescent="0.3">
      <c r="A97" s="2" t="s">
        <v>302</v>
      </c>
      <c r="B97" s="2" t="s">
        <v>303</v>
      </c>
      <c r="C97" s="4">
        <v>2529914224</v>
      </c>
      <c r="D97" s="2" t="s">
        <v>248</v>
      </c>
      <c r="E97" s="2" t="s">
        <v>913</v>
      </c>
      <c r="F97" s="2" t="s">
        <v>913</v>
      </c>
      <c r="G97" s="2" t="s">
        <v>913</v>
      </c>
      <c r="H97">
        <f>_xlfn.XLOOKUP(C97,'[1]بيانات الموظفين'!$B:$B,'[1]بيانات الموظفين'!$AV:$AV)</f>
        <v>0</v>
      </c>
    </row>
    <row r="98" spans="1:8" ht="19.95" customHeight="1" x14ac:dyDescent="0.3">
      <c r="A98" s="3" t="s">
        <v>304</v>
      </c>
      <c r="B98" s="3" t="s">
        <v>305</v>
      </c>
      <c r="C98" s="5">
        <v>2586867489</v>
      </c>
      <c r="D98" s="3" t="s">
        <v>248</v>
      </c>
      <c r="E98" s="2" t="s">
        <v>913</v>
      </c>
      <c r="F98" s="2" t="s">
        <v>913</v>
      </c>
      <c r="G98" s="2" t="s">
        <v>913</v>
      </c>
      <c r="H98">
        <f>_xlfn.XLOOKUP(C98,'[1]بيانات الموظفين'!$B:$B,'[1]بيانات الموظفين'!$AV:$AV)</f>
        <v>0</v>
      </c>
    </row>
    <row r="99" spans="1:8" ht="19.95" customHeight="1" x14ac:dyDescent="0.3">
      <c r="A99" s="2" t="s">
        <v>306</v>
      </c>
      <c r="B99" s="2" t="s">
        <v>307</v>
      </c>
      <c r="C99" s="4">
        <v>2589063623</v>
      </c>
      <c r="D99" s="2" t="s">
        <v>248</v>
      </c>
      <c r="E99" s="2" t="s">
        <v>913</v>
      </c>
      <c r="F99" s="2" t="s">
        <v>913</v>
      </c>
      <c r="G99" s="2" t="s">
        <v>913</v>
      </c>
      <c r="H99">
        <f>_xlfn.XLOOKUP(C99,'[1]بيانات الموظفين'!$B:$B,'[1]بيانات الموظفين'!$AV:$AV)</f>
        <v>0</v>
      </c>
    </row>
    <row r="100" spans="1:8" ht="19.95" customHeight="1" x14ac:dyDescent="0.3">
      <c r="A100" s="3" t="s">
        <v>308</v>
      </c>
      <c r="B100" s="3" t="s">
        <v>309</v>
      </c>
      <c r="C100" s="5">
        <v>2589062740</v>
      </c>
      <c r="D100" s="3" t="s">
        <v>310</v>
      </c>
      <c r="E100" s="2" t="s">
        <v>913</v>
      </c>
      <c r="F100" s="2" t="s">
        <v>913</v>
      </c>
      <c r="G100" s="2" t="s">
        <v>913</v>
      </c>
      <c r="H100" t="e">
        <f>_xlfn.XLOOKUP(C100,'[1]بيانات الموظفين'!$B:$B,'[1]بيانات الموظفين'!$AV:$AV)</f>
        <v>#N/A</v>
      </c>
    </row>
    <row r="101" spans="1:8" ht="19.95" customHeight="1" x14ac:dyDescent="0.3">
      <c r="A101" s="2" t="s">
        <v>311</v>
      </c>
      <c r="B101" s="2" t="s">
        <v>312</v>
      </c>
      <c r="C101" s="4">
        <v>2568883777</v>
      </c>
      <c r="D101" s="2" t="s">
        <v>248</v>
      </c>
      <c r="E101" s="2" t="s">
        <v>913</v>
      </c>
      <c r="F101" s="2" t="s">
        <v>913</v>
      </c>
      <c r="G101" s="2" t="s">
        <v>913</v>
      </c>
      <c r="H101">
        <f>_xlfn.XLOOKUP(C101,'[1]بيانات الموظفين'!$B:$B,'[1]بيانات الموظفين'!$AV:$AV)</f>
        <v>0</v>
      </c>
    </row>
    <row r="102" spans="1:8" ht="19.95" customHeight="1" x14ac:dyDescent="0.3">
      <c r="A102" s="3" t="s">
        <v>313</v>
      </c>
      <c r="B102" s="3" t="s">
        <v>314</v>
      </c>
      <c r="C102" s="5">
        <v>2569646728</v>
      </c>
      <c r="D102" s="3" t="s">
        <v>248</v>
      </c>
      <c r="E102" s="2" t="s">
        <v>913</v>
      </c>
      <c r="F102" s="2" t="s">
        <v>913</v>
      </c>
      <c r="G102" s="2" t="s">
        <v>913</v>
      </c>
      <c r="H102">
        <f>_xlfn.XLOOKUP(C102,'[1]بيانات الموظفين'!$B:$B,'[1]بيانات الموظفين'!$AV:$AV)</f>
        <v>0</v>
      </c>
    </row>
    <row r="103" spans="1:8" ht="19.95" customHeight="1" x14ac:dyDescent="0.3">
      <c r="A103" s="2" t="s">
        <v>315</v>
      </c>
      <c r="B103" s="2" t="s">
        <v>316</v>
      </c>
      <c r="C103" s="4">
        <v>2569644772</v>
      </c>
      <c r="D103" s="2" t="s">
        <v>248</v>
      </c>
      <c r="E103" s="2" t="s">
        <v>913</v>
      </c>
      <c r="F103" s="2" t="s">
        <v>913</v>
      </c>
      <c r="G103" s="2" t="s">
        <v>913</v>
      </c>
      <c r="H103">
        <f>_xlfn.XLOOKUP(C103,'[1]بيانات الموظفين'!$B:$B,'[1]بيانات الموظفين'!$AV:$AV)</f>
        <v>0</v>
      </c>
    </row>
    <row r="104" spans="1:8" ht="19.95" customHeight="1" x14ac:dyDescent="0.3">
      <c r="A104" s="3" t="s">
        <v>317</v>
      </c>
      <c r="B104" s="3" t="s">
        <v>318</v>
      </c>
      <c r="C104" s="5">
        <v>2589695374</v>
      </c>
      <c r="D104" s="3" t="s">
        <v>248</v>
      </c>
      <c r="E104" s="2" t="s">
        <v>913</v>
      </c>
      <c r="F104" s="2" t="s">
        <v>913</v>
      </c>
      <c r="G104" s="2" t="s">
        <v>913</v>
      </c>
      <c r="H104">
        <f>_xlfn.XLOOKUP(C104,'[1]بيانات الموظفين'!$B:$B,'[1]بيانات الموظفين'!$AV:$AV)</f>
        <v>0</v>
      </c>
    </row>
    <row r="105" spans="1:8" ht="19.95" customHeight="1" x14ac:dyDescent="0.3">
      <c r="A105" s="2" t="s">
        <v>319</v>
      </c>
      <c r="B105" s="2" t="s">
        <v>320</v>
      </c>
      <c r="C105" s="4">
        <v>2600468512</v>
      </c>
      <c r="D105" s="2" t="s">
        <v>248</v>
      </c>
      <c r="E105" s="2" t="s">
        <v>913</v>
      </c>
      <c r="F105" s="2" t="s">
        <v>913</v>
      </c>
      <c r="G105" s="2" t="s">
        <v>913</v>
      </c>
      <c r="H105">
        <f>_xlfn.XLOOKUP(C105,'[1]بيانات الموظفين'!$B:$B,'[1]بيانات الموظفين'!$AV:$AV)</f>
        <v>0</v>
      </c>
    </row>
    <row r="106" spans="1:8" ht="19.95" customHeight="1" x14ac:dyDescent="0.3">
      <c r="A106" s="3" t="s">
        <v>321</v>
      </c>
      <c r="B106" s="3" t="s">
        <v>322</v>
      </c>
      <c r="C106" s="5">
        <v>2588109153</v>
      </c>
      <c r="D106" s="3" t="s">
        <v>310</v>
      </c>
      <c r="E106" s="2" t="s">
        <v>913</v>
      </c>
      <c r="F106" s="2" t="s">
        <v>913</v>
      </c>
      <c r="G106" s="2" t="s">
        <v>913</v>
      </c>
      <c r="H106" t="e">
        <f>_xlfn.XLOOKUP(C106,'[1]بيانات الموظفين'!$B:$B,'[1]بيانات الموظفين'!$AV:$AV)</f>
        <v>#N/A</v>
      </c>
    </row>
    <row r="107" spans="1:8" ht="19.95" customHeight="1" x14ac:dyDescent="0.3">
      <c r="A107" s="2" t="s">
        <v>323</v>
      </c>
      <c r="B107" s="2" t="s">
        <v>324</v>
      </c>
      <c r="C107" s="4">
        <v>2605588504</v>
      </c>
      <c r="D107" s="2" t="s">
        <v>310</v>
      </c>
      <c r="E107" s="2" t="s">
        <v>913</v>
      </c>
      <c r="F107" s="2" t="s">
        <v>913</v>
      </c>
      <c r="G107" s="2" t="s">
        <v>913</v>
      </c>
      <c r="H107" t="e">
        <f>_xlfn.XLOOKUP(C107,'[1]بيانات الموظفين'!$B:$B,'[1]بيانات الموظفين'!$AV:$AV)</f>
        <v>#N/A</v>
      </c>
    </row>
    <row r="108" spans="1:8" ht="19.95" customHeight="1" x14ac:dyDescent="0.3">
      <c r="A108" s="3" t="s">
        <v>325</v>
      </c>
      <c r="B108" s="3" t="s">
        <v>326</v>
      </c>
      <c r="C108" s="5">
        <v>2582683088</v>
      </c>
      <c r="D108" s="3" t="s">
        <v>310</v>
      </c>
      <c r="E108" s="2" t="s">
        <v>913</v>
      </c>
      <c r="F108" s="2" t="s">
        <v>913</v>
      </c>
      <c r="G108" s="2" t="s">
        <v>913</v>
      </c>
      <c r="H108" t="e">
        <f>_xlfn.XLOOKUP(C108,'[1]بيانات الموظفين'!$B:$B,'[1]بيانات الموظفين'!$AV:$AV)</f>
        <v>#N/A</v>
      </c>
    </row>
    <row r="109" spans="1:8" ht="19.95" customHeight="1" x14ac:dyDescent="0.3">
      <c r="A109" s="2" t="s">
        <v>327</v>
      </c>
      <c r="B109" s="2" t="s">
        <v>328</v>
      </c>
      <c r="C109" s="4">
        <v>2604832531</v>
      </c>
      <c r="D109" s="2" t="s">
        <v>310</v>
      </c>
      <c r="E109" s="2" t="s">
        <v>913</v>
      </c>
      <c r="F109" s="2" t="s">
        <v>913</v>
      </c>
      <c r="G109" s="2" t="s">
        <v>913</v>
      </c>
      <c r="H109" t="e">
        <f>_xlfn.XLOOKUP(C109,'[1]بيانات الموظفين'!$B:$B,'[1]بيانات الموظفين'!$AV:$AV)</f>
        <v>#N/A</v>
      </c>
    </row>
    <row r="110" spans="1:8" ht="19.95" customHeight="1" x14ac:dyDescent="0.3">
      <c r="A110" s="3" t="s">
        <v>329</v>
      </c>
      <c r="B110" s="3" t="s">
        <v>330</v>
      </c>
      <c r="C110" s="5">
        <v>2609179607</v>
      </c>
      <c r="D110" s="3" t="s">
        <v>248</v>
      </c>
      <c r="E110" s="2" t="s">
        <v>913</v>
      </c>
      <c r="F110" s="2" t="s">
        <v>913</v>
      </c>
      <c r="G110" s="2" t="s">
        <v>913</v>
      </c>
      <c r="H110">
        <f>_xlfn.XLOOKUP(C110,'[1]بيانات الموظفين'!$B:$B,'[1]بيانات الموظفين'!$AV:$AV)</f>
        <v>0</v>
      </c>
    </row>
    <row r="111" spans="1:8" ht="19.95" customHeight="1" x14ac:dyDescent="0.3">
      <c r="A111" s="2" t="s">
        <v>331</v>
      </c>
      <c r="B111" s="2" t="s">
        <v>332</v>
      </c>
      <c r="C111" s="4">
        <v>2615256175</v>
      </c>
      <c r="D111" s="2" t="s">
        <v>248</v>
      </c>
      <c r="E111" s="2" t="s">
        <v>913</v>
      </c>
      <c r="F111" s="2" t="s">
        <v>913</v>
      </c>
      <c r="G111" s="2" t="s">
        <v>913</v>
      </c>
      <c r="H111">
        <f>_xlfn.XLOOKUP(C111,'[1]بيانات الموظفين'!$B:$B,'[1]بيانات الموظفين'!$AV:$AV)</f>
        <v>0</v>
      </c>
    </row>
    <row r="112" spans="1:8" ht="19.95" customHeight="1" x14ac:dyDescent="0.3">
      <c r="A112" s="3" t="s">
        <v>333</v>
      </c>
      <c r="B112" s="3" t="s">
        <v>334</v>
      </c>
      <c r="C112" s="5">
        <v>2577457951</v>
      </c>
      <c r="D112" s="3" t="s">
        <v>248</v>
      </c>
      <c r="E112" s="2" t="s">
        <v>913</v>
      </c>
      <c r="F112" s="2" t="s">
        <v>913</v>
      </c>
      <c r="G112" s="2" t="s">
        <v>913</v>
      </c>
      <c r="H112">
        <f>_xlfn.XLOOKUP(C112,'[1]بيانات الموظفين'!$B:$B,'[1]بيانات الموظفين'!$AV:$AV)</f>
        <v>0</v>
      </c>
    </row>
    <row r="113" spans="1:8" ht="19.95" customHeight="1" x14ac:dyDescent="0.3">
      <c r="A113" s="2" t="s">
        <v>335</v>
      </c>
      <c r="B113" s="2" t="s">
        <v>336</v>
      </c>
      <c r="C113" s="4">
        <v>2600845370</v>
      </c>
      <c r="D113" s="2" t="s">
        <v>248</v>
      </c>
      <c r="E113" s="2" t="s">
        <v>913</v>
      </c>
      <c r="F113" s="2" t="s">
        <v>913</v>
      </c>
      <c r="G113" s="2" t="s">
        <v>913</v>
      </c>
      <c r="H113">
        <f>_xlfn.XLOOKUP(C113,'[1]بيانات الموظفين'!$B:$B,'[1]بيانات الموظفين'!$AV:$AV)</f>
        <v>0</v>
      </c>
    </row>
    <row r="114" spans="1:8" ht="19.95" customHeight="1" x14ac:dyDescent="0.3">
      <c r="A114" s="3" t="s">
        <v>337</v>
      </c>
      <c r="B114" s="3" t="s">
        <v>338</v>
      </c>
      <c r="C114" s="5">
        <v>2614835284</v>
      </c>
      <c r="D114" s="3" t="s">
        <v>310</v>
      </c>
      <c r="E114" s="2" t="s">
        <v>913</v>
      </c>
      <c r="F114" s="2" t="s">
        <v>913</v>
      </c>
      <c r="G114" s="2" t="s">
        <v>913</v>
      </c>
      <c r="H114" t="e">
        <f>_xlfn.XLOOKUP(C114,'[1]بيانات الموظفين'!$B:$B,'[1]بيانات الموظفين'!$AV:$AV)</f>
        <v>#N/A</v>
      </c>
    </row>
    <row r="115" spans="1:8" ht="19.95" customHeight="1" x14ac:dyDescent="0.3">
      <c r="A115" s="2" t="s">
        <v>339</v>
      </c>
      <c r="B115" s="2" t="s">
        <v>340</v>
      </c>
      <c r="C115" s="4">
        <v>2552660223</v>
      </c>
      <c r="D115" s="2" t="s">
        <v>310</v>
      </c>
      <c r="E115" s="2" t="s">
        <v>913</v>
      </c>
      <c r="F115" s="2" t="s">
        <v>913</v>
      </c>
      <c r="G115" s="2" t="s">
        <v>913</v>
      </c>
      <c r="H115" t="e">
        <f>_xlfn.XLOOKUP(C115,'[1]بيانات الموظفين'!$B:$B,'[1]بيانات الموظفين'!$AV:$AV)</f>
        <v>#N/A</v>
      </c>
    </row>
    <row r="116" spans="1:8" ht="19.95" customHeight="1" x14ac:dyDescent="0.3">
      <c r="A116" s="3" t="s">
        <v>341</v>
      </c>
      <c r="B116" s="3" t="s">
        <v>342</v>
      </c>
      <c r="C116" s="5">
        <v>2592565697</v>
      </c>
      <c r="D116" s="3" t="s">
        <v>310</v>
      </c>
      <c r="E116" s="2" t="s">
        <v>913</v>
      </c>
      <c r="F116" s="2" t="s">
        <v>913</v>
      </c>
      <c r="G116" s="2" t="s">
        <v>913</v>
      </c>
      <c r="H116" t="e">
        <f>_xlfn.XLOOKUP(C116,'[1]بيانات الموظفين'!$B:$B,'[1]بيانات الموظفين'!$AV:$AV)</f>
        <v>#N/A</v>
      </c>
    </row>
    <row r="117" spans="1:8" ht="19.95" customHeight="1" x14ac:dyDescent="0.3">
      <c r="A117" s="2" t="s">
        <v>343</v>
      </c>
      <c r="B117" s="2" t="s">
        <v>344</v>
      </c>
      <c r="C117" s="4">
        <v>2632625717</v>
      </c>
      <c r="D117" s="2" t="s">
        <v>310</v>
      </c>
      <c r="E117" s="2" t="s">
        <v>913</v>
      </c>
      <c r="F117" s="2" t="s">
        <v>913</v>
      </c>
      <c r="G117" s="2" t="s">
        <v>913</v>
      </c>
      <c r="H117" t="e">
        <f>_xlfn.XLOOKUP(C117,'[1]بيانات الموظفين'!$B:$B,'[1]بيانات الموظفين'!$AV:$AV)</f>
        <v>#N/A</v>
      </c>
    </row>
    <row r="118" spans="1:8" ht="19.95" customHeight="1" x14ac:dyDescent="0.3">
      <c r="A118" s="3" t="s">
        <v>345</v>
      </c>
      <c r="B118" s="3" t="s">
        <v>346</v>
      </c>
      <c r="C118" s="5">
        <v>2607113145</v>
      </c>
      <c r="D118" s="3" t="s">
        <v>310</v>
      </c>
      <c r="E118" s="2" t="s">
        <v>913</v>
      </c>
      <c r="F118" s="2" t="s">
        <v>913</v>
      </c>
      <c r="G118" s="2" t="s">
        <v>913</v>
      </c>
      <c r="H118" t="e">
        <f>_xlfn.XLOOKUP(C118,'[1]بيانات الموظفين'!$B:$B,'[1]بيانات الموظفين'!$AV:$AV)</f>
        <v>#N/A</v>
      </c>
    </row>
    <row r="119" spans="1:8" ht="19.95" customHeight="1" x14ac:dyDescent="0.3">
      <c r="A119" s="2" t="s">
        <v>347</v>
      </c>
      <c r="B119" s="2" t="s">
        <v>348</v>
      </c>
      <c r="C119" s="4">
        <v>2567275397</v>
      </c>
      <c r="D119" s="2" t="s">
        <v>248</v>
      </c>
      <c r="E119" s="2" t="s">
        <v>913</v>
      </c>
      <c r="F119" s="2" t="s">
        <v>913</v>
      </c>
      <c r="G119" s="2" t="s">
        <v>913</v>
      </c>
      <c r="H119">
        <f>_xlfn.XLOOKUP(C119,'[1]بيانات الموظفين'!$B:$B,'[1]بيانات الموظفين'!$AV:$AV)</f>
        <v>0</v>
      </c>
    </row>
    <row r="120" spans="1:8" ht="19.95" customHeight="1" x14ac:dyDescent="0.3">
      <c r="A120" s="3" t="s">
        <v>349</v>
      </c>
      <c r="B120" s="3" t="s">
        <v>350</v>
      </c>
      <c r="C120" s="5">
        <v>2588109203</v>
      </c>
      <c r="D120" s="3" t="s">
        <v>248</v>
      </c>
      <c r="E120" s="2" t="s">
        <v>913</v>
      </c>
      <c r="F120" s="2" t="s">
        <v>913</v>
      </c>
      <c r="G120" s="2" t="s">
        <v>913</v>
      </c>
      <c r="H120">
        <f>_xlfn.XLOOKUP(C120,'[1]بيانات الموظفين'!$B:$B,'[1]بيانات الموظفين'!$AV:$AV)</f>
        <v>0</v>
      </c>
    </row>
    <row r="121" spans="1:8" ht="19.95" customHeight="1" x14ac:dyDescent="0.3">
      <c r="A121" s="2" t="s">
        <v>351</v>
      </c>
      <c r="B121" s="2" t="s">
        <v>352</v>
      </c>
      <c r="C121" s="4">
        <v>2581749112</v>
      </c>
      <c r="D121" s="2" t="s">
        <v>248</v>
      </c>
      <c r="E121" s="2" t="s">
        <v>913</v>
      </c>
      <c r="F121" s="2" t="s">
        <v>913</v>
      </c>
      <c r="G121" s="2" t="s">
        <v>913</v>
      </c>
      <c r="H121">
        <f>_xlfn.XLOOKUP(C121,'[1]بيانات الموظفين'!$B:$B,'[1]بيانات الموظفين'!$AV:$AV)</f>
        <v>0</v>
      </c>
    </row>
    <row r="122" spans="1:8" ht="19.95" customHeight="1" x14ac:dyDescent="0.3">
      <c r="A122" s="3" t="s">
        <v>353</v>
      </c>
      <c r="B122" s="3" t="s">
        <v>354</v>
      </c>
      <c r="C122" s="5">
        <v>2589023700</v>
      </c>
      <c r="D122" s="3" t="s">
        <v>248</v>
      </c>
      <c r="E122" s="2" t="s">
        <v>913</v>
      </c>
      <c r="F122" s="2" t="s">
        <v>913</v>
      </c>
      <c r="G122" s="2" t="s">
        <v>913</v>
      </c>
      <c r="H122">
        <f>_xlfn.XLOOKUP(C122,'[1]بيانات الموظفين'!$B:$B,'[1]بيانات الموظفين'!$AV:$AV)</f>
        <v>0</v>
      </c>
    </row>
    <row r="123" spans="1:8" ht="19.95" customHeight="1" x14ac:dyDescent="0.3">
      <c r="A123" s="2" t="s">
        <v>355</v>
      </c>
      <c r="B123" s="2" t="s">
        <v>356</v>
      </c>
      <c r="C123" s="4">
        <v>2585711043</v>
      </c>
      <c r="D123" s="2" t="s">
        <v>248</v>
      </c>
      <c r="E123" s="2" t="s">
        <v>913</v>
      </c>
      <c r="F123" s="2" t="s">
        <v>913</v>
      </c>
      <c r="G123" s="2" t="s">
        <v>913</v>
      </c>
      <c r="H123">
        <f>_xlfn.XLOOKUP(C123,'[1]بيانات الموظفين'!$B:$B,'[1]بيانات الموظفين'!$AV:$AV)</f>
        <v>0</v>
      </c>
    </row>
    <row r="124" spans="1:8" ht="19.95" customHeight="1" x14ac:dyDescent="0.3">
      <c r="A124" s="3" t="s">
        <v>357</v>
      </c>
      <c r="B124" s="3" t="s">
        <v>358</v>
      </c>
      <c r="C124" s="5">
        <v>2630928295</v>
      </c>
      <c r="D124" s="3" t="s">
        <v>248</v>
      </c>
      <c r="E124" s="2" t="s">
        <v>913</v>
      </c>
      <c r="F124" s="2" t="s">
        <v>913</v>
      </c>
      <c r="G124" s="2" t="s">
        <v>913</v>
      </c>
      <c r="H124">
        <f>_xlfn.XLOOKUP(C124,'[1]بيانات الموظفين'!$B:$B,'[1]بيانات الموظفين'!$AV:$AV)</f>
        <v>0</v>
      </c>
    </row>
    <row r="125" spans="1:8" ht="19.95" customHeight="1" x14ac:dyDescent="0.3">
      <c r="A125" s="2" t="s">
        <v>359</v>
      </c>
      <c r="B125" s="2" t="s">
        <v>360</v>
      </c>
      <c r="C125" s="4">
        <v>2591742545</v>
      </c>
      <c r="D125" s="2" t="s">
        <v>248</v>
      </c>
      <c r="E125" s="2" t="s">
        <v>913</v>
      </c>
      <c r="F125" s="2" t="s">
        <v>913</v>
      </c>
      <c r="G125" s="2" t="s">
        <v>913</v>
      </c>
      <c r="H125">
        <f>_xlfn.XLOOKUP(C125,'[1]بيانات الموظفين'!$B:$B,'[1]بيانات الموظفين'!$AV:$AV)</f>
        <v>0</v>
      </c>
    </row>
    <row r="126" spans="1:8" ht="19.95" customHeight="1" x14ac:dyDescent="0.3">
      <c r="A126" s="3" t="s">
        <v>361</v>
      </c>
      <c r="B126" s="3" t="s">
        <v>362</v>
      </c>
      <c r="C126" s="5">
        <v>2410864439</v>
      </c>
      <c r="D126" s="3" t="s">
        <v>363</v>
      </c>
      <c r="E126" s="2" t="s">
        <v>913</v>
      </c>
      <c r="F126" s="2" t="s">
        <v>913</v>
      </c>
      <c r="G126" s="2" t="s">
        <v>913</v>
      </c>
      <c r="H126">
        <f>_xlfn.XLOOKUP(C126,'[1]بيانات الموظفين'!$B:$B,'[1]بيانات الموظفين'!$AV:$AV)</f>
        <v>0</v>
      </c>
    </row>
    <row r="127" spans="1:8" ht="19.95" customHeight="1" x14ac:dyDescent="0.3">
      <c r="A127" s="2" t="s">
        <v>364</v>
      </c>
      <c r="B127" s="2" t="s">
        <v>365</v>
      </c>
      <c r="C127" s="4">
        <v>2601428259</v>
      </c>
      <c r="D127" s="2" t="s">
        <v>363</v>
      </c>
      <c r="E127" s="2" t="s">
        <v>913</v>
      </c>
      <c r="F127" s="2" t="s">
        <v>913</v>
      </c>
      <c r="G127" s="2" t="s">
        <v>913</v>
      </c>
      <c r="H127">
        <f>_xlfn.XLOOKUP(C127,'[1]بيانات الموظفين'!$B:$B,'[1]بيانات الموظفين'!$AV:$AV)</f>
        <v>0</v>
      </c>
    </row>
    <row r="128" spans="1:8" ht="19.95" customHeight="1" x14ac:dyDescent="0.3">
      <c r="A128" s="3" t="s">
        <v>366</v>
      </c>
      <c r="B128" s="3" t="s">
        <v>367</v>
      </c>
      <c r="C128" s="5">
        <v>2562953246</v>
      </c>
      <c r="D128" s="3" t="s">
        <v>310</v>
      </c>
      <c r="E128" s="2" t="s">
        <v>913</v>
      </c>
      <c r="F128" s="2" t="s">
        <v>913</v>
      </c>
      <c r="G128" s="2" t="s">
        <v>913</v>
      </c>
      <c r="H128" t="e">
        <f>_xlfn.XLOOKUP(C128,'[1]بيانات الموظفين'!$B:$B,'[1]بيانات الموظفين'!$AV:$AV)</f>
        <v>#N/A</v>
      </c>
    </row>
    <row r="129" spans="1:8" ht="19.95" customHeight="1" x14ac:dyDescent="0.3">
      <c r="A129" s="2" t="s">
        <v>368</v>
      </c>
      <c r="B129" s="2" t="s">
        <v>369</v>
      </c>
      <c r="C129" s="4">
        <v>2555112156</v>
      </c>
      <c r="D129" s="2" t="s">
        <v>310</v>
      </c>
      <c r="E129" s="2" t="s">
        <v>913</v>
      </c>
      <c r="F129" s="2" t="s">
        <v>913</v>
      </c>
      <c r="G129" s="2" t="s">
        <v>913</v>
      </c>
      <c r="H129" t="e">
        <f>_xlfn.XLOOKUP(C129,'[1]بيانات الموظفين'!$B:$B,'[1]بيانات الموظفين'!$AV:$AV)</f>
        <v>#N/A</v>
      </c>
    </row>
    <row r="130" spans="1:8" ht="19.95" customHeight="1" x14ac:dyDescent="0.3">
      <c r="A130" s="3" t="s">
        <v>370</v>
      </c>
      <c r="B130" s="3" t="s">
        <v>371</v>
      </c>
      <c r="C130" s="5">
        <v>2588682613</v>
      </c>
      <c r="D130" s="3" t="s">
        <v>248</v>
      </c>
      <c r="E130" s="2" t="s">
        <v>913</v>
      </c>
      <c r="F130" s="2" t="s">
        <v>913</v>
      </c>
      <c r="G130" s="2" t="s">
        <v>913</v>
      </c>
      <c r="H130">
        <f>_xlfn.XLOOKUP(C130,'[1]بيانات الموظفين'!$B:$B,'[1]بيانات الموظفين'!$AV:$AV)</f>
        <v>0</v>
      </c>
    </row>
    <row r="131" spans="1:8" ht="19.95" customHeight="1" x14ac:dyDescent="0.3">
      <c r="A131" s="2" t="s">
        <v>372</v>
      </c>
      <c r="B131" s="2" t="s">
        <v>373</v>
      </c>
      <c r="C131" s="4">
        <v>2560708006</v>
      </c>
      <c r="D131" s="2" t="s">
        <v>248</v>
      </c>
      <c r="E131" s="2" t="s">
        <v>913</v>
      </c>
      <c r="F131" s="2" t="s">
        <v>913</v>
      </c>
      <c r="G131" s="2" t="s">
        <v>913</v>
      </c>
      <c r="H131">
        <f>_xlfn.XLOOKUP(C131,'[1]بيانات الموظفين'!$B:$B,'[1]بيانات الموظفين'!$AV:$AV)</f>
        <v>0</v>
      </c>
    </row>
    <row r="132" spans="1:8" ht="19.95" customHeight="1" x14ac:dyDescent="0.3">
      <c r="A132" s="3" t="s">
        <v>374</v>
      </c>
      <c r="B132" s="3" t="s">
        <v>375</v>
      </c>
      <c r="C132" s="5">
        <v>2613704226</v>
      </c>
      <c r="D132" s="3" t="s">
        <v>248</v>
      </c>
      <c r="E132" s="2" t="s">
        <v>913</v>
      </c>
      <c r="F132" s="2" t="s">
        <v>913</v>
      </c>
      <c r="G132" s="2" t="s">
        <v>913</v>
      </c>
      <c r="H132">
        <f>_xlfn.XLOOKUP(C132,'[1]بيانات الموظفين'!$B:$B,'[1]بيانات الموظفين'!$AV:$AV)</f>
        <v>0</v>
      </c>
    </row>
    <row r="133" spans="1:8" ht="19.95" customHeight="1" x14ac:dyDescent="0.3">
      <c r="A133" s="2" t="s">
        <v>376</v>
      </c>
      <c r="B133" s="2" t="s">
        <v>377</v>
      </c>
      <c r="C133" s="4">
        <v>2586502839</v>
      </c>
      <c r="D133" s="2" t="s">
        <v>248</v>
      </c>
      <c r="E133" s="2" t="s">
        <v>913</v>
      </c>
      <c r="F133" s="2" t="s">
        <v>913</v>
      </c>
      <c r="G133" s="2" t="s">
        <v>913</v>
      </c>
      <c r="H133">
        <f>_xlfn.XLOOKUP(C133,'[1]بيانات الموظفين'!$B:$B,'[1]بيانات الموظفين'!$AV:$AV)</f>
        <v>0</v>
      </c>
    </row>
    <row r="134" spans="1:8" ht="19.95" customHeight="1" x14ac:dyDescent="0.3">
      <c r="A134" s="3" t="s">
        <v>378</v>
      </c>
      <c r="B134" s="3" t="s">
        <v>379</v>
      </c>
      <c r="C134" s="5">
        <v>2635801554</v>
      </c>
      <c r="D134" s="3" t="s">
        <v>310</v>
      </c>
      <c r="E134" s="2" t="s">
        <v>913</v>
      </c>
      <c r="F134" s="2" t="s">
        <v>913</v>
      </c>
      <c r="G134" s="2" t="s">
        <v>913</v>
      </c>
      <c r="H134" t="e">
        <f>_xlfn.XLOOKUP(C134,'[1]بيانات الموظفين'!$B:$B,'[1]بيانات الموظفين'!$AV:$AV)</f>
        <v>#N/A</v>
      </c>
    </row>
    <row r="135" spans="1:8" ht="19.95" customHeight="1" x14ac:dyDescent="0.3">
      <c r="A135" s="2" t="s">
        <v>380</v>
      </c>
      <c r="B135" s="2" t="s">
        <v>381</v>
      </c>
      <c r="C135" s="4">
        <v>2365000195</v>
      </c>
      <c r="D135" s="2" t="s">
        <v>382</v>
      </c>
      <c r="E135" s="2" t="s">
        <v>913</v>
      </c>
      <c r="F135" s="2" t="s">
        <v>913</v>
      </c>
      <c r="G135" s="2" t="s">
        <v>913</v>
      </c>
      <c r="H135">
        <f>_xlfn.XLOOKUP(C135,'[1]بيانات الموظفين'!$B:$B,'[1]بيانات الموظفين'!$AV:$AV)</f>
        <v>0</v>
      </c>
    </row>
    <row r="136" spans="1:8" ht="19.95" customHeight="1" x14ac:dyDescent="0.3">
      <c r="A136" s="3" t="s">
        <v>383</v>
      </c>
      <c r="B136" s="3" t="s">
        <v>384</v>
      </c>
      <c r="C136" s="5">
        <v>2547036372</v>
      </c>
      <c r="D136" s="3" t="s">
        <v>385</v>
      </c>
      <c r="E136" s="2" t="s">
        <v>913</v>
      </c>
      <c r="F136" s="2" t="s">
        <v>913</v>
      </c>
      <c r="G136" s="2" t="s">
        <v>913</v>
      </c>
      <c r="H136">
        <f>_xlfn.XLOOKUP(C136,'[1]بيانات الموظفين'!$B:$B,'[1]بيانات الموظفين'!$AV:$AV)</f>
        <v>0</v>
      </c>
    </row>
    <row r="137" spans="1:8" ht="19.95" customHeight="1" x14ac:dyDescent="0.3">
      <c r="A137" s="2" t="s">
        <v>386</v>
      </c>
      <c r="B137" s="2" t="s">
        <v>387</v>
      </c>
      <c r="C137" s="4">
        <v>2535530840</v>
      </c>
      <c r="D137" s="2" t="s">
        <v>382</v>
      </c>
      <c r="E137" s="2" t="s">
        <v>913</v>
      </c>
      <c r="F137" s="2" t="s">
        <v>913</v>
      </c>
      <c r="G137" s="2" t="s">
        <v>913</v>
      </c>
      <c r="H137">
        <f>_xlfn.XLOOKUP(C137,'[1]بيانات الموظفين'!$B:$B,'[1]بيانات الموظفين'!$AV:$AV)</f>
        <v>0</v>
      </c>
    </row>
    <row r="138" spans="1:8" ht="19.95" customHeight="1" x14ac:dyDescent="0.3">
      <c r="A138" s="3" t="s">
        <v>388</v>
      </c>
      <c r="B138" s="3" t="s">
        <v>389</v>
      </c>
      <c r="C138" s="5">
        <v>2621980495</v>
      </c>
      <c r="D138" s="3" t="s">
        <v>243</v>
      </c>
      <c r="E138" s="2" t="s">
        <v>913</v>
      </c>
      <c r="F138" s="2" t="s">
        <v>913</v>
      </c>
      <c r="G138" s="2" t="s">
        <v>913</v>
      </c>
      <c r="H138">
        <f>_xlfn.XLOOKUP(C138,'[1]بيانات الموظفين'!$B:$B,'[1]بيانات الموظفين'!$AV:$AV)</f>
        <v>0</v>
      </c>
    </row>
    <row r="139" spans="1:8" ht="19.95" customHeight="1" x14ac:dyDescent="0.3">
      <c r="A139" s="2" t="s">
        <v>390</v>
      </c>
      <c r="B139" s="2" t="s">
        <v>391</v>
      </c>
      <c r="C139" s="4">
        <v>2455661047</v>
      </c>
      <c r="D139" s="2" t="s">
        <v>9</v>
      </c>
      <c r="E139" s="2" t="s">
        <v>32</v>
      </c>
      <c r="F139" s="2" t="s">
        <v>32</v>
      </c>
      <c r="G139" s="2" t="s">
        <v>32</v>
      </c>
      <c r="H139" t="e">
        <f>_xlfn.XLOOKUP(C139,'[1]بيانات الموظفين'!$B:$B,'[1]بيانات الموظفين'!$AV:$AV)</f>
        <v>#N/A</v>
      </c>
    </row>
    <row r="140" spans="1:8" ht="19.95" customHeight="1" x14ac:dyDescent="0.3">
      <c r="A140" s="3" t="s">
        <v>392</v>
      </c>
      <c r="B140" s="3" t="s">
        <v>393</v>
      </c>
      <c r="C140" s="5">
        <v>6167425186</v>
      </c>
      <c r="D140" s="3" t="s">
        <v>385</v>
      </c>
      <c r="E140" s="3" t="s">
        <v>37</v>
      </c>
      <c r="F140" s="3" t="s">
        <v>32</v>
      </c>
      <c r="G140" s="3" t="s">
        <v>32</v>
      </c>
      <c r="H140" t="e">
        <f>_xlfn.XLOOKUP(C140,'[1]بيانات الموظفين'!$B:$B,'[1]بيانات الموظفين'!$AV:$AV)</f>
        <v>#N/A</v>
      </c>
    </row>
    <row r="141" spans="1:8" ht="19.95" customHeight="1" x14ac:dyDescent="0.3">
      <c r="A141" s="2" t="s">
        <v>394</v>
      </c>
      <c r="B141" s="2" t="s">
        <v>395</v>
      </c>
      <c r="C141" s="4">
        <v>2634031138</v>
      </c>
      <c r="D141" s="2" t="s">
        <v>363</v>
      </c>
      <c r="E141" s="2" t="s">
        <v>913</v>
      </c>
      <c r="F141" s="2" t="s">
        <v>913</v>
      </c>
      <c r="G141" s="2" t="s">
        <v>913</v>
      </c>
      <c r="H141">
        <f>_xlfn.XLOOKUP(C141,'[1]بيانات الموظفين'!$B:$B,'[1]بيانات الموظفين'!$AV:$AV)</f>
        <v>0</v>
      </c>
    </row>
    <row r="142" spans="1:8" ht="19.95" customHeight="1" x14ac:dyDescent="0.3">
      <c r="A142" s="3" t="s">
        <v>396</v>
      </c>
      <c r="B142" s="3" t="s">
        <v>397</v>
      </c>
      <c r="C142" s="5">
        <v>2015321132</v>
      </c>
      <c r="D142" s="3" t="s">
        <v>248</v>
      </c>
      <c r="E142" s="2" t="s">
        <v>913</v>
      </c>
      <c r="F142" s="2" t="s">
        <v>913</v>
      </c>
      <c r="G142" s="2" t="s">
        <v>913</v>
      </c>
      <c r="H142">
        <f>_xlfn.XLOOKUP(C142,'[1]بيانات الموظفين'!$B:$B,'[1]بيانات الموظفين'!$AV:$AV)</f>
        <v>0</v>
      </c>
    </row>
    <row r="143" spans="1:8" ht="19.95" customHeight="1" x14ac:dyDescent="0.3">
      <c r="A143" s="2" t="s">
        <v>398</v>
      </c>
      <c r="B143" s="2" t="s">
        <v>399</v>
      </c>
      <c r="C143" s="4">
        <v>2030048710</v>
      </c>
      <c r="D143" s="2" t="s">
        <v>243</v>
      </c>
      <c r="E143" s="2" t="s">
        <v>913</v>
      </c>
      <c r="F143" s="2" t="s">
        <v>913</v>
      </c>
      <c r="G143" s="2" t="s">
        <v>913</v>
      </c>
      <c r="H143">
        <f>_xlfn.XLOOKUP(C143,'[1]بيانات الموظفين'!$B:$B,'[1]بيانات الموظفين'!$AV:$AV)</f>
        <v>0</v>
      </c>
    </row>
    <row r="144" spans="1:8" ht="19.95" customHeight="1" x14ac:dyDescent="0.3">
      <c r="A144" s="3" t="s">
        <v>400</v>
      </c>
      <c r="B144" s="3" t="s">
        <v>401</v>
      </c>
      <c r="C144" s="5">
        <v>2414016424</v>
      </c>
      <c r="D144" s="3" t="s">
        <v>243</v>
      </c>
      <c r="E144" s="2" t="s">
        <v>913</v>
      </c>
      <c r="F144" s="2" t="s">
        <v>913</v>
      </c>
      <c r="G144" s="2" t="s">
        <v>913</v>
      </c>
      <c r="H144">
        <f>_xlfn.XLOOKUP(C144,'[1]بيانات الموظفين'!$B:$B,'[1]بيانات الموظفين'!$AV:$AV)</f>
        <v>0</v>
      </c>
    </row>
    <row r="145" spans="1:8" ht="19.95" customHeight="1" x14ac:dyDescent="0.3">
      <c r="A145" s="2" t="s">
        <v>402</v>
      </c>
      <c r="B145" s="2" t="s">
        <v>403</v>
      </c>
      <c r="C145" s="4">
        <v>2425848534</v>
      </c>
      <c r="D145" s="2" t="s">
        <v>382</v>
      </c>
      <c r="E145" s="2" t="s">
        <v>913</v>
      </c>
      <c r="F145" s="2" t="s">
        <v>913</v>
      </c>
      <c r="G145" s="2" t="s">
        <v>913</v>
      </c>
      <c r="H145">
        <f>_xlfn.XLOOKUP(C145,'[1]بيانات الموظفين'!$B:$B,'[1]بيانات الموظفين'!$AV:$AV)</f>
        <v>0</v>
      </c>
    </row>
    <row r="146" spans="1:8" ht="19.95" customHeight="1" x14ac:dyDescent="0.3">
      <c r="A146" s="3" t="s">
        <v>404</v>
      </c>
      <c r="B146" s="3" t="s">
        <v>405</v>
      </c>
      <c r="C146" s="5">
        <v>2485941344</v>
      </c>
      <c r="D146" s="3" t="s">
        <v>382</v>
      </c>
      <c r="E146" s="2" t="s">
        <v>913</v>
      </c>
      <c r="F146" s="2" t="s">
        <v>913</v>
      </c>
      <c r="G146" s="2" t="s">
        <v>913</v>
      </c>
      <c r="H146">
        <f>_xlfn.XLOOKUP(C146,'[1]بيانات الموظفين'!$B:$B,'[1]بيانات الموظفين'!$AV:$AV)</f>
        <v>0</v>
      </c>
    </row>
    <row r="147" spans="1:8" ht="19.95" customHeight="1" x14ac:dyDescent="0.3">
      <c r="A147" s="2" t="s">
        <v>406</v>
      </c>
      <c r="B147" s="2" t="s">
        <v>407</v>
      </c>
      <c r="C147" s="4">
        <v>2505228151</v>
      </c>
      <c r="D147" s="2" t="s">
        <v>382</v>
      </c>
      <c r="E147" s="2" t="s">
        <v>913</v>
      </c>
      <c r="F147" s="2" t="s">
        <v>913</v>
      </c>
      <c r="G147" s="2" t="s">
        <v>913</v>
      </c>
      <c r="H147">
        <f>_xlfn.XLOOKUP(C147,'[1]بيانات الموظفين'!$B:$B,'[1]بيانات الموظفين'!$AV:$AV)</f>
        <v>0</v>
      </c>
    </row>
    <row r="148" spans="1:8" ht="19.95" customHeight="1" x14ac:dyDescent="0.3">
      <c r="A148" s="3" t="s">
        <v>408</v>
      </c>
      <c r="B148" s="3" t="s">
        <v>409</v>
      </c>
      <c r="C148" s="5">
        <v>2517102568</v>
      </c>
      <c r="D148" s="3" t="s">
        <v>382</v>
      </c>
      <c r="E148" s="2" t="s">
        <v>913</v>
      </c>
      <c r="F148" s="2" t="s">
        <v>913</v>
      </c>
      <c r="G148" s="2" t="s">
        <v>913</v>
      </c>
      <c r="H148">
        <f>_xlfn.XLOOKUP(C148,'[1]بيانات الموظفين'!$B:$B,'[1]بيانات الموظفين'!$AV:$AV)</f>
        <v>0</v>
      </c>
    </row>
    <row r="149" spans="1:8" ht="19.95" customHeight="1" x14ac:dyDescent="0.3">
      <c r="A149" s="2" t="s">
        <v>410</v>
      </c>
      <c r="B149" s="2" t="s">
        <v>411</v>
      </c>
      <c r="C149" s="4">
        <v>2528117357</v>
      </c>
      <c r="D149" s="2" t="s">
        <v>382</v>
      </c>
      <c r="E149" s="2" t="s">
        <v>913</v>
      </c>
      <c r="F149" s="2" t="s">
        <v>913</v>
      </c>
      <c r="G149" s="2" t="s">
        <v>913</v>
      </c>
      <c r="H149">
        <f>_xlfn.XLOOKUP(C149,'[1]بيانات الموظفين'!$B:$B,'[1]بيانات الموظفين'!$AV:$AV)</f>
        <v>0</v>
      </c>
    </row>
    <row r="150" spans="1:8" ht="19.95" customHeight="1" x14ac:dyDescent="0.3">
      <c r="A150" s="3" t="s">
        <v>412</v>
      </c>
      <c r="B150" s="3" t="s">
        <v>413</v>
      </c>
      <c r="C150" s="5">
        <v>2540796881</v>
      </c>
      <c r="D150" s="3" t="s">
        <v>248</v>
      </c>
      <c r="E150" s="2" t="s">
        <v>913</v>
      </c>
      <c r="F150" s="2" t="s">
        <v>913</v>
      </c>
      <c r="G150" s="2" t="s">
        <v>913</v>
      </c>
      <c r="H150">
        <f>_xlfn.XLOOKUP(C150,'[1]بيانات الموظفين'!$B:$B,'[1]بيانات الموظفين'!$AV:$AV)</f>
        <v>0</v>
      </c>
    </row>
    <row r="151" spans="1:8" ht="19.95" customHeight="1" x14ac:dyDescent="0.3">
      <c r="A151" s="2" t="s">
        <v>414</v>
      </c>
      <c r="B151" s="2" t="s">
        <v>415</v>
      </c>
      <c r="C151" s="4">
        <v>2548467295</v>
      </c>
      <c r="D151" s="2" t="s">
        <v>248</v>
      </c>
      <c r="E151" s="2" t="s">
        <v>913</v>
      </c>
      <c r="F151" s="2" t="s">
        <v>913</v>
      </c>
      <c r="G151" s="2" t="s">
        <v>913</v>
      </c>
      <c r="H151">
        <f>_xlfn.XLOOKUP(C151,'[1]بيانات الموظفين'!$B:$B,'[1]بيانات الموظفين'!$AV:$AV)</f>
        <v>0</v>
      </c>
    </row>
    <row r="152" spans="1:8" ht="19.95" customHeight="1" x14ac:dyDescent="0.3">
      <c r="A152" s="3" t="s">
        <v>416</v>
      </c>
      <c r="B152" s="3" t="s">
        <v>417</v>
      </c>
      <c r="C152" s="5">
        <v>2548467725</v>
      </c>
      <c r="D152" s="3" t="s">
        <v>248</v>
      </c>
      <c r="E152" s="2" t="s">
        <v>913</v>
      </c>
      <c r="F152" s="2" t="s">
        <v>913</v>
      </c>
      <c r="G152" s="2" t="s">
        <v>913</v>
      </c>
      <c r="H152">
        <f>_xlfn.XLOOKUP(C152,'[1]بيانات الموظفين'!$B:$B,'[1]بيانات الموظفين'!$AV:$AV)</f>
        <v>0</v>
      </c>
    </row>
    <row r="153" spans="1:8" ht="19.95" customHeight="1" x14ac:dyDescent="0.3">
      <c r="A153" s="2" t="s">
        <v>418</v>
      </c>
      <c r="B153" s="2" t="s">
        <v>419</v>
      </c>
      <c r="C153" s="4">
        <v>2548468749</v>
      </c>
      <c r="D153" s="2" t="s">
        <v>248</v>
      </c>
      <c r="E153" s="2" t="s">
        <v>913</v>
      </c>
      <c r="F153" s="2" t="s">
        <v>913</v>
      </c>
      <c r="G153" s="2" t="s">
        <v>913</v>
      </c>
      <c r="H153">
        <f>_xlfn.XLOOKUP(C153,'[1]بيانات الموظفين'!$B:$B,'[1]بيانات الموظفين'!$AV:$AV)</f>
        <v>0</v>
      </c>
    </row>
    <row r="154" spans="1:8" ht="19.95" customHeight="1" x14ac:dyDescent="0.3">
      <c r="A154" s="3" t="s">
        <v>420</v>
      </c>
      <c r="B154" s="3" t="s">
        <v>421</v>
      </c>
      <c r="C154" s="5">
        <v>2548474473</v>
      </c>
      <c r="D154" s="3" t="s">
        <v>248</v>
      </c>
      <c r="E154" s="2" t="s">
        <v>913</v>
      </c>
      <c r="F154" s="2" t="s">
        <v>913</v>
      </c>
      <c r="G154" s="2" t="s">
        <v>913</v>
      </c>
      <c r="H154">
        <f>_xlfn.XLOOKUP(C154,'[1]بيانات الموظفين'!$B:$B,'[1]بيانات الموظفين'!$AV:$AV)</f>
        <v>0</v>
      </c>
    </row>
    <row r="155" spans="1:8" ht="19.95" customHeight="1" x14ac:dyDescent="0.3">
      <c r="A155" s="2" t="s">
        <v>422</v>
      </c>
      <c r="B155" s="2" t="s">
        <v>423</v>
      </c>
      <c r="C155" s="4">
        <v>2552219772</v>
      </c>
      <c r="D155" s="2" t="s">
        <v>382</v>
      </c>
      <c r="E155" s="2" t="s">
        <v>913</v>
      </c>
      <c r="F155" s="2" t="s">
        <v>913</v>
      </c>
      <c r="G155" s="2" t="s">
        <v>913</v>
      </c>
      <c r="H155">
        <f>_xlfn.XLOOKUP(C155,'[1]بيانات الموظفين'!$B:$B,'[1]بيانات الموظفين'!$AV:$AV)</f>
        <v>0</v>
      </c>
    </row>
    <row r="156" spans="1:8" ht="19.95" customHeight="1" x14ac:dyDescent="0.3">
      <c r="A156" s="3" t="s">
        <v>424</v>
      </c>
      <c r="B156" s="3" t="s">
        <v>425</v>
      </c>
      <c r="C156" s="5">
        <v>2552546232</v>
      </c>
      <c r="D156" s="3" t="s">
        <v>248</v>
      </c>
      <c r="E156" s="2" t="s">
        <v>913</v>
      </c>
      <c r="F156" s="2" t="s">
        <v>913</v>
      </c>
      <c r="G156" s="2" t="s">
        <v>913</v>
      </c>
      <c r="H156">
        <f>_xlfn.XLOOKUP(C156,'[1]بيانات الموظفين'!$B:$B,'[1]بيانات الموظفين'!$AV:$AV)</f>
        <v>0</v>
      </c>
    </row>
    <row r="157" spans="1:8" ht="19.95" customHeight="1" x14ac:dyDescent="0.3">
      <c r="A157" s="2" t="s">
        <v>426</v>
      </c>
      <c r="B157" s="2" t="s">
        <v>427</v>
      </c>
      <c r="C157" s="4">
        <v>2555616065</v>
      </c>
      <c r="D157" s="2" t="s">
        <v>385</v>
      </c>
      <c r="E157" s="2" t="s">
        <v>913</v>
      </c>
      <c r="F157" s="2" t="s">
        <v>913</v>
      </c>
      <c r="G157" s="2" t="s">
        <v>913</v>
      </c>
      <c r="H157">
        <f>_xlfn.XLOOKUP(C157,'[1]بيانات الموظفين'!$B:$B,'[1]بيانات الموظفين'!$AV:$AV)</f>
        <v>0</v>
      </c>
    </row>
    <row r="158" spans="1:8" ht="19.95" customHeight="1" x14ac:dyDescent="0.3">
      <c r="A158" s="3" t="s">
        <v>428</v>
      </c>
      <c r="B158" s="3" t="s">
        <v>429</v>
      </c>
      <c r="C158" s="5">
        <v>2556808885</v>
      </c>
      <c r="D158" s="3" t="s">
        <v>248</v>
      </c>
      <c r="E158" s="2" t="s">
        <v>913</v>
      </c>
      <c r="F158" s="2" t="s">
        <v>913</v>
      </c>
      <c r="G158" s="2" t="s">
        <v>913</v>
      </c>
      <c r="H158">
        <f>_xlfn.XLOOKUP(C158,'[1]بيانات الموظفين'!$B:$B,'[1]بيانات الموظفين'!$AV:$AV)</f>
        <v>0</v>
      </c>
    </row>
    <row r="159" spans="1:8" ht="19.95" customHeight="1" x14ac:dyDescent="0.3">
      <c r="A159" s="2" t="s">
        <v>430</v>
      </c>
      <c r="B159" s="2" t="s">
        <v>431</v>
      </c>
      <c r="C159" s="4">
        <v>2556809024</v>
      </c>
      <c r="D159" s="2" t="s">
        <v>248</v>
      </c>
      <c r="E159" s="2" t="s">
        <v>913</v>
      </c>
      <c r="F159" s="2" t="s">
        <v>913</v>
      </c>
      <c r="G159" s="2" t="s">
        <v>913</v>
      </c>
      <c r="H159">
        <f>_xlfn.XLOOKUP(C159,'[1]بيانات الموظفين'!$B:$B,'[1]بيانات الموظفين'!$AV:$AV)</f>
        <v>0</v>
      </c>
    </row>
    <row r="160" spans="1:8" ht="19.95" customHeight="1" x14ac:dyDescent="0.3">
      <c r="A160" s="3" t="s">
        <v>432</v>
      </c>
      <c r="B160" s="3" t="s">
        <v>433</v>
      </c>
      <c r="C160" s="5">
        <v>2556809404</v>
      </c>
      <c r="D160" s="3" t="s">
        <v>248</v>
      </c>
      <c r="E160" s="2" t="s">
        <v>913</v>
      </c>
      <c r="F160" s="2" t="s">
        <v>913</v>
      </c>
      <c r="G160" s="2" t="s">
        <v>913</v>
      </c>
      <c r="H160">
        <f>_xlfn.XLOOKUP(C160,'[1]بيانات الموظفين'!$B:$B,'[1]بيانات الموظفين'!$AV:$AV)</f>
        <v>0</v>
      </c>
    </row>
    <row r="161" spans="1:8" ht="19.95" customHeight="1" x14ac:dyDescent="0.3">
      <c r="A161" s="2" t="s">
        <v>434</v>
      </c>
      <c r="B161" s="2" t="s">
        <v>435</v>
      </c>
      <c r="C161" s="4">
        <v>2558830671</v>
      </c>
      <c r="D161" s="2" t="s">
        <v>248</v>
      </c>
      <c r="E161" s="2" t="s">
        <v>913</v>
      </c>
      <c r="F161" s="2" t="s">
        <v>913</v>
      </c>
      <c r="G161" s="2" t="s">
        <v>913</v>
      </c>
      <c r="H161">
        <f>_xlfn.XLOOKUP(C161,'[1]بيانات الموظفين'!$B:$B,'[1]بيانات الموظفين'!$AV:$AV)</f>
        <v>0</v>
      </c>
    </row>
    <row r="162" spans="1:8" ht="19.95" customHeight="1" x14ac:dyDescent="0.3">
      <c r="A162" s="3" t="s">
        <v>436</v>
      </c>
      <c r="B162" s="3" t="s">
        <v>437</v>
      </c>
      <c r="C162" s="5">
        <v>2558834244</v>
      </c>
      <c r="D162" s="3" t="s">
        <v>248</v>
      </c>
      <c r="E162" s="2" t="s">
        <v>913</v>
      </c>
      <c r="F162" s="2" t="s">
        <v>913</v>
      </c>
      <c r="G162" s="2" t="s">
        <v>913</v>
      </c>
      <c r="H162">
        <f>_xlfn.XLOOKUP(C162,'[1]بيانات الموظفين'!$B:$B,'[1]بيانات الموظفين'!$AV:$AV)</f>
        <v>0</v>
      </c>
    </row>
    <row r="163" spans="1:8" ht="19.95" customHeight="1" x14ac:dyDescent="0.3">
      <c r="A163" s="2" t="s">
        <v>438</v>
      </c>
      <c r="B163" s="2" t="s">
        <v>439</v>
      </c>
      <c r="C163" s="4">
        <v>2558834301</v>
      </c>
      <c r="D163" s="2" t="s">
        <v>248</v>
      </c>
      <c r="E163" s="2" t="s">
        <v>913</v>
      </c>
      <c r="F163" s="2" t="s">
        <v>913</v>
      </c>
      <c r="G163" s="2" t="s">
        <v>913</v>
      </c>
      <c r="H163">
        <f>_xlfn.XLOOKUP(C163,'[1]بيانات الموظفين'!$B:$B,'[1]بيانات الموظفين'!$AV:$AV)</f>
        <v>0</v>
      </c>
    </row>
    <row r="164" spans="1:8" ht="19.95" customHeight="1" x14ac:dyDescent="0.3">
      <c r="A164" s="3" t="s">
        <v>440</v>
      </c>
      <c r="B164" s="3" t="s">
        <v>441</v>
      </c>
      <c r="C164" s="5">
        <v>2559107137</v>
      </c>
      <c r="D164" s="3" t="s">
        <v>248</v>
      </c>
      <c r="E164" s="2" t="s">
        <v>913</v>
      </c>
      <c r="F164" s="2" t="s">
        <v>913</v>
      </c>
      <c r="G164" s="2" t="s">
        <v>913</v>
      </c>
      <c r="H164">
        <f>_xlfn.XLOOKUP(C164,'[1]بيانات الموظفين'!$B:$B,'[1]بيانات الموظفين'!$AV:$AV)</f>
        <v>0</v>
      </c>
    </row>
    <row r="165" spans="1:8" ht="19.95" customHeight="1" x14ac:dyDescent="0.3">
      <c r="A165" s="2" t="s">
        <v>442</v>
      </c>
      <c r="B165" s="2" t="s">
        <v>443</v>
      </c>
      <c r="C165" s="4">
        <v>2559108770</v>
      </c>
      <c r="D165" s="2" t="s">
        <v>382</v>
      </c>
      <c r="E165" s="2" t="s">
        <v>913</v>
      </c>
      <c r="F165" s="2" t="s">
        <v>913</v>
      </c>
      <c r="G165" s="2" t="s">
        <v>913</v>
      </c>
      <c r="H165">
        <f>_xlfn.XLOOKUP(C165,'[1]بيانات الموظفين'!$B:$B,'[1]بيانات الموظفين'!$AV:$AV)</f>
        <v>0</v>
      </c>
    </row>
    <row r="166" spans="1:8" ht="19.95" customHeight="1" x14ac:dyDescent="0.3">
      <c r="A166" s="3" t="s">
        <v>444</v>
      </c>
      <c r="B166" s="3" t="s">
        <v>445</v>
      </c>
      <c r="C166" s="5">
        <v>2560551612</v>
      </c>
      <c r="D166" s="3" t="s">
        <v>363</v>
      </c>
      <c r="E166" s="2" t="s">
        <v>913</v>
      </c>
      <c r="F166" s="2" t="s">
        <v>913</v>
      </c>
      <c r="G166" s="2" t="s">
        <v>913</v>
      </c>
      <c r="H166">
        <f>_xlfn.XLOOKUP(C166,'[1]بيانات الموظفين'!$B:$B,'[1]بيانات الموظفين'!$AV:$AV)</f>
        <v>0</v>
      </c>
    </row>
    <row r="167" spans="1:8" ht="19.95" customHeight="1" x14ac:dyDescent="0.3">
      <c r="A167" s="2" t="s">
        <v>446</v>
      </c>
      <c r="B167" s="2" t="s">
        <v>447</v>
      </c>
      <c r="C167" s="4">
        <v>2560703817</v>
      </c>
      <c r="D167" s="2" t="s">
        <v>248</v>
      </c>
      <c r="E167" s="2" t="s">
        <v>913</v>
      </c>
      <c r="F167" s="2" t="s">
        <v>913</v>
      </c>
      <c r="G167" s="2" t="s">
        <v>913</v>
      </c>
      <c r="H167">
        <f>_xlfn.XLOOKUP(C167,'[1]بيانات الموظفين'!$B:$B,'[1]بيانات الموظفين'!$AV:$AV)</f>
        <v>0</v>
      </c>
    </row>
    <row r="168" spans="1:8" ht="19.95" customHeight="1" x14ac:dyDescent="0.3">
      <c r="A168" s="3" t="s">
        <v>448</v>
      </c>
      <c r="B168" s="3" t="s">
        <v>449</v>
      </c>
      <c r="C168" s="5">
        <v>2560883593</v>
      </c>
      <c r="D168" s="3" t="s">
        <v>248</v>
      </c>
      <c r="E168" s="2" t="s">
        <v>913</v>
      </c>
      <c r="F168" s="2" t="s">
        <v>913</v>
      </c>
      <c r="G168" s="2" t="s">
        <v>913</v>
      </c>
      <c r="H168">
        <f>_xlfn.XLOOKUP(C168,'[1]بيانات الموظفين'!$B:$B,'[1]بيانات الموظفين'!$AV:$AV)</f>
        <v>0</v>
      </c>
    </row>
    <row r="169" spans="1:8" ht="19.95" customHeight="1" x14ac:dyDescent="0.3">
      <c r="A169" s="2" t="s">
        <v>450</v>
      </c>
      <c r="B169" s="2" t="s">
        <v>451</v>
      </c>
      <c r="C169" s="4">
        <v>2560885176</v>
      </c>
      <c r="D169" s="2" t="s">
        <v>248</v>
      </c>
      <c r="E169" s="2" t="s">
        <v>913</v>
      </c>
      <c r="F169" s="2" t="s">
        <v>913</v>
      </c>
      <c r="G169" s="2" t="s">
        <v>913</v>
      </c>
      <c r="H169">
        <f>_xlfn.XLOOKUP(C169,'[1]بيانات الموظفين'!$B:$B,'[1]بيانات الموظفين'!$AV:$AV)</f>
        <v>0</v>
      </c>
    </row>
    <row r="170" spans="1:8" ht="19.95" customHeight="1" x14ac:dyDescent="0.3">
      <c r="A170" s="3" t="s">
        <v>452</v>
      </c>
      <c r="B170" s="3" t="s">
        <v>453</v>
      </c>
      <c r="C170" s="5">
        <v>2561738671</v>
      </c>
      <c r="D170" s="3" t="s">
        <v>248</v>
      </c>
      <c r="E170" s="2" t="s">
        <v>913</v>
      </c>
      <c r="F170" s="2" t="s">
        <v>913</v>
      </c>
      <c r="G170" s="2" t="s">
        <v>913</v>
      </c>
      <c r="H170">
        <f>_xlfn.XLOOKUP(C170,'[1]بيانات الموظفين'!$B:$B,'[1]بيانات الموظفين'!$AV:$AV)</f>
        <v>0</v>
      </c>
    </row>
    <row r="171" spans="1:8" ht="19.95" customHeight="1" x14ac:dyDescent="0.3">
      <c r="A171" s="2" t="s">
        <v>454</v>
      </c>
      <c r="B171" s="2" t="s">
        <v>455</v>
      </c>
      <c r="C171" s="4">
        <v>2562201455</v>
      </c>
      <c r="D171" s="2" t="s">
        <v>248</v>
      </c>
      <c r="E171" s="2" t="s">
        <v>913</v>
      </c>
      <c r="F171" s="2" t="s">
        <v>913</v>
      </c>
      <c r="G171" s="2" t="s">
        <v>913</v>
      </c>
      <c r="H171">
        <f>_xlfn.XLOOKUP(C171,'[1]بيانات الموظفين'!$B:$B,'[1]بيانات الموظفين'!$AV:$AV)</f>
        <v>0</v>
      </c>
    </row>
    <row r="172" spans="1:8" ht="19.95" customHeight="1" x14ac:dyDescent="0.3">
      <c r="A172" s="3" t="s">
        <v>456</v>
      </c>
      <c r="B172" s="3" t="s">
        <v>457</v>
      </c>
      <c r="C172" s="5">
        <v>2562202172</v>
      </c>
      <c r="D172" s="3" t="s">
        <v>248</v>
      </c>
      <c r="E172" s="2" t="s">
        <v>913</v>
      </c>
      <c r="F172" s="2" t="s">
        <v>913</v>
      </c>
      <c r="G172" s="2" t="s">
        <v>913</v>
      </c>
      <c r="H172">
        <f>_xlfn.XLOOKUP(C172,'[1]بيانات الموظفين'!$B:$B,'[1]بيانات الموظفين'!$AV:$AV)</f>
        <v>0</v>
      </c>
    </row>
    <row r="173" spans="1:8" ht="19.95" customHeight="1" x14ac:dyDescent="0.3">
      <c r="A173" s="2" t="s">
        <v>458</v>
      </c>
      <c r="B173" s="2" t="s">
        <v>459</v>
      </c>
      <c r="C173" s="4">
        <v>2562203287</v>
      </c>
      <c r="D173" s="2" t="s">
        <v>248</v>
      </c>
      <c r="E173" s="2" t="s">
        <v>913</v>
      </c>
      <c r="F173" s="2" t="s">
        <v>913</v>
      </c>
      <c r="G173" s="2" t="s">
        <v>913</v>
      </c>
      <c r="H173">
        <f>_xlfn.XLOOKUP(C173,'[1]بيانات الموظفين'!$B:$B,'[1]بيانات الموظفين'!$AV:$AV)</f>
        <v>0</v>
      </c>
    </row>
    <row r="174" spans="1:8" ht="19.95" customHeight="1" x14ac:dyDescent="0.3">
      <c r="A174" s="3" t="s">
        <v>460</v>
      </c>
      <c r="B174" s="3" t="s">
        <v>461</v>
      </c>
      <c r="C174" s="5">
        <v>2562205076</v>
      </c>
      <c r="D174" s="3" t="s">
        <v>382</v>
      </c>
      <c r="E174" s="2" t="s">
        <v>913</v>
      </c>
      <c r="F174" s="2" t="s">
        <v>913</v>
      </c>
      <c r="G174" s="2" t="s">
        <v>913</v>
      </c>
      <c r="H174">
        <f>_xlfn.XLOOKUP(C174,'[1]بيانات الموظفين'!$B:$B,'[1]بيانات الموظفين'!$AV:$AV)</f>
        <v>0</v>
      </c>
    </row>
    <row r="175" spans="1:8" ht="19.95" customHeight="1" x14ac:dyDescent="0.3">
      <c r="A175" s="2" t="s">
        <v>462</v>
      </c>
      <c r="B175" s="2" t="s">
        <v>463</v>
      </c>
      <c r="C175" s="4">
        <v>2562205761</v>
      </c>
      <c r="D175" s="2" t="s">
        <v>248</v>
      </c>
      <c r="E175" s="2" t="s">
        <v>913</v>
      </c>
      <c r="F175" s="2" t="s">
        <v>913</v>
      </c>
      <c r="G175" s="2" t="s">
        <v>913</v>
      </c>
      <c r="H175">
        <f>_xlfn.XLOOKUP(C175,'[1]بيانات الموظفين'!$B:$B,'[1]بيانات الموظفين'!$AV:$AV)</f>
        <v>0</v>
      </c>
    </row>
    <row r="176" spans="1:8" ht="19.95" customHeight="1" x14ac:dyDescent="0.3">
      <c r="A176" s="3" t="s">
        <v>464</v>
      </c>
      <c r="B176" s="3" t="s">
        <v>465</v>
      </c>
      <c r="C176" s="5">
        <v>2562206058</v>
      </c>
      <c r="D176" s="3" t="s">
        <v>248</v>
      </c>
      <c r="E176" s="2" t="s">
        <v>913</v>
      </c>
      <c r="F176" s="2" t="s">
        <v>913</v>
      </c>
      <c r="G176" s="2" t="s">
        <v>913</v>
      </c>
      <c r="H176">
        <f>_xlfn.XLOOKUP(C176,'[1]بيانات الموظفين'!$B:$B,'[1]بيانات الموظفين'!$AV:$AV)</f>
        <v>0</v>
      </c>
    </row>
    <row r="177" spans="1:8" ht="19.95" customHeight="1" x14ac:dyDescent="0.3">
      <c r="A177" s="2" t="s">
        <v>466</v>
      </c>
      <c r="B177" s="2" t="s">
        <v>467</v>
      </c>
      <c r="C177" s="4">
        <v>2562206330</v>
      </c>
      <c r="D177" s="2" t="s">
        <v>248</v>
      </c>
      <c r="E177" s="2" t="s">
        <v>913</v>
      </c>
      <c r="F177" s="2" t="s">
        <v>913</v>
      </c>
      <c r="G177" s="2" t="s">
        <v>913</v>
      </c>
      <c r="H177">
        <f>_xlfn.XLOOKUP(C177,'[1]بيانات الموظفين'!$B:$B,'[1]بيانات الموظفين'!$AV:$AV)</f>
        <v>0</v>
      </c>
    </row>
    <row r="178" spans="1:8" ht="19.95" customHeight="1" x14ac:dyDescent="0.3">
      <c r="A178" s="3" t="s">
        <v>468</v>
      </c>
      <c r="B178" s="3" t="s">
        <v>469</v>
      </c>
      <c r="C178" s="5">
        <v>2562460747</v>
      </c>
      <c r="D178" s="3" t="s">
        <v>470</v>
      </c>
      <c r="E178" s="2" t="s">
        <v>913</v>
      </c>
      <c r="F178" s="2" t="s">
        <v>913</v>
      </c>
      <c r="G178" s="2" t="s">
        <v>913</v>
      </c>
      <c r="H178">
        <f>_xlfn.XLOOKUP(C178,'[1]بيانات الموظفين'!$B:$B,'[1]بيانات الموظفين'!$AV:$AV)</f>
        <v>0</v>
      </c>
    </row>
    <row r="179" spans="1:8" ht="19.95" customHeight="1" x14ac:dyDescent="0.3">
      <c r="A179" s="2" t="s">
        <v>471</v>
      </c>
      <c r="B179" s="2" t="s">
        <v>472</v>
      </c>
      <c r="C179" s="4">
        <v>2562667267</v>
      </c>
      <c r="D179" s="2" t="s">
        <v>248</v>
      </c>
      <c r="E179" s="2" t="s">
        <v>913</v>
      </c>
      <c r="F179" s="2" t="s">
        <v>913</v>
      </c>
      <c r="G179" s="2" t="s">
        <v>913</v>
      </c>
      <c r="H179">
        <f>_xlfn.XLOOKUP(C179,'[1]بيانات الموظفين'!$B:$B,'[1]بيانات الموظفين'!$AV:$AV)</f>
        <v>0</v>
      </c>
    </row>
    <row r="180" spans="1:8" ht="19.95" customHeight="1" x14ac:dyDescent="0.3">
      <c r="A180" s="3" t="s">
        <v>473</v>
      </c>
      <c r="B180" s="3" t="s">
        <v>474</v>
      </c>
      <c r="C180" s="5">
        <v>2562717062</v>
      </c>
      <c r="D180" s="3" t="s">
        <v>248</v>
      </c>
      <c r="E180" s="2" t="s">
        <v>913</v>
      </c>
      <c r="F180" s="2" t="s">
        <v>913</v>
      </c>
      <c r="G180" s="2" t="s">
        <v>913</v>
      </c>
      <c r="H180">
        <f>_xlfn.XLOOKUP(C180,'[1]بيانات الموظفين'!$B:$B,'[1]بيانات الموظفين'!$AV:$AV)</f>
        <v>0</v>
      </c>
    </row>
    <row r="181" spans="1:8" ht="19.95" customHeight="1" x14ac:dyDescent="0.3">
      <c r="A181" s="2" t="s">
        <v>475</v>
      </c>
      <c r="B181" s="2" t="s">
        <v>476</v>
      </c>
      <c r="C181" s="4">
        <v>2563494273</v>
      </c>
      <c r="D181" s="2" t="s">
        <v>382</v>
      </c>
      <c r="E181" s="2" t="s">
        <v>913</v>
      </c>
      <c r="F181" s="2" t="s">
        <v>913</v>
      </c>
      <c r="G181" s="2" t="s">
        <v>913</v>
      </c>
      <c r="H181">
        <f>_xlfn.XLOOKUP(C181,'[1]بيانات الموظفين'!$B:$B,'[1]بيانات الموظفين'!$AV:$AV)</f>
        <v>0</v>
      </c>
    </row>
    <row r="182" spans="1:8" ht="19.95" customHeight="1" x14ac:dyDescent="0.3">
      <c r="A182" s="3" t="s">
        <v>477</v>
      </c>
      <c r="B182" s="3" t="s">
        <v>478</v>
      </c>
      <c r="C182" s="5">
        <v>2564307391</v>
      </c>
      <c r="D182" s="3" t="s">
        <v>248</v>
      </c>
      <c r="E182" s="2" t="s">
        <v>913</v>
      </c>
      <c r="F182" s="2" t="s">
        <v>913</v>
      </c>
      <c r="G182" s="2" t="s">
        <v>913</v>
      </c>
      <c r="H182">
        <f>_xlfn.XLOOKUP(C182,'[1]بيانات الموظفين'!$B:$B,'[1]بيانات الموظفين'!$AV:$AV)</f>
        <v>0</v>
      </c>
    </row>
    <row r="183" spans="1:8" ht="19.95" customHeight="1" x14ac:dyDescent="0.3">
      <c r="A183" s="2" t="s">
        <v>479</v>
      </c>
      <c r="B183" s="2" t="s">
        <v>480</v>
      </c>
      <c r="C183" s="4">
        <v>2564919377</v>
      </c>
      <c r="D183" s="2" t="s">
        <v>243</v>
      </c>
      <c r="E183" s="2" t="s">
        <v>913</v>
      </c>
      <c r="F183" s="2" t="s">
        <v>913</v>
      </c>
      <c r="G183" s="2" t="s">
        <v>913</v>
      </c>
      <c r="H183">
        <f>_xlfn.XLOOKUP(C183,'[1]بيانات الموظفين'!$B:$B,'[1]بيانات الموظفين'!$AV:$AV)</f>
        <v>0</v>
      </c>
    </row>
    <row r="184" spans="1:8" ht="19.95" customHeight="1" x14ac:dyDescent="0.3">
      <c r="A184" s="3" t="s">
        <v>481</v>
      </c>
      <c r="B184" s="3" t="s">
        <v>482</v>
      </c>
      <c r="C184" s="5">
        <v>2566127847</v>
      </c>
      <c r="D184" s="3" t="s">
        <v>382</v>
      </c>
      <c r="E184" s="2" t="s">
        <v>913</v>
      </c>
      <c r="F184" s="2" t="s">
        <v>913</v>
      </c>
      <c r="G184" s="2" t="s">
        <v>913</v>
      </c>
      <c r="H184">
        <f>_xlfn.XLOOKUP(C184,'[1]بيانات الموظفين'!$B:$B,'[1]بيانات الموظفين'!$AV:$AV)</f>
        <v>0</v>
      </c>
    </row>
    <row r="185" spans="1:8" ht="19.95" customHeight="1" x14ac:dyDescent="0.3">
      <c r="A185" s="2" t="s">
        <v>483</v>
      </c>
      <c r="B185" s="2" t="s">
        <v>484</v>
      </c>
      <c r="C185" s="4">
        <v>2566854838</v>
      </c>
      <c r="D185" s="2" t="s">
        <v>248</v>
      </c>
      <c r="E185" s="2" t="s">
        <v>913</v>
      </c>
      <c r="F185" s="2" t="s">
        <v>913</v>
      </c>
      <c r="G185" s="2" t="s">
        <v>913</v>
      </c>
      <c r="H185">
        <f>_xlfn.XLOOKUP(C185,'[1]بيانات الموظفين'!$B:$B,'[1]بيانات الموظفين'!$AV:$AV)</f>
        <v>0</v>
      </c>
    </row>
    <row r="186" spans="1:8" ht="19.95" customHeight="1" x14ac:dyDescent="0.3">
      <c r="A186" s="3" t="s">
        <v>485</v>
      </c>
      <c r="B186" s="3" t="s">
        <v>486</v>
      </c>
      <c r="C186" s="5">
        <v>2567989484</v>
      </c>
      <c r="D186" s="3" t="s">
        <v>248</v>
      </c>
      <c r="E186" s="2" t="s">
        <v>913</v>
      </c>
      <c r="F186" s="2" t="s">
        <v>913</v>
      </c>
      <c r="G186" s="2" t="s">
        <v>913</v>
      </c>
      <c r="H186">
        <f>_xlfn.XLOOKUP(C186,'[1]بيانات الموظفين'!$B:$B,'[1]بيانات الموظفين'!$AV:$AV)</f>
        <v>0</v>
      </c>
    </row>
    <row r="187" spans="1:8" ht="19.95" customHeight="1" x14ac:dyDescent="0.3">
      <c r="A187" s="2" t="s">
        <v>487</v>
      </c>
      <c r="B187" s="2" t="s">
        <v>488</v>
      </c>
      <c r="C187" s="4">
        <v>2567989856</v>
      </c>
      <c r="D187" s="2" t="s">
        <v>248</v>
      </c>
      <c r="E187" s="2" t="s">
        <v>913</v>
      </c>
      <c r="F187" s="2" t="s">
        <v>913</v>
      </c>
      <c r="G187" s="2" t="s">
        <v>913</v>
      </c>
      <c r="H187">
        <f>_xlfn.XLOOKUP(C187,'[1]بيانات الموظفين'!$B:$B,'[1]بيانات الموظفين'!$AV:$AV)</f>
        <v>0</v>
      </c>
    </row>
    <row r="188" spans="1:8" ht="19.95" customHeight="1" x14ac:dyDescent="0.3">
      <c r="A188" s="3" t="s">
        <v>489</v>
      </c>
      <c r="B188" s="3" t="s">
        <v>490</v>
      </c>
      <c r="C188" s="5">
        <v>2567991936</v>
      </c>
      <c r="D188" s="3" t="s">
        <v>248</v>
      </c>
      <c r="E188" s="2" t="s">
        <v>913</v>
      </c>
      <c r="F188" s="2" t="s">
        <v>913</v>
      </c>
      <c r="G188" s="2" t="s">
        <v>913</v>
      </c>
      <c r="H188">
        <f>_xlfn.XLOOKUP(C188,'[1]بيانات الموظفين'!$B:$B,'[1]بيانات الموظفين'!$AV:$AV)</f>
        <v>0</v>
      </c>
    </row>
    <row r="189" spans="1:8" ht="19.95" customHeight="1" x14ac:dyDescent="0.3">
      <c r="A189" s="2" t="s">
        <v>491</v>
      </c>
      <c r="B189" s="2" t="s">
        <v>492</v>
      </c>
      <c r="C189" s="4">
        <v>2570559894</v>
      </c>
      <c r="D189" s="2" t="s">
        <v>243</v>
      </c>
      <c r="E189" s="2" t="s">
        <v>913</v>
      </c>
      <c r="F189" s="2" t="s">
        <v>913</v>
      </c>
      <c r="G189" s="2" t="s">
        <v>913</v>
      </c>
      <c r="H189">
        <f>_xlfn.XLOOKUP(C189,'[1]بيانات الموظفين'!$B:$B,'[1]بيانات الموظفين'!$AV:$AV)</f>
        <v>0</v>
      </c>
    </row>
    <row r="190" spans="1:8" ht="19.95" customHeight="1" x14ac:dyDescent="0.3">
      <c r="A190" s="3" t="s">
        <v>493</v>
      </c>
      <c r="B190" s="3" t="s">
        <v>494</v>
      </c>
      <c r="C190" s="5">
        <v>2570646386</v>
      </c>
      <c r="D190" s="3" t="s">
        <v>382</v>
      </c>
      <c r="E190" s="2" t="s">
        <v>913</v>
      </c>
      <c r="F190" s="2" t="s">
        <v>913</v>
      </c>
      <c r="G190" s="2" t="s">
        <v>913</v>
      </c>
      <c r="H190">
        <f>_xlfn.XLOOKUP(C190,'[1]بيانات الموظفين'!$B:$B,'[1]بيانات الموظفين'!$AV:$AV)</f>
        <v>0</v>
      </c>
    </row>
    <row r="191" spans="1:8" ht="19.95" customHeight="1" x14ac:dyDescent="0.3">
      <c r="A191" s="2" t="s">
        <v>495</v>
      </c>
      <c r="B191" s="2" t="s">
        <v>496</v>
      </c>
      <c r="C191" s="4">
        <v>2570719415</v>
      </c>
      <c r="D191" s="2" t="s">
        <v>248</v>
      </c>
      <c r="E191" s="2" t="s">
        <v>913</v>
      </c>
      <c r="F191" s="2" t="s">
        <v>913</v>
      </c>
      <c r="G191" s="2" t="s">
        <v>913</v>
      </c>
      <c r="H191">
        <f>_xlfn.XLOOKUP(C191,'[1]بيانات الموظفين'!$B:$B,'[1]بيانات الموظفين'!$AV:$AV)</f>
        <v>0</v>
      </c>
    </row>
    <row r="192" spans="1:8" ht="19.95" customHeight="1" x14ac:dyDescent="0.3">
      <c r="A192" s="3" t="s">
        <v>497</v>
      </c>
      <c r="B192" s="3" t="s">
        <v>498</v>
      </c>
      <c r="C192" s="5">
        <v>2570719662</v>
      </c>
      <c r="D192" s="3" t="s">
        <v>248</v>
      </c>
      <c r="E192" s="2" t="s">
        <v>913</v>
      </c>
      <c r="F192" s="2" t="s">
        <v>913</v>
      </c>
      <c r="G192" s="2" t="s">
        <v>913</v>
      </c>
      <c r="H192">
        <f>_xlfn.XLOOKUP(C192,'[1]بيانات الموظفين'!$B:$B,'[1]بيانات الموظفين'!$AV:$AV)</f>
        <v>0</v>
      </c>
    </row>
    <row r="193" spans="1:8" ht="19.95" customHeight="1" x14ac:dyDescent="0.3">
      <c r="A193" s="2" t="s">
        <v>499</v>
      </c>
      <c r="B193" s="2" t="s">
        <v>500</v>
      </c>
      <c r="C193" s="4">
        <v>2571767439</v>
      </c>
      <c r="D193" s="2" t="s">
        <v>385</v>
      </c>
      <c r="E193" s="2" t="s">
        <v>913</v>
      </c>
      <c r="F193" s="2" t="s">
        <v>913</v>
      </c>
      <c r="G193" s="2" t="s">
        <v>913</v>
      </c>
      <c r="H193">
        <f>_xlfn.XLOOKUP(C193,'[1]بيانات الموظفين'!$B:$B,'[1]بيانات الموظفين'!$AV:$AV)</f>
        <v>0</v>
      </c>
    </row>
    <row r="194" spans="1:8" ht="19.95" customHeight="1" x14ac:dyDescent="0.3">
      <c r="A194" s="3" t="s">
        <v>501</v>
      </c>
      <c r="B194" s="3" t="s">
        <v>502</v>
      </c>
      <c r="C194" s="5">
        <v>2573679533</v>
      </c>
      <c r="D194" s="3" t="s">
        <v>248</v>
      </c>
      <c r="E194" s="2" t="s">
        <v>913</v>
      </c>
      <c r="F194" s="2" t="s">
        <v>913</v>
      </c>
      <c r="G194" s="2" t="s">
        <v>913</v>
      </c>
      <c r="H194">
        <f>_xlfn.XLOOKUP(C194,'[1]بيانات الموظفين'!$B:$B,'[1]بيانات الموظفين'!$AV:$AV)</f>
        <v>0</v>
      </c>
    </row>
    <row r="195" spans="1:8" ht="19.95" customHeight="1" x14ac:dyDescent="0.3">
      <c r="A195" s="2" t="s">
        <v>503</v>
      </c>
      <c r="B195" s="2" t="s">
        <v>504</v>
      </c>
      <c r="C195" s="4">
        <v>2575175340</v>
      </c>
      <c r="D195" s="2" t="s">
        <v>248</v>
      </c>
      <c r="E195" s="2" t="s">
        <v>913</v>
      </c>
      <c r="F195" s="2" t="s">
        <v>913</v>
      </c>
      <c r="G195" s="2" t="s">
        <v>913</v>
      </c>
      <c r="H195">
        <f>_xlfn.XLOOKUP(C195,'[1]بيانات الموظفين'!$B:$B,'[1]بيانات الموظفين'!$AV:$AV)</f>
        <v>0</v>
      </c>
    </row>
    <row r="196" spans="1:8" ht="19.95" customHeight="1" x14ac:dyDescent="0.3">
      <c r="A196" s="3" t="s">
        <v>505</v>
      </c>
      <c r="B196" s="3" t="s">
        <v>506</v>
      </c>
      <c r="C196" s="5">
        <v>2575936675</v>
      </c>
      <c r="D196" s="3" t="s">
        <v>248</v>
      </c>
      <c r="E196" s="2" t="s">
        <v>913</v>
      </c>
      <c r="F196" s="2" t="s">
        <v>913</v>
      </c>
      <c r="G196" s="2" t="s">
        <v>913</v>
      </c>
      <c r="H196">
        <f>_xlfn.XLOOKUP(C196,'[1]بيانات الموظفين'!$B:$B,'[1]بيانات الموظفين'!$AV:$AV)</f>
        <v>0</v>
      </c>
    </row>
    <row r="197" spans="1:8" ht="19.95" customHeight="1" x14ac:dyDescent="0.3">
      <c r="A197" s="2" t="s">
        <v>507</v>
      </c>
      <c r="B197" s="2" t="s">
        <v>508</v>
      </c>
      <c r="C197" s="4">
        <v>2577075902</v>
      </c>
      <c r="D197" s="2" t="s">
        <v>248</v>
      </c>
      <c r="E197" s="2" t="s">
        <v>913</v>
      </c>
      <c r="F197" s="2" t="s">
        <v>913</v>
      </c>
      <c r="G197" s="2" t="s">
        <v>913</v>
      </c>
      <c r="H197">
        <f>_xlfn.XLOOKUP(C197,'[1]بيانات الموظفين'!$B:$B,'[1]بيانات الموظفين'!$AV:$AV)</f>
        <v>0</v>
      </c>
    </row>
    <row r="198" spans="1:8" ht="19.95" customHeight="1" x14ac:dyDescent="0.3">
      <c r="A198" s="3" t="s">
        <v>509</v>
      </c>
      <c r="B198" s="3" t="s">
        <v>510</v>
      </c>
      <c r="C198" s="5">
        <v>2578797025</v>
      </c>
      <c r="D198" s="3" t="s">
        <v>248</v>
      </c>
      <c r="E198" s="2" t="s">
        <v>913</v>
      </c>
      <c r="F198" s="2" t="s">
        <v>913</v>
      </c>
      <c r="G198" s="2" t="s">
        <v>913</v>
      </c>
      <c r="H198">
        <f>_xlfn.XLOOKUP(C198,'[1]بيانات الموظفين'!$B:$B,'[1]بيانات الموظفين'!$AV:$AV)</f>
        <v>0</v>
      </c>
    </row>
    <row r="199" spans="1:8" ht="19.95" customHeight="1" x14ac:dyDescent="0.3">
      <c r="A199" s="2" t="s">
        <v>511</v>
      </c>
      <c r="B199" s="2" t="s">
        <v>512</v>
      </c>
      <c r="C199" s="4">
        <v>2578800423</v>
      </c>
      <c r="D199" s="2" t="s">
        <v>513</v>
      </c>
      <c r="E199" s="2" t="s">
        <v>913</v>
      </c>
      <c r="F199" s="2" t="s">
        <v>913</v>
      </c>
      <c r="G199" s="2" t="s">
        <v>913</v>
      </c>
      <c r="H199">
        <f>_xlfn.XLOOKUP(C199,'[1]بيانات الموظفين'!$B:$B,'[1]بيانات الموظفين'!$AV:$AV)</f>
        <v>0</v>
      </c>
    </row>
    <row r="200" spans="1:8" ht="19.95" customHeight="1" x14ac:dyDescent="0.3">
      <c r="A200" s="3" t="s">
        <v>514</v>
      </c>
      <c r="B200" s="3" t="s">
        <v>515</v>
      </c>
      <c r="C200" s="5">
        <v>2579027281</v>
      </c>
      <c r="D200" s="3" t="s">
        <v>385</v>
      </c>
      <c r="E200" s="2" t="s">
        <v>913</v>
      </c>
      <c r="F200" s="2" t="s">
        <v>913</v>
      </c>
      <c r="G200" s="2" t="s">
        <v>913</v>
      </c>
      <c r="H200">
        <f>_xlfn.XLOOKUP(C200,'[1]بيانات الموظفين'!$B:$B,'[1]بيانات الموظفين'!$AV:$AV)</f>
        <v>0</v>
      </c>
    </row>
    <row r="201" spans="1:8" ht="19.95" customHeight="1" x14ac:dyDescent="0.3">
      <c r="A201" s="2" t="s">
        <v>516</v>
      </c>
      <c r="B201" s="2" t="s">
        <v>517</v>
      </c>
      <c r="C201" s="4">
        <v>2580147763</v>
      </c>
      <c r="D201" s="2" t="s">
        <v>248</v>
      </c>
      <c r="E201" s="2" t="s">
        <v>913</v>
      </c>
      <c r="F201" s="2" t="s">
        <v>913</v>
      </c>
      <c r="G201" s="2" t="s">
        <v>913</v>
      </c>
      <c r="H201">
        <f>_xlfn.XLOOKUP(C201,'[1]بيانات الموظفين'!$B:$B,'[1]بيانات الموظفين'!$AV:$AV)</f>
        <v>0</v>
      </c>
    </row>
    <row r="202" spans="1:8" ht="19.95" customHeight="1" x14ac:dyDescent="0.3">
      <c r="A202" s="3" t="s">
        <v>518</v>
      </c>
      <c r="B202" s="3" t="s">
        <v>519</v>
      </c>
      <c r="C202" s="5">
        <v>2581308950</v>
      </c>
      <c r="D202" s="3" t="s">
        <v>248</v>
      </c>
      <c r="E202" s="2" t="s">
        <v>913</v>
      </c>
      <c r="F202" s="2" t="s">
        <v>913</v>
      </c>
      <c r="G202" s="2" t="s">
        <v>913</v>
      </c>
      <c r="H202">
        <f>_xlfn.XLOOKUP(C202,'[1]بيانات الموظفين'!$B:$B,'[1]بيانات الموظفين'!$AV:$AV)</f>
        <v>0</v>
      </c>
    </row>
    <row r="203" spans="1:8" ht="19.95" customHeight="1" x14ac:dyDescent="0.3">
      <c r="A203" s="2" t="s">
        <v>520</v>
      </c>
      <c r="B203" s="2" t="s">
        <v>521</v>
      </c>
      <c r="C203" s="4">
        <v>2582221335</v>
      </c>
      <c r="D203" s="2" t="s">
        <v>363</v>
      </c>
      <c r="E203" s="2" t="s">
        <v>913</v>
      </c>
      <c r="F203" s="2" t="s">
        <v>913</v>
      </c>
      <c r="G203" s="2" t="s">
        <v>913</v>
      </c>
      <c r="H203">
        <f>_xlfn.XLOOKUP(C203,'[1]بيانات الموظفين'!$B:$B,'[1]بيانات الموظفين'!$AV:$AV)</f>
        <v>0</v>
      </c>
    </row>
    <row r="204" spans="1:8" ht="19.95" customHeight="1" x14ac:dyDescent="0.3">
      <c r="A204" s="3" t="s">
        <v>522</v>
      </c>
      <c r="B204" s="3" t="s">
        <v>523</v>
      </c>
      <c r="C204" s="5">
        <v>2582489270</v>
      </c>
      <c r="D204" s="3" t="s">
        <v>513</v>
      </c>
      <c r="E204" s="2" t="s">
        <v>913</v>
      </c>
      <c r="F204" s="2" t="s">
        <v>913</v>
      </c>
      <c r="G204" s="2" t="s">
        <v>913</v>
      </c>
      <c r="H204">
        <f>_xlfn.XLOOKUP(C204,'[1]بيانات الموظفين'!$B:$B,'[1]بيانات الموظفين'!$AV:$AV)</f>
        <v>0</v>
      </c>
    </row>
    <row r="205" spans="1:8" ht="19.95" customHeight="1" x14ac:dyDescent="0.3">
      <c r="A205" s="2" t="s">
        <v>524</v>
      </c>
      <c r="B205" s="2" t="s">
        <v>525</v>
      </c>
      <c r="C205" s="4">
        <v>2583315326</v>
      </c>
      <c r="D205" s="2" t="s">
        <v>248</v>
      </c>
      <c r="E205" s="2" t="s">
        <v>913</v>
      </c>
      <c r="F205" s="2" t="s">
        <v>913</v>
      </c>
      <c r="G205" s="2" t="s">
        <v>913</v>
      </c>
      <c r="H205">
        <f>_xlfn.XLOOKUP(C205,'[1]بيانات الموظفين'!$B:$B,'[1]بيانات الموظفين'!$AV:$AV)</f>
        <v>0</v>
      </c>
    </row>
    <row r="206" spans="1:8" ht="19.95" customHeight="1" x14ac:dyDescent="0.3">
      <c r="A206" s="3" t="s">
        <v>526</v>
      </c>
      <c r="B206" s="3" t="s">
        <v>527</v>
      </c>
      <c r="C206" s="5">
        <v>2583917600</v>
      </c>
      <c r="D206" s="3" t="s">
        <v>248</v>
      </c>
      <c r="E206" s="2" t="s">
        <v>913</v>
      </c>
      <c r="F206" s="2" t="s">
        <v>913</v>
      </c>
      <c r="G206" s="2" t="s">
        <v>913</v>
      </c>
      <c r="H206">
        <f>_xlfn.XLOOKUP(C206,'[1]بيانات الموظفين'!$B:$B,'[1]بيانات الموظفين'!$AV:$AV)</f>
        <v>0</v>
      </c>
    </row>
    <row r="207" spans="1:8" ht="19.95" customHeight="1" x14ac:dyDescent="0.3">
      <c r="A207" s="2" t="s">
        <v>528</v>
      </c>
      <c r="B207" s="2" t="s">
        <v>529</v>
      </c>
      <c r="C207" s="4">
        <v>2585189612</v>
      </c>
      <c r="D207" s="2" t="s">
        <v>248</v>
      </c>
      <c r="E207" s="2" t="s">
        <v>913</v>
      </c>
      <c r="F207" s="2" t="s">
        <v>913</v>
      </c>
      <c r="G207" s="2" t="s">
        <v>913</v>
      </c>
      <c r="H207">
        <f>_xlfn.XLOOKUP(C207,'[1]بيانات الموظفين'!$B:$B,'[1]بيانات الموظفين'!$AV:$AV)</f>
        <v>0</v>
      </c>
    </row>
    <row r="208" spans="1:8" ht="19.95" customHeight="1" x14ac:dyDescent="0.3">
      <c r="A208" s="3" t="s">
        <v>530</v>
      </c>
      <c r="B208" s="3" t="s">
        <v>531</v>
      </c>
      <c r="C208" s="5">
        <v>2585423763</v>
      </c>
      <c r="D208" s="3" t="s">
        <v>248</v>
      </c>
      <c r="E208" s="2" t="s">
        <v>913</v>
      </c>
      <c r="F208" s="2" t="s">
        <v>913</v>
      </c>
      <c r="G208" s="2" t="s">
        <v>913</v>
      </c>
      <c r="H208">
        <f>_xlfn.XLOOKUP(C208,'[1]بيانات الموظفين'!$B:$B,'[1]بيانات الموظفين'!$AV:$AV)</f>
        <v>0</v>
      </c>
    </row>
    <row r="209" spans="1:8" ht="19.95" customHeight="1" x14ac:dyDescent="0.3">
      <c r="A209" s="2" t="s">
        <v>532</v>
      </c>
      <c r="B209" s="2" t="s">
        <v>533</v>
      </c>
      <c r="C209" s="4">
        <v>2585780618</v>
      </c>
      <c r="D209" s="2" t="s">
        <v>248</v>
      </c>
      <c r="E209" s="2" t="s">
        <v>913</v>
      </c>
      <c r="F209" s="2" t="s">
        <v>913</v>
      </c>
      <c r="G209" s="2" t="s">
        <v>913</v>
      </c>
      <c r="H209">
        <f>_xlfn.XLOOKUP(C209,'[1]بيانات الموظفين'!$B:$B,'[1]بيانات الموظفين'!$AV:$AV)</f>
        <v>0</v>
      </c>
    </row>
    <row r="210" spans="1:8" ht="19.95" customHeight="1" x14ac:dyDescent="0.3">
      <c r="A210" s="3" t="s">
        <v>534</v>
      </c>
      <c r="B210" s="3" t="s">
        <v>535</v>
      </c>
      <c r="C210" s="5">
        <v>2585782051</v>
      </c>
      <c r="D210" s="3" t="s">
        <v>248</v>
      </c>
      <c r="E210" s="2" t="s">
        <v>913</v>
      </c>
      <c r="F210" s="2" t="s">
        <v>913</v>
      </c>
      <c r="G210" s="2" t="s">
        <v>913</v>
      </c>
      <c r="H210">
        <f>_xlfn.XLOOKUP(C210,'[1]بيانات الموظفين'!$B:$B,'[1]بيانات الموظفين'!$AV:$AV)</f>
        <v>0</v>
      </c>
    </row>
    <row r="211" spans="1:8" ht="19.95" customHeight="1" x14ac:dyDescent="0.3">
      <c r="A211" s="2" t="s">
        <v>536</v>
      </c>
      <c r="B211" s="2" t="s">
        <v>537</v>
      </c>
      <c r="C211" s="4">
        <v>2586481174</v>
      </c>
      <c r="D211" s="2" t="s">
        <v>248</v>
      </c>
      <c r="E211" s="2" t="s">
        <v>913</v>
      </c>
      <c r="F211" s="2" t="s">
        <v>913</v>
      </c>
      <c r="G211" s="2" t="s">
        <v>913</v>
      </c>
      <c r="H211">
        <f>_xlfn.XLOOKUP(C211,'[1]بيانات الموظفين'!$B:$B,'[1]بيانات الموظفين'!$AV:$AV)</f>
        <v>0</v>
      </c>
    </row>
    <row r="212" spans="1:8" ht="19.95" customHeight="1" x14ac:dyDescent="0.3">
      <c r="A212" s="3" t="s">
        <v>538</v>
      </c>
      <c r="B212" s="3" t="s">
        <v>539</v>
      </c>
      <c r="C212" s="5">
        <v>2586503613</v>
      </c>
      <c r="D212" s="3" t="s">
        <v>248</v>
      </c>
      <c r="E212" s="2" t="s">
        <v>913</v>
      </c>
      <c r="F212" s="2" t="s">
        <v>913</v>
      </c>
      <c r="G212" s="2" t="s">
        <v>913</v>
      </c>
      <c r="H212">
        <f>_xlfn.XLOOKUP(C212,'[1]بيانات الموظفين'!$B:$B,'[1]بيانات الموظفين'!$AV:$AV)</f>
        <v>0</v>
      </c>
    </row>
    <row r="213" spans="1:8" ht="19.95" customHeight="1" x14ac:dyDescent="0.3">
      <c r="A213" s="2" t="s">
        <v>540</v>
      </c>
      <c r="B213" s="2" t="s">
        <v>541</v>
      </c>
      <c r="C213" s="4">
        <v>2586563708</v>
      </c>
      <c r="D213" s="2" t="s">
        <v>248</v>
      </c>
      <c r="E213" s="2" t="s">
        <v>913</v>
      </c>
      <c r="F213" s="2" t="s">
        <v>913</v>
      </c>
      <c r="G213" s="2" t="s">
        <v>913</v>
      </c>
      <c r="H213">
        <f>_xlfn.XLOOKUP(C213,'[1]بيانات الموظفين'!$B:$B,'[1]بيانات الموظفين'!$AV:$AV)</f>
        <v>0</v>
      </c>
    </row>
    <row r="214" spans="1:8" ht="19.95" customHeight="1" x14ac:dyDescent="0.3">
      <c r="A214" s="3" t="s">
        <v>542</v>
      </c>
      <c r="B214" s="3" t="s">
        <v>543</v>
      </c>
      <c r="C214" s="5">
        <v>2586565455</v>
      </c>
      <c r="D214" s="3" t="s">
        <v>248</v>
      </c>
      <c r="E214" s="2" t="s">
        <v>913</v>
      </c>
      <c r="F214" s="2" t="s">
        <v>913</v>
      </c>
      <c r="G214" s="2" t="s">
        <v>913</v>
      </c>
      <c r="H214">
        <f>_xlfn.XLOOKUP(C214,'[1]بيانات الموظفين'!$B:$B,'[1]بيانات الموظفين'!$AV:$AV)</f>
        <v>0</v>
      </c>
    </row>
    <row r="215" spans="1:8" ht="19.95" customHeight="1" x14ac:dyDescent="0.3">
      <c r="A215" s="2" t="s">
        <v>544</v>
      </c>
      <c r="B215" s="2" t="s">
        <v>545</v>
      </c>
      <c r="C215" s="4">
        <v>2586780997</v>
      </c>
      <c r="D215" s="2" t="s">
        <v>248</v>
      </c>
      <c r="E215" s="2" t="s">
        <v>913</v>
      </c>
      <c r="F215" s="2" t="s">
        <v>913</v>
      </c>
      <c r="G215" s="2" t="s">
        <v>913</v>
      </c>
      <c r="H215">
        <f>_xlfn.XLOOKUP(C215,'[1]بيانات الموظفين'!$B:$B,'[1]بيانات الموظفين'!$AV:$AV)</f>
        <v>0</v>
      </c>
    </row>
    <row r="216" spans="1:8" ht="19.95" customHeight="1" x14ac:dyDescent="0.3">
      <c r="A216" s="3" t="s">
        <v>546</v>
      </c>
      <c r="B216" s="3" t="s">
        <v>547</v>
      </c>
      <c r="C216" s="5">
        <v>2586867323</v>
      </c>
      <c r="D216" s="3" t="s">
        <v>248</v>
      </c>
      <c r="E216" s="2" t="s">
        <v>913</v>
      </c>
      <c r="F216" s="2" t="s">
        <v>913</v>
      </c>
      <c r="G216" s="2" t="s">
        <v>913</v>
      </c>
      <c r="H216">
        <f>_xlfn.XLOOKUP(C216,'[1]بيانات الموظفين'!$B:$B,'[1]بيانات الموظفين'!$AV:$AV)</f>
        <v>0</v>
      </c>
    </row>
    <row r="217" spans="1:8" ht="19.95" customHeight="1" x14ac:dyDescent="0.3">
      <c r="A217" s="2" t="s">
        <v>548</v>
      </c>
      <c r="B217" s="2" t="s">
        <v>549</v>
      </c>
      <c r="C217" s="4">
        <v>2586867471</v>
      </c>
      <c r="D217" s="2" t="s">
        <v>248</v>
      </c>
      <c r="E217" s="2" t="s">
        <v>913</v>
      </c>
      <c r="F217" s="2" t="s">
        <v>913</v>
      </c>
      <c r="G217" s="2" t="s">
        <v>913</v>
      </c>
      <c r="H217">
        <f>_xlfn.XLOOKUP(C217,'[1]بيانات الموظفين'!$B:$B,'[1]بيانات الموظفين'!$AV:$AV)</f>
        <v>0</v>
      </c>
    </row>
    <row r="218" spans="1:8" ht="19.95" customHeight="1" x14ac:dyDescent="0.3">
      <c r="A218" s="3" t="s">
        <v>550</v>
      </c>
      <c r="B218" s="3" t="s">
        <v>551</v>
      </c>
      <c r="C218" s="5">
        <v>2586978567</v>
      </c>
      <c r="D218" s="3" t="s">
        <v>248</v>
      </c>
      <c r="E218" s="2" t="s">
        <v>913</v>
      </c>
      <c r="F218" s="2" t="s">
        <v>913</v>
      </c>
      <c r="G218" s="2" t="s">
        <v>913</v>
      </c>
      <c r="H218">
        <f>_xlfn.XLOOKUP(C218,'[1]بيانات الموظفين'!$B:$B,'[1]بيانات الموظفين'!$AV:$AV)</f>
        <v>0</v>
      </c>
    </row>
    <row r="219" spans="1:8" ht="19.95" customHeight="1" x14ac:dyDescent="0.3">
      <c r="A219" s="2" t="s">
        <v>552</v>
      </c>
      <c r="B219" s="2" t="s">
        <v>553</v>
      </c>
      <c r="C219" s="4">
        <v>2587272416</v>
      </c>
      <c r="D219" s="2" t="s">
        <v>382</v>
      </c>
      <c r="E219" s="2" t="s">
        <v>913</v>
      </c>
      <c r="F219" s="2" t="s">
        <v>913</v>
      </c>
      <c r="G219" s="2" t="s">
        <v>913</v>
      </c>
      <c r="H219">
        <f>_xlfn.XLOOKUP(C219,'[1]بيانات الموظفين'!$B:$B,'[1]بيانات الموظفين'!$AV:$AV)</f>
        <v>0</v>
      </c>
    </row>
    <row r="220" spans="1:8" ht="19.95" customHeight="1" x14ac:dyDescent="0.3">
      <c r="A220" s="3" t="s">
        <v>554</v>
      </c>
      <c r="B220" s="3" t="s">
        <v>555</v>
      </c>
      <c r="C220" s="5">
        <v>2587774726</v>
      </c>
      <c r="D220" s="3" t="s">
        <v>248</v>
      </c>
      <c r="E220" s="2" t="s">
        <v>913</v>
      </c>
      <c r="F220" s="2" t="s">
        <v>913</v>
      </c>
      <c r="G220" s="2" t="s">
        <v>913</v>
      </c>
      <c r="H220">
        <f>_xlfn.XLOOKUP(C220,'[1]بيانات الموظفين'!$B:$B,'[1]بيانات الموظفين'!$AV:$AV)</f>
        <v>0</v>
      </c>
    </row>
    <row r="221" spans="1:8" ht="19.95" customHeight="1" x14ac:dyDescent="0.3">
      <c r="A221" s="2" t="s">
        <v>556</v>
      </c>
      <c r="B221" s="2" t="s">
        <v>557</v>
      </c>
      <c r="C221" s="4">
        <v>2588700563</v>
      </c>
      <c r="D221" s="2" t="s">
        <v>248</v>
      </c>
      <c r="E221" s="2" t="s">
        <v>913</v>
      </c>
      <c r="F221" s="2" t="s">
        <v>913</v>
      </c>
      <c r="G221" s="2" t="s">
        <v>913</v>
      </c>
      <c r="H221">
        <f>_xlfn.XLOOKUP(C221,'[1]بيانات الموظفين'!$B:$B,'[1]بيانات الموظفين'!$AV:$AV)</f>
        <v>0</v>
      </c>
    </row>
    <row r="222" spans="1:8" ht="19.95" customHeight="1" x14ac:dyDescent="0.3">
      <c r="A222" s="3" t="s">
        <v>558</v>
      </c>
      <c r="B222" s="3" t="s">
        <v>559</v>
      </c>
      <c r="C222" s="5">
        <v>2588700811</v>
      </c>
      <c r="D222" s="3" t="s">
        <v>248</v>
      </c>
      <c r="E222" s="2" t="s">
        <v>913</v>
      </c>
      <c r="F222" s="2" t="s">
        <v>913</v>
      </c>
      <c r="G222" s="2" t="s">
        <v>913</v>
      </c>
      <c r="H222">
        <f>_xlfn.XLOOKUP(C222,'[1]بيانات الموظفين'!$B:$B,'[1]بيانات الموظفين'!$AV:$AV)</f>
        <v>0</v>
      </c>
    </row>
    <row r="223" spans="1:8" ht="19.95" customHeight="1" x14ac:dyDescent="0.3">
      <c r="A223" s="2" t="s">
        <v>560</v>
      </c>
      <c r="B223" s="2" t="s">
        <v>561</v>
      </c>
      <c r="C223" s="4">
        <v>2591674391</v>
      </c>
      <c r="D223" s="2" t="s">
        <v>310</v>
      </c>
      <c r="E223" s="2" t="s">
        <v>913</v>
      </c>
      <c r="F223" s="2" t="s">
        <v>913</v>
      </c>
      <c r="G223" s="2" t="s">
        <v>913</v>
      </c>
      <c r="H223" t="e">
        <f>_xlfn.XLOOKUP(C223,'[1]بيانات الموظفين'!$B:$B,'[1]بيانات الموظفين'!$AV:$AV)</f>
        <v>#N/A</v>
      </c>
    </row>
    <row r="224" spans="1:8" ht="19.95" customHeight="1" x14ac:dyDescent="0.3">
      <c r="A224" s="3" t="s">
        <v>562</v>
      </c>
      <c r="B224" s="3" t="s">
        <v>563</v>
      </c>
      <c r="C224" s="5">
        <v>2592246322</v>
      </c>
      <c r="D224" s="3" t="s">
        <v>363</v>
      </c>
      <c r="E224" s="2" t="s">
        <v>913</v>
      </c>
      <c r="F224" s="2" t="s">
        <v>913</v>
      </c>
      <c r="G224" s="2" t="s">
        <v>913</v>
      </c>
      <c r="H224">
        <f>_xlfn.XLOOKUP(C224,'[1]بيانات الموظفين'!$B:$B,'[1]بيانات الموظفين'!$AV:$AV)</f>
        <v>0</v>
      </c>
    </row>
    <row r="225" spans="1:8" ht="19.95" customHeight="1" x14ac:dyDescent="0.3">
      <c r="A225" s="2" t="s">
        <v>564</v>
      </c>
      <c r="B225" s="2" t="s">
        <v>565</v>
      </c>
      <c r="C225" s="4">
        <v>2594102754</v>
      </c>
      <c r="D225" s="2" t="s">
        <v>248</v>
      </c>
      <c r="E225" s="2" t="s">
        <v>913</v>
      </c>
      <c r="F225" s="2" t="s">
        <v>913</v>
      </c>
      <c r="G225" s="2" t="s">
        <v>913</v>
      </c>
      <c r="H225">
        <f>_xlfn.XLOOKUP(C225,'[1]بيانات الموظفين'!$B:$B,'[1]بيانات الموظفين'!$AV:$AV)</f>
        <v>0</v>
      </c>
    </row>
    <row r="226" spans="1:8" ht="19.95" customHeight="1" x14ac:dyDescent="0.3">
      <c r="A226" s="3" t="s">
        <v>566</v>
      </c>
      <c r="B226" s="3" t="s">
        <v>567</v>
      </c>
      <c r="C226" s="5">
        <v>2594162956</v>
      </c>
      <c r="D226" s="3" t="s">
        <v>382</v>
      </c>
      <c r="E226" s="2" t="s">
        <v>913</v>
      </c>
      <c r="F226" s="2" t="s">
        <v>913</v>
      </c>
      <c r="G226" s="2" t="s">
        <v>913</v>
      </c>
      <c r="H226">
        <f>_xlfn.XLOOKUP(C226,'[1]بيانات الموظفين'!$B:$B,'[1]بيانات الموظفين'!$AV:$AV)</f>
        <v>0</v>
      </c>
    </row>
    <row r="227" spans="1:8" ht="19.95" customHeight="1" x14ac:dyDescent="0.3">
      <c r="A227" s="2" t="s">
        <v>568</v>
      </c>
      <c r="B227" s="2" t="s">
        <v>569</v>
      </c>
      <c r="C227" s="4">
        <v>2594515492</v>
      </c>
      <c r="D227" s="2" t="s">
        <v>248</v>
      </c>
      <c r="E227" s="2" t="s">
        <v>913</v>
      </c>
      <c r="F227" s="2" t="s">
        <v>913</v>
      </c>
      <c r="G227" s="2" t="s">
        <v>913</v>
      </c>
      <c r="H227">
        <f>_xlfn.XLOOKUP(C227,'[1]بيانات الموظفين'!$B:$B,'[1]بيانات الموظفين'!$AV:$AV)</f>
        <v>0</v>
      </c>
    </row>
    <row r="228" spans="1:8" ht="19.95" customHeight="1" x14ac:dyDescent="0.3">
      <c r="A228" s="3" t="s">
        <v>570</v>
      </c>
      <c r="B228" s="3" t="s">
        <v>571</v>
      </c>
      <c r="C228" s="5">
        <v>2595239118</v>
      </c>
      <c r="D228" s="3" t="s">
        <v>470</v>
      </c>
      <c r="E228" s="2" t="s">
        <v>913</v>
      </c>
      <c r="F228" s="2" t="s">
        <v>913</v>
      </c>
      <c r="G228" s="2" t="s">
        <v>913</v>
      </c>
      <c r="H228">
        <f>_xlfn.XLOOKUP(C228,'[1]بيانات الموظفين'!$B:$B,'[1]بيانات الموظفين'!$AV:$AV)</f>
        <v>0</v>
      </c>
    </row>
    <row r="229" spans="1:8" ht="19.95" customHeight="1" x14ac:dyDescent="0.3">
      <c r="A229" s="2" t="s">
        <v>572</v>
      </c>
      <c r="B229" s="2" t="s">
        <v>573</v>
      </c>
      <c r="C229" s="4">
        <v>2596558060</v>
      </c>
      <c r="D229" s="2" t="s">
        <v>248</v>
      </c>
      <c r="E229" s="2" t="s">
        <v>913</v>
      </c>
      <c r="F229" s="2" t="s">
        <v>913</v>
      </c>
      <c r="G229" s="2" t="s">
        <v>913</v>
      </c>
      <c r="H229">
        <f>_xlfn.XLOOKUP(C229,'[1]بيانات الموظفين'!$B:$B,'[1]بيانات الموظفين'!$AV:$AV)</f>
        <v>0</v>
      </c>
    </row>
    <row r="230" spans="1:8" ht="19.95" customHeight="1" x14ac:dyDescent="0.3">
      <c r="A230" s="3" t="s">
        <v>574</v>
      </c>
      <c r="B230" s="3" t="s">
        <v>575</v>
      </c>
      <c r="C230" s="5">
        <v>2600263335</v>
      </c>
      <c r="D230" s="3" t="s">
        <v>382</v>
      </c>
      <c r="E230" s="2" t="s">
        <v>913</v>
      </c>
      <c r="F230" s="2" t="s">
        <v>913</v>
      </c>
      <c r="G230" s="2" t="s">
        <v>913</v>
      </c>
      <c r="H230">
        <f>_xlfn.XLOOKUP(C230,'[1]بيانات الموظفين'!$B:$B,'[1]بيانات الموظفين'!$AV:$AV)</f>
        <v>0</v>
      </c>
    </row>
    <row r="231" spans="1:8" ht="19.95" customHeight="1" x14ac:dyDescent="0.3">
      <c r="A231" s="2" t="s">
        <v>576</v>
      </c>
      <c r="B231" s="2" t="s">
        <v>577</v>
      </c>
      <c r="C231" s="4">
        <v>2600302281</v>
      </c>
      <c r="D231" s="2" t="s">
        <v>248</v>
      </c>
      <c r="E231" s="2" t="s">
        <v>913</v>
      </c>
      <c r="F231" s="2" t="s">
        <v>913</v>
      </c>
      <c r="G231" s="2" t="s">
        <v>913</v>
      </c>
      <c r="H231">
        <f>_xlfn.XLOOKUP(C231,'[1]بيانات الموظفين'!$B:$B,'[1]بيانات الموظفين'!$AV:$AV)</f>
        <v>0</v>
      </c>
    </row>
    <row r="232" spans="1:8" ht="19.95" customHeight="1" x14ac:dyDescent="0.3">
      <c r="A232" s="3" t="s">
        <v>578</v>
      </c>
      <c r="B232" s="3" t="s">
        <v>579</v>
      </c>
      <c r="C232" s="5">
        <v>2600958801</v>
      </c>
      <c r="D232" s="3" t="s">
        <v>385</v>
      </c>
      <c r="E232" s="2" t="s">
        <v>913</v>
      </c>
      <c r="F232" s="2" t="s">
        <v>913</v>
      </c>
      <c r="G232" s="2" t="s">
        <v>913</v>
      </c>
      <c r="H232">
        <f>_xlfn.XLOOKUP(C232,'[1]بيانات الموظفين'!$B:$B,'[1]بيانات الموظفين'!$AV:$AV)</f>
        <v>0</v>
      </c>
    </row>
    <row r="233" spans="1:8" ht="19.95" customHeight="1" x14ac:dyDescent="0.3">
      <c r="A233" s="2" t="s">
        <v>580</v>
      </c>
      <c r="B233" s="2" t="s">
        <v>581</v>
      </c>
      <c r="C233" s="4">
        <v>2602107704</v>
      </c>
      <c r="D233" s="2" t="s">
        <v>385</v>
      </c>
      <c r="E233" s="2" t="s">
        <v>913</v>
      </c>
      <c r="F233" s="2" t="s">
        <v>913</v>
      </c>
      <c r="G233" s="2" t="s">
        <v>913</v>
      </c>
      <c r="H233">
        <f>_xlfn.XLOOKUP(C233,'[1]بيانات الموظفين'!$B:$B,'[1]بيانات الموظفين'!$AV:$AV)</f>
        <v>0</v>
      </c>
    </row>
    <row r="234" spans="1:8" ht="19.95" customHeight="1" x14ac:dyDescent="0.3">
      <c r="A234" s="3" t="s">
        <v>582</v>
      </c>
      <c r="B234" s="3" t="s">
        <v>583</v>
      </c>
      <c r="C234" s="5">
        <v>2602574606</v>
      </c>
      <c r="D234" s="3" t="s">
        <v>248</v>
      </c>
      <c r="E234" s="2" t="s">
        <v>913</v>
      </c>
      <c r="F234" s="2" t="s">
        <v>913</v>
      </c>
      <c r="G234" s="2" t="s">
        <v>913</v>
      </c>
      <c r="H234">
        <f>_xlfn.XLOOKUP(C234,'[1]بيانات الموظفين'!$B:$B,'[1]بيانات الموظفين'!$AV:$AV)</f>
        <v>0</v>
      </c>
    </row>
    <row r="235" spans="1:8" ht="19.95" customHeight="1" x14ac:dyDescent="0.3">
      <c r="A235" s="2" t="s">
        <v>584</v>
      </c>
      <c r="B235" s="2" t="s">
        <v>585</v>
      </c>
      <c r="C235" s="4">
        <v>2603456381</v>
      </c>
      <c r="D235" s="2" t="s">
        <v>9</v>
      </c>
      <c r="E235" s="2" t="s">
        <v>913</v>
      </c>
      <c r="F235" s="2" t="s">
        <v>913</v>
      </c>
      <c r="G235" s="2" t="s">
        <v>913</v>
      </c>
      <c r="H235" t="e">
        <f>_xlfn.XLOOKUP(C235,'[1]بيانات الموظفين'!$B:$B,'[1]بيانات الموظفين'!$AV:$AV)</f>
        <v>#N/A</v>
      </c>
    </row>
    <row r="236" spans="1:8" ht="19.95" customHeight="1" x14ac:dyDescent="0.3">
      <c r="A236" s="3" t="s">
        <v>586</v>
      </c>
      <c r="B236" s="3" t="s">
        <v>587</v>
      </c>
      <c r="C236" s="5">
        <v>2604300323</v>
      </c>
      <c r="D236" s="3" t="s">
        <v>248</v>
      </c>
      <c r="E236" s="2" t="s">
        <v>913</v>
      </c>
      <c r="F236" s="2" t="s">
        <v>913</v>
      </c>
      <c r="G236" s="2" t="s">
        <v>913</v>
      </c>
      <c r="H236">
        <f>_xlfn.XLOOKUP(C236,'[1]بيانات الموظفين'!$B:$B,'[1]بيانات الموظفين'!$AV:$AV)</f>
        <v>0</v>
      </c>
    </row>
    <row r="237" spans="1:8" ht="19.95" customHeight="1" x14ac:dyDescent="0.3">
      <c r="A237" s="2" t="s">
        <v>588</v>
      </c>
      <c r="B237" s="2" t="s">
        <v>589</v>
      </c>
      <c r="C237" s="4">
        <v>2609164559</v>
      </c>
      <c r="D237" s="2" t="s">
        <v>240</v>
      </c>
      <c r="E237" s="2" t="s">
        <v>913</v>
      </c>
      <c r="F237" s="2" t="s">
        <v>913</v>
      </c>
      <c r="G237" s="2" t="s">
        <v>913</v>
      </c>
      <c r="H237">
        <f>_xlfn.XLOOKUP(C237,'[1]بيانات الموظفين'!$B:$B,'[1]بيانات الموظفين'!$AV:$AV)</f>
        <v>0</v>
      </c>
    </row>
    <row r="238" spans="1:8" ht="19.95" customHeight="1" x14ac:dyDescent="0.3">
      <c r="A238" s="3" t="s">
        <v>590</v>
      </c>
      <c r="B238" s="3" t="s">
        <v>591</v>
      </c>
      <c r="C238" s="5">
        <v>2609238593</v>
      </c>
      <c r="D238" s="3" t="s">
        <v>9</v>
      </c>
      <c r="E238" s="2" t="s">
        <v>913</v>
      </c>
      <c r="F238" s="2" t="s">
        <v>913</v>
      </c>
      <c r="G238" s="2" t="s">
        <v>913</v>
      </c>
      <c r="H238">
        <f>_xlfn.XLOOKUP(C238,'[1]بيانات الموظفين'!$B:$B,'[1]بيانات الموظفين'!$AV:$AV)</f>
        <v>0</v>
      </c>
    </row>
    <row r="239" spans="1:8" ht="19.95" customHeight="1" x14ac:dyDescent="0.3">
      <c r="A239" s="2" t="s">
        <v>592</v>
      </c>
      <c r="B239" s="2" t="s">
        <v>593</v>
      </c>
      <c r="C239" s="4">
        <v>2611730538</v>
      </c>
      <c r="D239" s="2" t="s">
        <v>594</v>
      </c>
      <c r="E239" s="2" t="s">
        <v>913</v>
      </c>
      <c r="F239" s="2" t="s">
        <v>913</v>
      </c>
      <c r="G239" s="2" t="s">
        <v>913</v>
      </c>
      <c r="H239">
        <f>_xlfn.XLOOKUP(C239,'[1]بيانات الموظفين'!$B:$B,'[1]بيانات الموظفين'!$AV:$AV)</f>
        <v>0</v>
      </c>
    </row>
    <row r="240" spans="1:8" ht="19.95" customHeight="1" x14ac:dyDescent="0.3">
      <c r="A240" s="3" t="s">
        <v>595</v>
      </c>
      <c r="B240" s="3" t="s">
        <v>596</v>
      </c>
      <c r="C240" s="5">
        <v>2611848157</v>
      </c>
      <c r="D240" s="3" t="s">
        <v>243</v>
      </c>
      <c r="E240" s="2" t="s">
        <v>913</v>
      </c>
      <c r="F240" s="2" t="s">
        <v>913</v>
      </c>
      <c r="G240" s="2" t="s">
        <v>913</v>
      </c>
      <c r="H240">
        <f>_xlfn.XLOOKUP(C240,'[1]بيانات الموظفين'!$B:$B,'[1]بيانات الموظفين'!$AV:$AV)</f>
        <v>0</v>
      </c>
    </row>
    <row r="241" spans="1:8" ht="19.95" customHeight="1" x14ac:dyDescent="0.3">
      <c r="A241" s="2" t="s">
        <v>597</v>
      </c>
      <c r="B241" s="2" t="s">
        <v>598</v>
      </c>
      <c r="C241" s="4">
        <v>2612798724</v>
      </c>
      <c r="D241" s="2" t="s">
        <v>599</v>
      </c>
      <c r="E241" s="2" t="s">
        <v>913</v>
      </c>
      <c r="F241" s="2" t="s">
        <v>913</v>
      </c>
      <c r="G241" s="2" t="s">
        <v>913</v>
      </c>
      <c r="H241">
        <f>_xlfn.XLOOKUP(C241,'[1]بيانات الموظفين'!$B:$B,'[1]بيانات الموظفين'!$AV:$AV)</f>
        <v>0</v>
      </c>
    </row>
    <row r="242" spans="1:8" ht="19.95" customHeight="1" x14ac:dyDescent="0.3">
      <c r="A242" s="3" t="s">
        <v>600</v>
      </c>
      <c r="B242" s="3" t="s">
        <v>601</v>
      </c>
      <c r="C242" s="5">
        <v>2617425794</v>
      </c>
      <c r="D242" s="3" t="s">
        <v>470</v>
      </c>
      <c r="E242" s="2" t="s">
        <v>913</v>
      </c>
      <c r="F242" s="2" t="s">
        <v>913</v>
      </c>
      <c r="G242" s="2" t="s">
        <v>913</v>
      </c>
      <c r="H242">
        <f>_xlfn.XLOOKUP(C242,'[1]بيانات الموظفين'!$B:$B,'[1]بيانات الموظفين'!$AV:$AV)</f>
        <v>0</v>
      </c>
    </row>
    <row r="243" spans="1:8" ht="19.95" customHeight="1" x14ac:dyDescent="0.3">
      <c r="A243" s="2" t="s">
        <v>602</v>
      </c>
      <c r="B243" s="2" t="s">
        <v>603</v>
      </c>
      <c r="C243" s="4">
        <v>2620891024</v>
      </c>
      <c r="D243" s="2" t="s">
        <v>363</v>
      </c>
      <c r="E243" s="2" t="s">
        <v>913</v>
      </c>
      <c r="F243" s="2" t="s">
        <v>913</v>
      </c>
      <c r="G243" s="2" t="s">
        <v>913</v>
      </c>
      <c r="H243">
        <f>_xlfn.XLOOKUP(C243,'[1]بيانات الموظفين'!$B:$B,'[1]بيانات الموظفين'!$AV:$AV)</f>
        <v>0</v>
      </c>
    </row>
    <row r="244" spans="1:8" ht="19.95" customHeight="1" x14ac:dyDescent="0.3">
      <c r="A244" s="3" t="s">
        <v>604</v>
      </c>
      <c r="B244" s="3" t="s">
        <v>605</v>
      </c>
      <c r="C244" s="5">
        <v>2623869993</v>
      </c>
      <c r="D244" s="3" t="s">
        <v>382</v>
      </c>
      <c r="E244" s="2" t="s">
        <v>913</v>
      </c>
      <c r="F244" s="2" t="s">
        <v>913</v>
      </c>
      <c r="G244" s="2" t="s">
        <v>913</v>
      </c>
      <c r="H244">
        <f>_xlfn.XLOOKUP(C244,'[1]بيانات الموظفين'!$B:$B,'[1]بيانات الموظفين'!$AV:$AV)</f>
        <v>0</v>
      </c>
    </row>
    <row r="245" spans="1:8" ht="19.95" customHeight="1" x14ac:dyDescent="0.3">
      <c r="A245" s="2" t="s">
        <v>606</v>
      </c>
      <c r="B245" s="2" t="s">
        <v>607</v>
      </c>
      <c r="C245" s="4">
        <v>2626922260</v>
      </c>
      <c r="D245" s="2" t="s">
        <v>248</v>
      </c>
      <c r="E245" s="2" t="s">
        <v>913</v>
      </c>
      <c r="F245" s="2" t="s">
        <v>913</v>
      </c>
      <c r="G245" s="2" t="s">
        <v>913</v>
      </c>
      <c r="H245">
        <f>_xlfn.XLOOKUP(C245,'[1]بيانات الموظفين'!$B:$B,'[1]بيانات الموظفين'!$AV:$AV)</f>
        <v>0</v>
      </c>
    </row>
    <row r="246" spans="1:8" ht="19.95" customHeight="1" x14ac:dyDescent="0.3">
      <c r="A246" s="3" t="s">
        <v>608</v>
      </c>
      <c r="B246" s="3" t="s">
        <v>609</v>
      </c>
      <c r="C246" s="5">
        <v>2634166710</v>
      </c>
      <c r="D246" s="3" t="s">
        <v>382</v>
      </c>
      <c r="E246" s="2" t="s">
        <v>913</v>
      </c>
      <c r="F246" s="2" t="s">
        <v>913</v>
      </c>
      <c r="G246" s="2" t="s">
        <v>913</v>
      </c>
      <c r="H246">
        <f>_xlfn.XLOOKUP(C246,'[1]بيانات الموظفين'!$B:$B,'[1]بيانات الموظفين'!$AV:$AV)</f>
        <v>0</v>
      </c>
    </row>
    <row r="247" spans="1:8" ht="19.95" customHeight="1" x14ac:dyDescent="0.3">
      <c r="A247" s="2" t="s">
        <v>610</v>
      </c>
      <c r="B247" s="2" t="s">
        <v>611</v>
      </c>
      <c r="C247" s="4">
        <v>2634191908</v>
      </c>
      <c r="D247" s="2" t="s">
        <v>385</v>
      </c>
      <c r="E247" s="2" t="s">
        <v>913</v>
      </c>
      <c r="F247" s="2" t="s">
        <v>913</v>
      </c>
      <c r="G247" s="2" t="s">
        <v>913</v>
      </c>
      <c r="H247">
        <f>_xlfn.XLOOKUP(C247,'[1]بيانات الموظفين'!$B:$B,'[1]بيانات الموظفين'!$AV:$AV)</f>
        <v>0</v>
      </c>
    </row>
    <row r="248" spans="1:8" ht="19.95" customHeight="1" x14ac:dyDescent="0.3">
      <c r="A248" s="3" t="s">
        <v>612</v>
      </c>
      <c r="B248" s="3" t="s">
        <v>613</v>
      </c>
      <c r="C248" s="5">
        <v>2635559079</v>
      </c>
      <c r="D248" s="3" t="s">
        <v>248</v>
      </c>
      <c r="E248" s="2" t="s">
        <v>913</v>
      </c>
      <c r="F248" s="2" t="s">
        <v>913</v>
      </c>
      <c r="G248" s="2" t="s">
        <v>913</v>
      </c>
      <c r="H248">
        <f>_xlfn.XLOOKUP(C248,'[1]بيانات الموظفين'!$B:$B,'[1]بيانات الموظفين'!$AV:$AV)</f>
        <v>0</v>
      </c>
    </row>
    <row r="249" spans="1:8" ht="19.95" customHeight="1" x14ac:dyDescent="0.3">
      <c r="A249" s="2" t="s">
        <v>614</v>
      </c>
      <c r="B249" s="2" t="s">
        <v>615</v>
      </c>
      <c r="C249" s="4">
        <v>2640028011</v>
      </c>
      <c r="D249" s="2" t="s">
        <v>382</v>
      </c>
      <c r="E249" s="2" t="s">
        <v>913</v>
      </c>
      <c r="F249" s="2" t="s">
        <v>913</v>
      </c>
      <c r="G249" s="2" t="s">
        <v>913</v>
      </c>
      <c r="H249">
        <f>_xlfn.XLOOKUP(C249,'[1]بيانات الموظفين'!$B:$B,'[1]بيانات الموظفين'!$AV:$AV)</f>
        <v>0</v>
      </c>
    </row>
    <row r="250" spans="1:8" ht="19.95" customHeight="1" x14ac:dyDescent="0.3">
      <c r="A250" s="3" t="s">
        <v>616</v>
      </c>
      <c r="B250" s="3" t="s">
        <v>617</v>
      </c>
      <c r="C250" s="5">
        <v>2536526490</v>
      </c>
      <c r="D250" s="3" t="s">
        <v>363</v>
      </c>
      <c r="E250" s="2" t="s">
        <v>913</v>
      </c>
      <c r="F250" s="2" t="s">
        <v>913</v>
      </c>
      <c r="G250" s="2" t="s">
        <v>913</v>
      </c>
      <c r="H250">
        <f>_xlfn.XLOOKUP(C250,'[1]بيانات الموظفين'!$B:$B,'[1]بيانات الموظفين'!$AV:$AV)</f>
        <v>0</v>
      </c>
    </row>
    <row r="251" spans="1:8" ht="19.95" customHeight="1" x14ac:dyDescent="0.3">
      <c r="A251" s="2" t="s">
        <v>618</v>
      </c>
      <c r="B251" s="2" t="s">
        <v>619</v>
      </c>
      <c r="C251" s="4">
        <v>2548466255</v>
      </c>
      <c r="D251" s="2" t="s">
        <v>248</v>
      </c>
      <c r="E251" s="2" t="s">
        <v>913</v>
      </c>
      <c r="F251" s="2" t="s">
        <v>913</v>
      </c>
      <c r="G251" s="2" t="s">
        <v>913</v>
      </c>
      <c r="H251">
        <f>_xlfn.XLOOKUP(C251,'[1]بيانات الموظفين'!$B:$B,'[1]بيانات الموظفين'!$AV:$AV)</f>
        <v>0</v>
      </c>
    </row>
    <row r="252" spans="1:8" ht="19.95" customHeight="1" x14ac:dyDescent="0.3">
      <c r="A252" s="3" t="s">
        <v>620</v>
      </c>
      <c r="B252" s="3" t="s">
        <v>621</v>
      </c>
      <c r="C252" s="5">
        <v>2553949161</v>
      </c>
      <c r="D252" s="3" t="s">
        <v>248</v>
      </c>
      <c r="E252" s="2" t="s">
        <v>913</v>
      </c>
      <c r="F252" s="2" t="s">
        <v>913</v>
      </c>
      <c r="G252" s="2" t="s">
        <v>913</v>
      </c>
      <c r="H252">
        <f>_xlfn.XLOOKUP(C252,'[1]بيانات الموظفين'!$B:$B,'[1]بيانات الموظفين'!$AV:$AV)</f>
        <v>0</v>
      </c>
    </row>
    <row r="253" spans="1:8" ht="19.95" customHeight="1" x14ac:dyDescent="0.3">
      <c r="A253" s="2" t="s">
        <v>622</v>
      </c>
      <c r="B253" s="2" t="s">
        <v>623</v>
      </c>
      <c r="C253" s="4">
        <v>2555616289</v>
      </c>
      <c r="D253" s="2" t="s">
        <v>248</v>
      </c>
      <c r="E253" s="2" t="s">
        <v>913</v>
      </c>
      <c r="F253" s="2" t="s">
        <v>913</v>
      </c>
      <c r="G253" s="2" t="s">
        <v>913</v>
      </c>
      <c r="H253">
        <f>_xlfn.XLOOKUP(C253,'[1]بيانات الموظفين'!$B:$B,'[1]بيانات الموظفين'!$AV:$AV)</f>
        <v>0</v>
      </c>
    </row>
    <row r="254" spans="1:8" ht="19.95" customHeight="1" x14ac:dyDescent="0.3">
      <c r="A254" s="3" t="s">
        <v>624</v>
      </c>
      <c r="B254" s="3" t="s">
        <v>625</v>
      </c>
      <c r="C254" s="5">
        <v>2555618202</v>
      </c>
      <c r="D254" s="3" t="s">
        <v>248</v>
      </c>
      <c r="E254" s="2" t="s">
        <v>913</v>
      </c>
      <c r="F254" s="2" t="s">
        <v>913</v>
      </c>
      <c r="G254" s="2" t="s">
        <v>913</v>
      </c>
      <c r="H254">
        <f>_xlfn.XLOOKUP(C254,'[1]بيانات الموظفين'!$B:$B,'[1]بيانات الموظفين'!$AV:$AV)</f>
        <v>0</v>
      </c>
    </row>
    <row r="255" spans="1:8" ht="19.95" customHeight="1" x14ac:dyDescent="0.3">
      <c r="A255" s="2" t="s">
        <v>626</v>
      </c>
      <c r="B255" s="2" t="s">
        <v>627</v>
      </c>
      <c r="C255" s="4">
        <v>2555618319</v>
      </c>
      <c r="D255" s="2" t="s">
        <v>248</v>
      </c>
      <c r="E255" s="2" t="s">
        <v>913</v>
      </c>
      <c r="F255" s="2" t="s">
        <v>913</v>
      </c>
      <c r="G255" s="2" t="s">
        <v>913</v>
      </c>
      <c r="H255">
        <f>_xlfn.XLOOKUP(C255,'[1]بيانات الموظفين'!$B:$B,'[1]بيانات الموظفين'!$AV:$AV)</f>
        <v>0</v>
      </c>
    </row>
    <row r="256" spans="1:8" ht="19.95" customHeight="1" x14ac:dyDescent="0.3">
      <c r="A256" s="3" t="s">
        <v>628</v>
      </c>
      <c r="B256" s="3" t="s">
        <v>629</v>
      </c>
      <c r="C256" s="5">
        <v>2555618350</v>
      </c>
      <c r="D256" s="3" t="s">
        <v>248</v>
      </c>
      <c r="E256" s="2" t="s">
        <v>913</v>
      </c>
      <c r="F256" s="2" t="s">
        <v>913</v>
      </c>
      <c r="G256" s="2" t="s">
        <v>913</v>
      </c>
      <c r="H256">
        <f>_xlfn.XLOOKUP(C256,'[1]بيانات الموظفين'!$B:$B,'[1]بيانات الموظفين'!$AV:$AV)</f>
        <v>0</v>
      </c>
    </row>
    <row r="257" spans="1:8" ht="19.95" customHeight="1" x14ac:dyDescent="0.3">
      <c r="A257" s="2" t="s">
        <v>630</v>
      </c>
      <c r="B257" s="2" t="s">
        <v>631</v>
      </c>
      <c r="C257" s="4">
        <v>2555618590</v>
      </c>
      <c r="D257" s="2" t="s">
        <v>248</v>
      </c>
      <c r="E257" s="2" t="s">
        <v>913</v>
      </c>
      <c r="F257" s="2" t="s">
        <v>913</v>
      </c>
      <c r="G257" s="2" t="s">
        <v>913</v>
      </c>
      <c r="H257">
        <f>_xlfn.XLOOKUP(C257,'[1]بيانات الموظفين'!$B:$B,'[1]بيانات الموظفين'!$AV:$AV)</f>
        <v>0</v>
      </c>
    </row>
    <row r="258" spans="1:8" ht="19.95" customHeight="1" x14ac:dyDescent="0.3">
      <c r="A258" s="3" t="s">
        <v>632</v>
      </c>
      <c r="B258" s="3" t="s">
        <v>633</v>
      </c>
      <c r="C258" s="5">
        <v>2557508864</v>
      </c>
      <c r="D258" s="3" t="s">
        <v>248</v>
      </c>
      <c r="E258" s="2" t="s">
        <v>913</v>
      </c>
      <c r="F258" s="2" t="s">
        <v>913</v>
      </c>
      <c r="G258" s="2" t="s">
        <v>913</v>
      </c>
      <c r="H258">
        <f>_xlfn.XLOOKUP(C258,'[1]بيانات الموظفين'!$B:$B,'[1]بيانات الموظفين'!$AV:$AV)</f>
        <v>0</v>
      </c>
    </row>
    <row r="259" spans="1:8" ht="19.95" customHeight="1" x14ac:dyDescent="0.3">
      <c r="A259" s="2" t="s">
        <v>634</v>
      </c>
      <c r="B259" s="2" t="s">
        <v>635</v>
      </c>
      <c r="C259" s="4">
        <v>2557509482</v>
      </c>
      <c r="D259" s="2" t="s">
        <v>248</v>
      </c>
      <c r="E259" s="2" t="s">
        <v>913</v>
      </c>
      <c r="F259" s="2" t="s">
        <v>913</v>
      </c>
      <c r="G259" s="2" t="s">
        <v>913</v>
      </c>
      <c r="H259">
        <f>_xlfn.XLOOKUP(C259,'[1]بيانات الموظفين'!$B:$B,'[1]بيانات الموظفين'!$AV:$AV)</f>
        <v>0</v>
      </c>
    </row>
    <row r="260" spans="1:8" ht="19.95" customHeight="1" x14ac:dyDescent="0.3">
      <c r="A260" s="3" t="s">
        <v>636</v>
      </c>
      <c r="B260" s="3" t="s">
        <v>637</v>
      </c>
      <c r="C260" s="5">
        <v>2558042285</v>
      </c>
      <c r="D260" s="3" t="s">
        <v>248</v>
      </c>
      <c r="E260" s="2" t="s">
        <v>913</v>
      </c>
      <c r="F260" s="2" t="s">
        <v>913</v>
      </c>
      <c r="G260" s="2" t="s">
        <v>913</v>
      </c>
      <c r="H260">
        <f>_xlfn.XLOOKUP(C260,'[1]بيانات الموظفين'!$B:$B,'[1]بيانات الموظفين'!$AV:$AV)</f>
        <v>0</v>
      </c>
    </row>
    <row r="261" spans="1:8" ht="19.95" customHeight="1" x14ac:dyDescent="0.3">
      <c r="A261" s="2" t="s">
        <v>638</v>
      </c>
      <c r="B261" s="2" t="s">
        <v>639</v>
      </c>
      <c r="C261" s="4">
        <v>2558653974</v>
      </c>
      <c r="D261" s="2" t="s">
        <v>382</v>
      </c>
      <c r="E261" s="2" t="s">
        <v>913</v>
      </c>
      <c r="F261" s="2" t="s">
        <v>913</v>
      </c>
      <c r="G261" s="2" t="s">
        <v>913</v>
      </c>
      <c r="H261">
        <f>_xlfn.XLOOKUP(C261,'[1]بيانات الموظفين'!$B:$B,'[1]بيانات الموظفين'!$AV:$AV)</f>
        <v>0</v>
      </c>
    </row>
    <row r="262" spans="1:8" ht="19.95" customHeight="1" x14ac:dyDescent="0.3">
      <c r="A262" s="3" t="s">
        <v>640</v>
      </c>
      <c r="B262" s="3" t="s">
        <v>641</v>
      </c>
      <c r="C262" s="5">
        <v>2559106857</v>
      </c>
      <c r="D262" s="3" t="s">
        <v>248</v>
      </c>
      <c r="E262" s="2" t="s">
        <v>913</v>
      </c>
      <c r="F262" s="2" t="s">
        <v>913</v>
      </c>
      <c r="G262" s="2" t="s">
        <v>913</v>
      </c>
      <c r="H262">
        <f>_xlfn.XLOOKUP(C262,'[1]بيانات الموظفين'!$B:$B,'[1]بيانات الموظفين'!$AV:$AV)</f>
        <v>0</v>
      </c>
    </row>
    <row r="263" spans="1:8" ht="19.95" customHeight="1" x14ac:dyDescent="0.3">
      <c r="A263" s="2" t="s">
        <v>642</v>
      </c>
      <c r="B263" s="2" t="s">
        <v>643</v>
      </c>
      <c r="C263" s="4">
        <v>2559108192</v>
      </c>
      <c r="D263" s="2" t="s">
        <v>248</v>
      </c>
      <c r="E263" s="2" t="s">
        <v>913</v>
      </c>
      <c r="F263" s="2" t="s">
        <v>913</v>
      </c>
      <c r="G263" s="2" t="s">
        <v>913</v>
      </c>
      <c r="H263">
        <f>_xlfn.XLOOKUP(C263,'[1]بيانات الموظفين'!$B:$B,'[1]بيانات الموظفين'!$AV:$AV)</f>
        <v>0</v>
      </c>
    </row>
    <row r="264" spans="1:8" ht="19.95" customHeight="1" x14ac:dyDescent="0.3">
      <c r="A264" s="3" t="s">
        <v>644</v>
      </c>
      <c r="B264" s="3" t="s">
        <v>645</v>
      </c>
      <c r="C264" s="5">
        <v>2559108622</v>
      </c>
      <c r="D264" s="3" t="s">
        <v>248</v>
      </c>
      <c r="E264" s="2" t="s">
        <v>913</v>
      </c>
      <c r="F264" s="2" t="s">
        <v>913</v>
      </c>
      <c r="G264" s="2" t="s">
        <v>913</v>
      </c>
      <c r="H264">
        <f>_xlfn.XLOOKUP(C264,'[1]بيانات الموظفين'!$B:$B,'[1]بيانات الموظفين'!$AV:$AV)</f>
        <v>0</v>
      </c>
    </row>
    <row r="265" spans="1:8" ht="19.95" customHeight="1" x14ac:dyDescent="0.3">
      <c r="A265" s="2" t="s">
        <v>646</v>
      </c>
      <c r="B265" s="2" t="s">
        <v>647</v>
      </c>
      <c r="C265" s="4">
        <v>2559186958</v>
      </c>
      <c r="D265" s="2" t="s">
        <v>9</v>
      </c>
      <c r="E265" s="2" t="s">
        <v>913</v>
      </c>
      <c r="F265" s="2" t="s">
        <v>913</v>
      </c>
      <c r="G265" s="2" t="s">
        <v>913</v>
      </c>
      <c r="H265">
        <f>_xlfn.XLOOKUP(C265,'[1]بيانات الموظفين'!$B:$B,'[1]بيانات الموظفين'!$AV:$AV)</f>
        <v>0</v>
      </c>
    </row>
    <row r="266" spans="1:8" ht="19.95" customHeight="1" x14ac:dyDescent="0.3">
      <c r="A266" s="3" t="s">
        <v>648</v>
      </c>
      <c r="B266" s="3" t="s">
        <v>649</v>
      </c>
      <c r="C266" s="5">
        <v>2559187386</v>
      </c>
      <c r="D266" s="3" t="s">
        <v>248</v>
      </c>
      <c r="E266" s="2" t="s">
        <v>913</v>
      </c>
      <c r="F266" s="2" t="s">
        <v>913</v>
      </c>
      <c r="G266" s="2" t="s">
        <v>913</v>
      </c>
      <c r="H266">
        <f>_xlfn.XLOOKUP(C266,'[1]بيانات الموظفين'!$B:$B,'[1]بيانات الموظفين'!$AV:$AV)</f>
        <v>0</v>
      </c>
    </row>
    <row r="267" spans="1:8" ht="19.95" customHeight="1" x14ac:dyDescent="0.3">
      <c r="A267" s="2" t="s">
        <v>650</v>
      </c>
      <c r="B267" s="2" t="s">
        <v>651</v>
      </c>
      <c r="C267" s="4">
        <v>2559187683</v>
      </c>
      <c r="D267" s="2" t="s">
        <v>248</v>
      </c>
      <c r="E267" s="2" t="s">
        <v>913</v>
      </c>
      <c r="F267" s="2" t="s">
        <v>913</v>
      </c>
      <c r="G267" s="2" t="s">
        <v>913</v>
      </c>
      <c r="H267">
        <f>_xlfn.XLOOKUP(C267,'[1]بيانات الموظفين'!$B:$B,'[1]بيانات الموظفين'!$AV:$AV)</f>
        <v>0</v>
      </c>
    </row>
    <row r="268" spans="1:8" ht="19.95" customHeight="1" x14ac:dyDescent="0.3">
      <c r="A268" s="3" t="s">
        <v>652</v>
      </c>
      <c r="B268" s="3" t="s">
        <v>653</v>
      </c>
      <c r="C268" s="5">
        <v>2559188558</v>
      </c>
      <c r="D268" s="3" t="s">
        <v>248</v>
      </c>
      <c r="E268" s="2" t="s">
        <v>913</v>
      </c>
      <c r="F268" s="2" t="s">
        <v>913</v>
      </c>
      <c r="G268" s="2" t="s">
        <v>913</v>
      </c>
      <c r="H268">
        <f>_xlfn.XLOOKUP(C268,'[1]بيانات الموظفين'!$B:$B,'[1]بيانات الموظفين'!$AV:$AV)</f>
        <v>0</v>
      </c>
    </row>
    <row r="269" spans="1:8" ht="19.95" customHeight="1" x14ac:dyDescent="0.3">
      <c r="A269" s="2" t="s">
        <v>654</v>
      </c>
      <c r="B269" s="2" t="s">
        <v>655</v>
      </c>
      <c r="C269" s="4">
        <v>2559189242</v>
      </c>
      <c r="D269" s="2" t="s">
        <v>248</v>
      </c>
      <c r="E269" s="2" t="s">
        <v>913</v>
      </c>
      <c r="F269" s="2" t="s">
        <v>913</v>
      </c>
      <c r="G269" s="2" t="s">
        <v>913</v>
      </c>
      <c r="H269">
        <f>_xlfn.XLOOKUP(C269,'[1]بيانات الموظفين'!$B:$B,'[1]بيانات الموظفين'!$AV:$AV)</f>
        <v>0</v>
      </c>
    </row>
    <row r="270" spans="1:8" ht="19.95" customHeight="1" x14ac:dyDescent="0.3">
      <c r="A270" s="3" t="s">
        <v>656</v>
      </c>
      <c r="B270" s="3" t="s">
        <v>657</v>
      </c>
      <c r="C270" s="5">
        <v>2560883809</v>
      </c>
      <c r="D270" s="3" t="s">
        <v>248</v>
      </c>
      <c r="E270" s="2" t="s">
        <v>913</v>
      </c>
      <c r="F270" s="2" t="s">
        <v>913</v>
      </c>
      <c r="G270" s="2" t="s">
        <v>913</v>
      </c>
      <c r="H270">
        <f>_xlfn.XLOOKUP(C270,'[1]بيانات الموظفين'!$B:$B,'[1]بيانات الموظفين'!$AV:$AV)</f>
        <v>0</v>
      </c>
    </row>
    <row r="271" spans="1:8" ht="19.95" customHeight="1" x14ac:dyDescent="0.3">
      <c r="A271" s="2" t="s">
        <v>658</v>
      </c>
      <c r="B271" s="2" t="s">
        <v>659</v>
      </c>
      <c r="C271" s="4">
        <v>2560885309</v>
      </c>
      <c r="D271" s="2" t="s">
        <v>248</v>
      </c>
      <c r="E271" s="2" t="s">
        <v>913</v>
      </c>
      <c r="F271" s="2" t="s">
        <v>913</v>
      </c>
      <c r="G271" s="2" t="s">
        <v>913</v>
      </c>
      <c r="H271">
        <f>_xlfn.XLOOKUP(C271,'[1]بيانات الموظفين'!$B:$B,'[1]بيانات الموظفين'!$AV:$AV)</f>
        <v>0</v>
      </c>
    </row>
    <row r="272" spans="1:8" ht="19.95" customHeight="1" x14ac:dyDescent="0.3">
      <c r="A272" s="3" t="s">
        <v>660</v>
      </c>
      <c r="B272" s="3" t="s">
        <v>661</v>
      </c>
      <c r="C272" s="5">
        <v>2561610649</v>
      </c>
      <c r="D272" s="3" t="s">
        <v>363</v>
      </c>
      <c r="E272" s="2" t="s">
        <v>913</v>
      </c>
      <c r="F272" s="2" t="s">
        <v>913</v>
      </c>
      <c r="G272" s="2" t="s">
        <v>913</v>
      </c>
      <c r="H272">
        <f>_xlfn.XLOOKUP(C272,'[1]بيانات الموظفين'!$B:$B,'[1]بيانات الموظفين'!$AV:$AV)</f>
        <v>0</v>
      </c>
    </row>
    <row r="273" spans="1:8" ht="19.95" customHeight="1" x14ac:dyDescent="0.3">
      <c r="A273" s="2" t="s">
        <v>662</v>
      </c>
      <c r="B273" s="2" t="s">
        <v>663</v>
      </c>
      <c r="C273" s="4">
        <v>2562201877</v>
      </c>
      <c r="D273" s="2" t="s">
        <v>248</v>
      </c>
      <c r="E273" s="2" t="s">
        <v>913</v>
      </c>
      <c r="F273" s="2" t="s">
        <v>913</v>
      </c>
      <c r="G273" s="2" t="s">
        <v>913</v>
      </c>
      <c r="H273">
        <f>_xlfn.XLOOKUP(C273,'[1]بيانات الموظفين'!$B:$B,'[1]بيانات الموظفين'!$AV:$AV)</f>
        <v>0</v>
      </c>
    </row>
    <row r="274" spans="1:8" ht="19.95" customHeight="1" x14ac:dyDescent="0.3">
      <c r="A274" s="3" t="s">
        <v>664</v>
      </c>
      <c r="B274" s="3" t="s">
        <v>665</v>
      </c>
      <c r="C274" s="5">
        <v>2562203667</v>
      </c>
      <c r="D274" s="3" t="s">
        <v>363</v>
      </c>
      <c r="E274" s="2" t="s">
        <v>913</v>
      </c>
      <c r="F274" s="2" t="s">
        <v>913</v>
      </c>
      <c r="G274" s="2" t="s">
        <v>913</v>
      </c>
      <c r="H274">
        <f>_xlfn.XLOOKUP(C274,'[1]بيانات الموظفين'!$B:$B,'[1]بيانات الموظفين'!$AV:$AV)</f>
        <v>0</v>
      </c>
    </row>
    <row r="275" spans="1:8" ht="19.95" customHeight="1" x14ac:dyDescent="0.3">
      <c r="A275" s="2" t="s">
        <v>666</v>
      </c>
      <c r="B275" s="2" t="s">
        <v>667</v>
      </c>
      <c r="C275" s="4">
        <v>2562203923</v>
      </c>
      <c r="D275" s="2" t="s">
        <v>248</v>
      </c>
      <c r="E275" s="2" t="s">
        <v>913</v>
      </c>
      <c r="F275" s="2" t="s">
        <v>913</v>
      </c>
      <c r="G275" s="2" t="s">
        <v>913</v>
      </c>
      <c r="H275">
        <f>_xlfn.XLOOKUP(C275,'[1]بيانات الموظفين'!$B:$B,'[1]بيانات الموظفين'!$AV:$AV)</f>
        <v>0</v>
      </c>
    </row>
    <row r="276" spans="1:8" ht="19.95" customHeight="1" x14ac:dyDescent="0.3">
      <c r="A276" s="3" t="s">
        <v>668</v>
      </c>
      <c r="B276" s="3" t="s">
        <v>669</v>
      </c>
      <c r="C276" s="5">
        <v>2562204152</v>
      </c>
      <c r="D276" s="3" t="s">
        <v>248</v>
      </c>
      <c r="E276" s="2" t="s">
        <v>913</v>
      </c>
      <c r="F276" s="2" t="s">
        <v>913</v>
      </c>
      <c r="G276" s="2" t="s">
        <v>913</v>
      </c>
      <c r="H276">
        <f>_xlfn.XLOOKUP(C276,'[1]بيانات الموظفين'!$B:$B,'[1]بيانات الموظفين'!$AV:$AV)</f>
        <v>0</v>
      </c>
    </row>
    <row r="277" spans="1:8" ht="19.95" customHeight="1" x14ac:dyDescent="0.3">
      <c r="A277" s="2" t="s">
        <v>670</v>
      </c>
      <c r="B277" s="2" t="s">
        <v>671</v>
      </c>
      <c r="C277" s="4">
        <v>2562204244</v>
      </c>
      <c r="D277" s="2" t="s">
        <v>248</v>
      </c>
      <c r="E277" s="2" t="s">
        <v>913</v>
      </c>
      <c r="F277" s="2" t="s">
        <v>913</v>
      </c>
      <c r="G277" s="2" t="s">
        <v>913</v>
      </c>
      <c r="H277">
        <f>_xlfn.XLOOKUP(C277,'[1]بيانات الموظفين'!$B:$B,'[1]بيانات الموظفين'!$AV:$AV)</f>
        <v>0</v>
      </c>
    </row>
    <row r="278" spans="1:8" ht="19.95" customHeight="1" x14ac:dyDescent="0.3">
      <c r="A278" s="3" t="s">
        <v>672</v>
      </c>
      <c r="B278" s="3" t="s">
        <v>673</v>
      </c>
      <c r="C278" s="5">
        <v>2562204699</v>
      </c>
      <c r="D278" s="3" t="s">
        <v>248</v>
      </c>
      <c r="E278" s="2" t="s">
        <v>913</v>
      </c>
      <c r="F278" s="2" t="s">
        <v>913</v>
      </c>
      <c r="G278" s="2" t="s">
        <v>913</v>
      </c>
      <c r="H278">
        <f>_xlfn.XLOOKUP(C278,'[1]بيانات الموظفين'!$B:$B,'[1]بيانات الموظفين'!$AV:$AV)</f>
        <v>0</v>
      </c>
    </row>
    <row r="279" spans="1:8" ht="19.95" customHeight="1" x14ac:dyDescent="0.3">
      <c r="A279" s="2" t="s">
        <v>674</v>
      </c>
      <c r="B279" s="2" t="s">
        <v>675</v>
      </c>
      <c r="C279" s="4">
        <v>2562205357</v>
      </c>
      <c r="D279" s="2" t="s">
        <v>248</v>
      </c>
      <c r="E279" s="2" t="s">
        <v>913</v>
      </c>
      <c r="F279" s="2" t="s">
        <v>913</v>
      </c>
      <c r="G279" s="2" t="s">
        <v>913</v>
      </c>
      <c r="H279">
        <f>_xlfn.XLOOKUP(C279,'[1]بيانات الموظفين'!$B:$B,'[1]بيانات الموظفين'!$AV:$AV)</f>
        <v>0</v>
      </c>
    </row>
    <row r="280" spans="1:8" ht="19.95" customHeight="1" x14ac:dyDescent="0.3">
      <c r="A280" s="3" t="s">
        <v>676</v>
      </c>
      <c r="B280" s="3" t="s">
        <v>677</v>
      </c>
      <c r="C280" s="5">
        <v>2562205845</v>
      </c>
      <c r="D280" s="3" t="s">
        <v>248</v>
      </c>
      <c r="E280" s="2" t="s">
        <v>913</v>
      </c>
      <c r="F280" s="2" t="s">
        <v>913</v>
      </c>
      <c r="G280" s="2" t="s">
        <v>913</v>
      </c>
      <c r="H280">
        <f>_xlfn.XLOOKUP(C280,'[1]بيانات الموظفين'!$B:$B,'[1]بيانات الموظفين'!$AV:$AV)</f>
        <v>0</v>
      </c>
    </row>
    <row r="281" spans="1:8" ht="19.95" customHeight="1" x14ac:dyDescent="0.3">
      <c r="A281" s="2" t="s">
        <v>678</v>
      </c>
      <c r="B281" s="2" t="s">
        <v>679</v>
      </c>
      <c r="C281" s="4">
        <v>2562666103</v>
      </c>
      <c r="D281" s="2" t="s">
        <v>248</v>
      </c>
      <c r="E281" s="2" t="s">
        <v>913</v>
      </c>
      <c r="F281" s="2" t="s">
        <v>913</v>
      </c>
      <c r="G281" s="2" t="s">
        <v>913</v>
      </c>
      <c r="H281">
        <f>_xlfn.XLOOKUP(C281,'[1]بيانات الموظفين'!$B:$B,'[1]بيانات الموظفين'!$AV:$AV)</f>
        <v>0</v>
      </c>
    </row>
    <row r="282" spans="1:8" ht="19.95" customHeight="1" x14ac:dyDescent="0.3">
      <c r="A282" s="3" t="s">
        <v>680</v>
      </c>
      <c r="B282" s="3" t="s">
        <v>681</v>
      </c>
      <c r="C282" s="5">
        <v>2562666756</v>
      </c>
      <c r="D282" s="3" t="s">
        <v>248</v>
      </c>
      <c r="E282" s="2" t="s">
        <v>913</v>
      </c>
      <c r="F282" s="2" t="s">
        <v>913</v>
      </c>
      <c r="G282" s="2" t="s">
        <v>913</v>
      </c>
      <c r="H282">
        <f>_xlfn.XLOOKUP(C282,'[1]بيانات الموظفين'!$B:$B,'[1]بيانات الموظفين'!$AV:$AV)</f>
        <v>0</v>
      </c>
    </row>
    <row r="283" spans="1:8" ht="19.95" customHeight="1" x14ac:dyDescent="0.3">
      <c r="A283" s="2" t="s">
        <v>682</v>
      </c>
      <c r="B283" s="2" t="s">
        <v>683</v>
      </c>
      <c r="C283" s="4">
        <v>2562667341</v>
      </c>
      <c r="D283" s="2" t="s">
        <v>248</v>
      </c>
      <c r="E283" s="2" t="s">
        <v>913</v>
      </c>
      <c r="F283" s="2" t="s">
        <v>913</v>
      </c>
      <c r="G283" s="2" t="s">
        <v>913</v>
      </c>
      <c r="H283">
        <f>_xlfn.XLOOKUP(C283,'[1]بيانات الموظفين'!$B:$B,'[1]بيانات الموظفين'!$AV:$AV)</f>
        <v>0</v>
      </c>
    </row>
    <row r="284" spans="1:8" ht="19.95" customHeight="1" x14ac:dyDescent="0.3">
      <c r="A284" s="3" t="s">
        <v>684</v>
      </c>
      <c r="B284" s="3" t="s">
        <v>685</v>
      </c>
      <c r="C284" s="5">
        <v>2566741944</v>
      </c>
      <c r="D284" s="3" t="s">
        <v>248</v>
      </c>
      <c r="E284" s="2" t="s">
        <v>913</v>
      </c>
      <c r="F284" s="2" t="s">
        <v>913</v>
      </c>
      <c r="G284" s="2" t="s">
        <v>913</v>
      </c>
      <c r="H284">
        <f>_xlfn.XLOOKUP(C284,'[1]بيانات الموظفين'!$B:$B,'[1]بيانات الموظفين'!$AV:$AV)</f>
        <v>0</v>
      </c>
    </row>
    <row r="285" spans="1:8" ht="19.95" customHeight="1" x14ac:dyDescent="0.3">
      <c r="A285" s="2" t="s">
        <v>686</v>
      </c>
      <c r="B285" s="2" t="s">
        <v>687</v>
      </c>
      <c r="C285" s="4">
        <v>2566744484</v>
      </c>
      <c r="D285" s="2" t="s">
        <v>248</v>
      </c>
      <c r="E285" s="2" t="s">
        <v>913</v>
      </c>
      <c r="F285" s="2" t="s">
        <v>913</v>
      </c>
      <c r="G285" s="2" t="s">
        <v>913</v>
      </c>
      <c r="H285">
        <f>_xlfn.XLOOKUP(C285,'[1]بيانات الموظفين'!$B:$B,'[1]بيانات الموظفين'!$AV:$AV)</f>
        <v>0</v>
      </c>
    </row>
    <row r="286" spans="1:8" ht="19.95" customHeight="1" x14ac:dyDescent="0.3">
      <c r="A286" s="3" t="s">
        <v>688</v>
      </c>
      <c r="B286" s="3" t="s">
        <v>689</v>
      </c>
      <c r="C286" s="5">
        <v>2567988858</v>
      </c>
      <c r="D286" s="3" t="s">
        <v>248</v>
      </c>
      <c r="E286" s="2" t="s">
        <v>913</v>
      </c>
      <c r="F286" s="2" t="s">
        <v>913</v>
      </c>
      <c r="G286" s="2" t="s">
        <v>913</v>
      </c>
      <c r="H286">
        <f>_xlfn.XLOOKUP(C286,'[1]بيانات الموظفين'!$B:$B,'[1]بيانات الموظفين'!$AV:$AV)</f>
        <v>0</v>
      </c>
    </row>
    <row r="287" spans="1:8" ht="19.95" customHeight="1" x14ac:dyDescent="0.3">
      <c r="A287" s="2" t="s">
        <v>690</v>
      </c>
      <c r="B287" s="2" t="s">
        <v>691</v>
      </c>
      <c r="C287" s="4">
        <v>2567989229</v>
      </c>
      <c r="D287" s="2" t="s">
        <v>248</v>
      </c>
      <c r="E287" s="2" t="s">
        <v>913</v>
      </c>
      <c r="F287" s="2" t="s">
        <v>913</v>
      </c>
      <c r="G287" s="2" t="s">
        <v>913</v>
      </c>
      <c r="H287">
        <f>_xlfn.XLOOKUP(C287,'[1]بيانات الموظفين'!$B:$B,'[1]بيانات الموظفين'!$AV:$AV)</f>
        <v>0</v>
      </c>
    </row>
    <row r="288" spans="1:8" ht="19.95" customHeight="1" x14ac:dyDescent="0.3">
      <c r="A288" s="3" t="s">
        <v>692</v>
      </c>
      <c r="B288" s="3" t="s">
        <v>693</v>
      </c>
      <c r="C288" s="5">
        <v>2567991191</v>
      </c>
      <c r="D288" s="3" t="s">
        <v>248</v>
      </c>
      <c r="E288" s="2" t="s">
        <v>913</v>
      </c>
      <c r="F288" s="2" t="s">
        <v>913</v>
      </c>
      <c r="G288" s="2" t="s">
        <v>913</v>
      </c>
      <c r="H288">
        <f>_xlfn.XLOOKUP(C288,'[1]بيانات الموظفين'!$B:$B,'[1]بيانات الموظفين'!$AV:$AV)</f>
        <v>0</v>
      </c>
    </row>
    <row r="289" spans="1:8" ht="19.95" customHeight="1" x14ac:dyDescent="0.3">
      <c r="A289" s="2" t="s">
        <v>694</v>
      </c>
      <c r="B289" s="2" t="s">
        <v>695</v>
      </c>
      <c r="C289" s="4">
        <v>2570718409</v>
      </c>
      <c r="D289" s="2" t="s">
        <v>248</v>
      </c>
      <c r="E289" s="2" t="s">
        <v>913</v>
      </c>
      <c r="F289" s="2" t="s">
        <v>913</v>
      </c>
      <c r="G289" s="2" t="s">
        <v>913</v>
      </c>
      <c r="H289">
        <f>_xlfn.XLOOKUP(C289,'[1]بيانات الموظفين'!$B:$B,'[1]بيانات الموظفين'!$AV:$AV)</f>
        <v>0</v>
      </c>
    </row>
    <row r="290" spans="1:8" ht="19.95" customHeight="1" x14ac:dyDescent="0.3">
      <c r="A290" s="3" t="s">
        <v>696</v>
      </c>
      <c r="B290" s="3" t="s">
        <v>697</v>
      </c>
      <c r="C290" s="5">
        <v>2570718912</v>
      </c>
      <c r="D290" s="3" t="s">
        <v>248</v>
      </c>
      <c r="E290" s="2" t="s">
        <v>913</v>
      </c>
      <c r="F290" s="2" t="s">
        <v>913</v>
      </c>
      <c r="G290" s="2" t="s">
        <v>913</v>
      </c>
      <c r="H290">
        <f>_xlfn.XLOOKUP(C290,'[1]بيانات الموظفين'!$B:$B,'[1]بيانات الموظفين'!$AV:$AV)</f>
        <v>0</v>
      </c>
    </row>
    <row r="291" spans="1:8" ht="19.95" customHeight="1" x14ac:dyDescent="0.3">
      <c r="A291" s="2" t="s">
        <v>698</v>
      </c>
      <c r="B291" s="2" t="s">
        <v>699</v>
      </c>
      <c r="C291" s="4">
        <v>2571944855</v>
      </c>
      <c r="D291" s="2" t="s">
        <v>363</v>
      </c>
      <c r="E291" s="2" t="s">
        <v>913</v>
      </c>
      <c r="F291" s="2" t="s">
        <v>913</v>
      </c>
      <c r="G291" s="2" t="s">
        <v>913</v>
      </c>
      <c r="H291">
        <f>_xlfn.XLOOKUP(C291,'[1]بيانات الموظفين'!$B:$B,'[1]بيانات الموظفين'!$AV:$AV)</f>
        <v>0</v>
      </c>
    </row>
    <row r="292" spans="1:8" ht="19.95" customHeight="1" x14ac:dyDescent="0.3">
      <c r="A292" s="3" t="s">
        <v>700</v>
      </c>
      <c r="B292" s="3" t="s">
        <v>701</v>
      </c>
      <c r="C292" s="5">
        <v>2583315540</v>
      </c>
      <c r="D292" s="3" t="s">
        <v>248</v>
      </c>
      <c r="E292" s="2" t="s">
        <v>913</v>
      </c>
      <c r="F292" s="2" t="s">
        <v>913</v>
      </c>
      <c r="G292" s="2" t="s">
        <v>913</v>
      </c>
      <c r="H292">
        <f>_xlfn.XLOOKUP(C292,'[1]بيانات الموظفين'!$B:$B,'[1]بيانات الموظفين'!$AV:$AV)</f>
        <v>0</v>
      </c>
    </row>
    <row r="293" spans="1:8" ht="19.95" customHeight="1" x14ac:dyDescent="0.3">
      <c r="A293" s="2" t="s">
        <v>702</v>
      </c>
      <c r="B293" s="2" t="s">
        <v>703</v>
      </c>
      <c r="C293" s="4">
        <v>2586837763</v>
      </c>
      <c r="D293" s="2" t="s">
        <v>248</v>
      </c>
      <c r="E293" s="2" t="s">
        <v>913</v>
      </c>
      <c r="F293" s="2" t="s">
        <v>913</v>
      </c>
      <c r="G293" s="2" t="s">
        <v>913</v>
      </c>
      <c r="H293">
        <f>_xlfn.XLOOKUP(C293,'[1]بيانات الموظفين'!$B:$B,'[1]بيانات الموظفين'!$AV:$AV)</f>
        <v>0</v>
      </c>
    </row>
    <row r="294" spans="1:8" ht="19.95" customHeight="1" x14ac:dyDescent="0.3">
      <c r="A294" s="3" t="s">
        <v>704</v>
      </c>
      <c r="B294" s="3" t="s">
        <v>705</v>
      </c>
      <c r="C294" s="5">
        <v>2586837904</v>
      </c>
      <c r="D294" s="3" t="s">
        <v>248</v>
      </c>
      <c r="E294" s="2" t="s">
        <v>913</v>
      </c>
      <c r="F294" s="2" t="s">
        <v>913</v>
      </c>
      <c r="G294" s="2" t="s">
        <v>913</v>
      </c>
      <c r="H294">
        <f>_xlfn.XLOOKUP(C294,'[1]بيانات الموظفين'!$B:$B,'[1]بيانات الموظفين'!$AV:$AV)</f>
        <v>0</v>
      </c>
    </row>
    <row r="295" spans="1:8" ht="19.95" customHeight="1" x14ac:dyDescent="0.3">
      <c r="A295" s="2" t="s">
        <v>706</v>
      </c>
      <c r="B295" s="2" t="s">
        <v>707</v>
      </c>
      <c r="C295" s="4">
        <v>2587455748</v>
      </c>
      <c r="D295" s="2" t="s">
        <v>248</v>
      </c>
      <c r="E295" s="2" t="s">
        <v>913</v>
      </c>
      <c r="F295" s="2" t="s">
        <v>913</v>
      </c>
      <c r="G295" s="2" t="s">
        <v>913</v>
      </c>
      <c r="H295">
        <f>_xlfn.XLOOKUP(C295,'[1]بيانات الموظفين'!$B:$B,'[1]بيانات الموظفين'!$AV:$AV)</f>
        <v>0</v>
      </c>
    </row>
    <row r="296" spans="1:8" ht="19.95" customHeight="1" x14ac:dyDescent="0.3">
      <c r="A296" s="3" t="s">
        <v>708</v>
      </c>
      <c r="B296" s="3" t="s">
        <v>709</v>
      </c>
      <c r="C296" s="5">
        <v>2587455821</v>
      </c>
      <c r="D296" s="3" t="s">
        <v>248</v>
      </c>
      <c r="E296" s="2" t="s">
        <v>913</v>
      </c>
      <c r="F296" s="2" t="s">
        <v>913</v>
      </c>
      <c r="G296" s="2" t="s">
        <v>913</v>
      </c>
      <c r="H296">
        <f>_xlfn.XLOOKUP(C296,'[1]بيانات الموظفين'!$B:$B,'[1]بيانات الموظفين'!$AV:$AV)</f>
        <v>0</v>
      </c>
    </row>
    <row r="297" spans="1:8" ht="19.95" customHeight="1" x14ac:dyDescent="0.3">
      <c r="A297" s="2" t="s">
        <v>710</v>
      </c>
      <c r="B297" s="2" t="s">
        <v>711</v>
      </c>
      <c r="C297" s="4">
        <v>2587455912</v>
      </c>
      <c r="D297" s="2" t="s">
        <v>248</v>
      </c>
      <c r="E297" s="2" t="s">
        <v>913</v>
      </c>
      <c r="F297" s="2" t="s">
        <v>913</v>
      </c>
      <c r="G297" s="2" t="s">
        <v>913</v>
      </c>
      <c r="H297">
        <f>_xlfn.XLOOKUP(C297,'[1]بيانات الموظفين'!$B:$B,'[1]بيانات الموظفين'!$AV:$AV)</f>
        <v>0</v>
      </c>
    </row>
    <row r="298" spans="1:8" ht="19.95" customHeight="1" x14ac:dyDescent="0.3">
      <c r="A298" s="3" t="s">
        <v>712</v>
      </c>
      <c r="B298" s="3" t="s">
        <v>713</v>
      </c>
      <c r="C298" s="5">
        <v>2587456050</v>
      </c>
      <c r="D298" s="3" t="s">
        <v>382</v>
      </c>
      <c r="E298" s="2" t="s">
        <v>913</v>
      </c>
      <c r="F298" s="2" t="s">
        <v>913</v>
      </c>
      <c r="G298" s="2" t="s">
        <v>913</v>
      </c>
      <c r="H298">
        <f>_xlfn.XLOOKUP(C298,'[1]بيانات الموظفين'!$B:$B,'[1]بيانات الموظفين'!$AV:$AV)</f>
        <v>0</v>
      </c>
    </row>
    <row r="299" spans="1:8" ht="19.95" customHeight="1" x14ac:dyDescent="0.3">
      <c r="A299" s="2" t="s">
        <v>714</v>
      </c>
      <c r="B299" s="2" t="s">
        <v>715</v>
      </c>
      <c r="C299" s="4">
        <v>1032535948</v>
      </c>
      <c r="D299" s="2" t="s">
        <v>716</v>
      </c>
      <c r="E299" s="2" t="s">
        <v>913</v>
      </c>
      <c r="F299" s="2" t="s">
        <v>913</v>
      </c>
      <c r="G299" s="2" t="s">
        <v>913</v>
      </c>
      <c r="H299" t="e">
        <f>_xlfn.XLOOKUP(C299,'[1]بيانات الموظفين'!$B:$B,'[1]بيانات الموظفين'!$AV:$AV)</f>
        <v>#N/A</v>
      </c>
    </row>
    <row r="300" spans="1:8" ht="19.95" customHeight="1" x14ac:dyDescent="0.3">
      <c r="A300" s="3" t="s">
        <v>717</v>
      </c>
      <c r="B300" s="3" t="s">
        <v>718</v>
      </c>
      <c r="C300" s="5">
        <v>1016501163</v>
      </c>
      <c r="D300" s="3" t="s">
        <v>513</v>
      </c>
      <c r="E300" s="2" t="s">
        <v>913</v>
      </c>
      <c r="F300" s="2" t="s">
        <v>913</v>
      </c>
      <c r="G300" s="2" t="s">
        <v>913</v>
      </c>
      <c r="H300">
        <f>_xlfn.XLOOKUP(C300,'[1]بيانات الموظفين'!$B:$B,'[1]بيانات الموظفين'!$AV:$AV)</f>
        <v>0</v>
      </c>
    </row>
    <row r="301" spans="1:8" ht="19.95" customHeight="1" x14ac:dyDescent="0.3">
      <c r="A301" s="2" t="s">
        <v>719</v>
      </c>
      <c r="B301" s="2" t="s">
        <v>720</v>
      </c>
      <c r="C301" s="4">
        <v>2337919969</v>
      </c>
      <c r="D301" s="2" t="s">
        <v>721</v>
      </c>
      <c r="E301" s="2" t="s">
        <v>913</v>
      </c>
      <c r="F301" s="2" t="s">
        <v>913</v>
      </c>
      <c r="G301" s="2" t="s">
        <v>913</v>
      </c>
      <c r="H301">
        <f>_xlfn.XLOOKUP(C301,'[1]بيانات الموظفين'!$B:$B,'[1]بيانات الموظفين'!$AV:$AV)</f>
        <v>0</v>
      </c>
    </row>
    <row r="302" spans="1:8" ht="19.95" customHeight="1" x14ac:dyDescent="0.3">
      <c r="A302" s="3" t="s">
        <v>722</v>
      </c>
      <c r="B302" s="3" t="s">
        <v>723</v>
      </c>
      <c r="C302" s="5">
        <v>1045660790</v>
      </c>
      <c r="D302" s="3" t="s">
        <v>724</v>
      </c>
      <c r="E302" s="2" t="s">
        <v>913</v>
      </c>
      <c r="F302" s="2" t="s">
        <v>913</v>
      </c>
      <c r="G302" s="2" t="s">
        <v>913</v>
      </c>
      <c r="H302">
        <f>_xlfn.XLOOKUP(C302,'[1]بيانات الموظفين'!$B:$B,'[1]بيانات الموظفين'!$AV:$AV)</f>
        <v>0</v>
      </c>
    </row>
    <row r="303" spans="1:8" ht="19.95" customHeight="1" x14ac:dyDescent="0.3">
      <c r="A303" s="2" t="s">
        <v>725</v>
      </c>
      <c r="B303" s="2" t="s">
        <v>726</v>
      </c>
      <c r="C303" s="4">
        <v>1050827466</v>
      </c>
      <c r="D303" s="2" t="s">
        <v>727</v>
      </c>
      <c r="E303" s="2" t="s">
        <v>913</v>
      </c>
      <c r="F303" s="2" t="s">
        <v>913</v>
      </c>
      <c r="G303" s="2" t="s">
        <v>913</v>
      </c>
      <c r="H303">
        <f>_xlfn.XLOOKUP(C303,'[1]بيانات الموظفين'!$B:$B,'[1]بيانات الموظفين'!$AV:$AV)</f>
        <v>0</v>
      </c>
    </row>
    <row r="304" spans="1:8" ht="19.95" customHeight="1" x14ac:dyDescent="0.3">
      <c r="A304" s="3" t="s">
        <v>728</v>
      </c>
      <c r="B304" s="3" t="s">
        <v>729</v>
      </c>
      <c r="C304" s="5">
        <v>1026145233</v>
      </c>
      <c r="D304" s="3" t="s">
        <v>716</v>
      </c>
      <c r="E304" s="2" t="s">
        <v>913</v>
      </c>
      <c r="F304" s="2" t="s">
        <v>913</v>
      </c>
      <c r="G304" s="2" t="s">
        <v>913</v>
      </c>
      <c r="H304" t="e">
        <f>_xlfn.XLOOKUP(C304,'[1]بيانات الموظفين'!$B:$B,'[1]بيانات الموظفين'!$AV:$AV)</f>
        <v>#N/A</v>
      </c>
    </row>
    <row r="305" spans="1:8" ht="19.95" customHeight="1" x14ac:dyDescent="0.3">
      <c r="A305" s="2" t="s">
        <v>730</v>
      </c>
      <c r="B305" s="2" t="s">
        <v>731</v>
      </c>
      <c r="C305" s="4">
        <v>1075049211</v>
      </c>
      <c r="D305" s="2" t="s">
        <v>716</v>
      </c>
      <c r="E305" s="2" t="s">
        <v>913</v>
      </c>
      <c r="F305" s="2" t="s">
        <v>913</v>
      </c>
      <c r="G305" s="2" t="s">
        <v>913</v>
      </c>
      <c r="H305" t="e">
        <f>_xlfn.XLOOKUP(C305,'[1]بيانات الموظفين'!$B:$B,'[1]بيانات الموظفين'!$AV:$AV)</f>
        <v>#N/A</v>
      </c>
    </row>
    <row r="306" spans="1:8" ht="19.95" customHeight="1" x14ac:dyDescent="0.3">
      <c r="A306" s="3" t="s">
        <v>732</v>
      </c>
      <c r="B306" s="3" t="s">
        <v>733</v>
      </c>
      <c r="C306" s="5">
        <v>1036441911</v>
      </c>
      <c r="D306" s="3" t="s">
        <v>727</v>
      </c>
      <c r="E306" s="2" t="s">
        <v>913</v>
      </c>
      <c r="F306" s="2" t="s">
        <v>913</v>
      </c>
      <c r="G306" s="2" t="s">
        <v>913</v>
      </c>
      <c r="H306">
        <f>_xlfn.XLOOKUP(C306,'[1]بيانات الموظفين'!$B:$B,'[1]بيانات الموظفين'!$AV:$AV)</f>
        <v>0</v>
      </c>
    </row>
    <row r="307" spans="1:8" ht="19.95" customHeight="1" x14ac:dyDescent="0.3">
      <c r="A307" s="2" t="s">
        <v>734</v>
      </c>
      <c r="B307" s="2" t="s">
        <v>735</v>
      </c>
      <c r="C307" s="4">
        <v>1074048974</v>
      </c>
      <c r="D307" s="2" t="s">
        <v>727</v>
      </c>
      <c r="E307" s="2" t="s">
        <v>913</v>
      </c>
      <c r="F307" s="2" t="s">
        <v>913</v>
      </c>
      <c r="G307" s="2" t="s">
        <v>913</v>
      </c>
      <c r="H307">
        <f>_xlfn.XLOOKUP(C307,'[1]بيانات الموظفين'!$B:$B,'[1]بيانات الموظفين'!$AV:$AV)</f>
        <v>0</v>
      </c>
    </row>
    <row r="308" spans="1:8" ht="19.95" customHeight="1" x14ac:dyDescent="0.3">
      <c r="A308" s="3" t="s">
        <v>736</v>
      </c>
      <c r="B308" s="3" t="s">
        <v>737</v>
      </c>
      <c r="C308" s="5">
        <v>1040107110</v>
      </c>
      <c r="D308" s="3" t="s">
        <v>727</v>
      </c>
      <c r="E308" s="2" t="s">
        <v>913</v>
      </c>
      <c r="F308" s="2" t="s">
        <v>913</v>
      </c>
      <c r="G308" s="2" t="s">
        <v>913</v>
      </c>
      <c r="H308">
        <f>_xlfn.XLOOKUP(C308,'[1]بيانات الموظفين'!$B:$B,'[1]بيانات الموظفين'!$AV:$AV)</f>
        <v>0</v>
      </c>
    </row>
    <row r="309" spans="1:8" ht="19.95" customHeight="1" x14ac:dyDescent="0.3">
      <c r="A309" s="2" t="s">
        <v>738</v>
      </c>
      <c r="B309" s="2" t="s">
        <v>739</v>
      </c>
      <c r="C309" s="4">
        <v>1076229556</v>
      </c>
      <c r="D309" s="2" t="s">
        <v>716</v>
      </c>
      <c r="E309" s="2" t="s">
        <v>913</v>
      </c>
      <c r="F309" s="2" t="s">
        <v>913</v>
      </c>
      <c r="G309" s="2" t="s">
        <v>913</v>
      </c>
      <c r="H309" t="e">
        <f>_xlfn.XLOOKUP(C309,'[1]بيانات الموظفين'!$B:$B,'[1]بيانات الموظفين'!$AV:$AV)</f>
        <v>#N/A</v>
      </c>
    </row>
    <row r="310" spans="1:8" ht="19.95" customHeight="1" x14ac:dyDescent="0.3">
      <c r="A310" s="3" t="s">
        <v>740</v>
      </c>
      <c r="B310" s="3" t="s">
        <v>741</v>
      </c>
      <c r="C310" s="5">
        <v>1076076809</v>
      </c>
      <c r="D310" s="3" t="s">
        <v>716</v>
      </c>
      <c r="E310" s="2" t="s">
        <v>913</v>
      </c>
      <c r="F310" s="2" t="s">
        <v>913</v>
      </c>
      <c r="G310" s="2" t="s">
        <v>913</v>
      </c>
      <c r="H310" t="e">
        <f>_xlfn.XLOOKUP(C310,'[1]بيانات الموظفين'!$B:$B,'[1]بيانات الموظفين'!$AV:$AV)</f>
        <v>#N/A</v>
      </c>
    </row>
    <row r="311" spans="1:8" ht="19.95" customHeight="1" x14ac:dyDescent="0.3">
      <c r="A311" s="2" t="s">
        <v>742</v>
      </c>
      <c r="B311" s="2" t="s">
        <v>743</v>
      </c>
      <c r="C311" s="4">
        <v>1113368953</v>
      </c>
      <c r="D311" s="2" t="s">
        <v>382</v>
      </c>
      <c r="E311" s="2" t="s">
        <v>913</v>
      </c>
      <c r="F311" s="2" t="s">
        <v>913</v>
      </c>
      <c r="G311" s="2" t="s">
        <v>913</v>
      </c>
      <c r="H311">
        <f>_xlfn.XLOOKUP(C311,'[1]بيانات الموظفين'!$B:$B,'[1]بيانات الموظفين'!$AV:$AV)</f>
        <v>0</v>
      </c>
    </row>
    <row r="312" spans="1:8" ht="19.95" customHeight="1" x14ac:dyDescent="0.3">
      <c r="A312" s="3" t="s">
        <v>744</v>
      </c>
      <c r="B312" s="3" t="s">
        <v>745</v>
      </c>
      <c r="C312" s="5">
        <v>1111390694</v>
      </c>
      <c r="D312" s="3" t="s">
        <v>727</v>
      </c>
      <c r="E312" s="2" t="s">
        <v>913</v>
      </c>
      <c r="F312" s="2" t="s">
        <v>913</v>
      </c>
      <c r="G312" s="2" t="s">
        <v>913</v>
      </c>
      <c r="H312">
        <f>_xlfn.XLOOKUP(C312,'[1]بيانات الموظفين'!$B:$B,'[1]بيانات الموظفين'!$AV:$AV)</f>
        <v>0</v>
      </c>
    </row>
    <row r="313" spans="1:8" ht="19.95" customHeight="1" x14ac:dyDescent="0.3">
      <c r="A313" s="2" t="s">
        <v>746</v>
      </c>
      <c r="B313" s="2" t="s">
        <v>747</v>
      </c>
      <c r="C313" s="4">
        <v>1124364066</v>
      </c>
      <c r="D313" s="2" t="s">
        <v>727</v>
      </c>
      <c r="E313" s="2" t="s">
        <v>913</v>
      </c>
      <c r="F313" s="2" t="s">
        <v>913</v>
      </c>
      <c r="G313" s="2" t="s">
        <v>913</v>
      </c>
      <c r="H313">
        <f>_xlfn.XLOOKUP(C313,'[1]بيانات الموظفين'!$B:$B,'[1]بيانات الموظفين'!$AV:$AV)</f>
        <v>0</v>
      </c>
    </row>
    <row r="314" spans="1:8" ht="19.95" customHeight="1" x14ac:dyDescent="0.3">
      <c r="A314" s="3" t="s">
        <v>748</v>
      </c>
      <c r="B314" s="3" t="s">
        <v>749</v>
      </c>
      <c r="C314" s="5">
        <v>1083042414</v>
      </c>
      <c r="D314" s="3" t="s">
        <v>727</v>
      </c>
      <c r="E314" s="2" t="s">
        <v>913</v>
      </c>
      <c r="F314" s="2" t="s">
        <v>913</v>
      </c>
      <c r="G314" s="2" t="s">
        <v>913</v>
      </c>
      <c r="H314">
        <f>_xlfn.XLOOKUP(C314,'[1]بيانات الموظفين'!$B:$B,'[1]بيانات الموظفين'!$AV:$AV)</f>
        <v>0</v>
      </c>
    </row>
    <row r="315" spans="1:8" ht="19.95" customHeight="1" x14ac:dyDescent="0.3">
      <c r="A315" s="2" t="s">
        <v>750</v>
      </c>
      <c r="B315" s="2" t="s">
        <v>751</v>
      </c>
      <c r="C315" s="4">
        <v>1106373531</v>
      </c>
      <c r="D315" s="2" t="s">
        <v>727</v>
      </c>
      <c r="E315" s="2" t="s">
        <v>913</v>
      </c>
      <c r="F315" s="2" t="s">
        <v>913</v>
      </c>
      <c r="G315" s="2" t="s">
        <v>913</v>
      </c>
      <c r="H315">
        <f>_xlfn.XLOOKUP(C315,'[1]بيانات الموظفين'!$B:$B,'[1]بيانات الموظفين'!$AV:$AV)</f>
        <v>0</v>
      </c>
    </row>
    <row r="316" spans="1:8" ht="19.95" customHeight="1" x14ac:dyDescent="0.3">
      <c r="A316" s="3" t="s">
        <v>752</v>
      </c>
      <c r="B316" s="3" t="s">
        <v>753</v>
      </c>
      <c r="C316" s="5">
        <v>1115390468</v>
      </c>
      <c r="D316" s="3" t="s">
        <v>513</v>
      </c>
      <c r="E316" s="2" t="s">
        <v>913</v>
      </c>
      <c r="F316" s="2" t="s">
        <v>913</v>
      </c>
      <c r="G316" s="2" t="s">
        <v>913</v>
      </c>
      <c r="H316">
        <f>_xlfn.XLOOKUP(C316,'[1]بيانات الموظفين'!$B:$B,'[1]بيانات الموظفين'!$AV:$AV)</f>
        <v>0</v>
      </c>
    </row>
    <row r="317" spans="1:8" ht="19.95" customHeight="1" x14ac:dyDescent="0.3">
      <c r="A317" s="2" t="s">
        <v>754</v>
      </c>
      <c r="B317" s="2" t="s">
        <v>755</v>
      </c>
      <c r="C317" s="4">
        <v>1002756326</v>
      </c>
      <c r="D317" s="2" t="s">
        <v>716</v>
      </c>
      <c r="E317" s="2" t="s">
        <v>913</v>
      </c>
      <c r="F317" s="2" t="s">
        <v>913</v>
      </c>
      <c r="G317" s="2" t="s">
        <v>913</v>
      </c>
      <c r="H317" t="e">
        <f>_xlfn.XLOOKUP(C317,'[1]بيانات الموظفين'!$B:$B,'[1]بيانات الموظفين'!$AV:$AV)</f>
        <v>#N/A</v>
      </c>
    </row>
    <row r="318" spans="1:8" ht="19.95" customHeight="1" x14ac:dyDescent="0.3">
      <c r="A318" s="3" t="s">
        <v>756</v>
      </c>
      <c r="B318" s="3" t="s">
        <v>757</v>
      </c>
      <c r="C318" s="5">
        <v>1043111978</v>
      </c>
      <c r="D318" s="3" t="s">
        <v>724</v>
      </c>
      <c r="E318" s="2" t="s">
        <v>913</v>
      </c>
      <c r="F318" s="2" t="s">
        <v>913</v>
      </c>
      <c r="G318" s="2" t="s">
        <v>913</v>
      </c>
      <c r="H318">
        <f>_xlfn.XLOOKUP(C318,'[1]بيانات الموظفين'!$B:$B,'[1]بيانات الموظفين'!$AV:$AV)</f>
        <v>0</v>
      </c>
    </row>
    <row r="319" spans="1:8" ht="19.95" customHeight="1" x14ac:dyDescent="0.3">
      <c r="A319" s="2" t="s">
        <v>758</v>
      </c>
      <c r="B319" s="2" t="s">
        <v>759</v>
      </c>
      <c r="C319" s="4">
        <v>1087822290</v>
      </c>
      <c r="D319" s="2" t="s">
        <v>727</v>
      </c>
      <c r="E319" s="2" t="s">
        <v>913</v>
      </c>
      <c r="F319" s="2" t="s">
        <v>913</v>
      </c>
      <c r="G319" s="2" t="s">
        <v>913</v>
      </c>
      <c r="H319">
        <f>_xlfn.XLOOKUP(C319,'[1]بيانات الموظفين'!$B:$B,'[1]بيانات الموظفين'!$AV:$AV)</f>
        <v>0</v>
      </c>
    </row>
    <row r="320" spans="1:8" ht="19.95" customHeight="1" x14ac:dyDescent="0.3">
      <c r="A320" s="3" t="s">
        <v>760</v>
      </c>
      <c r="B320" s="3" t="s">
        <v>761</v>
      </c>
      <c r="C320" s="5">
        <v>1116278639</v>
      </c>
      <c r="D320" s="3" t="s">
        <v>382</v>
      </c>
      <c r="E320" s="2" t="s">
        <v>913</v>
      </c>
      <c r="F320" s="2" t="s">
        <v>913</v>
      </c>
      <c r="G320" s="2" t="s">
        <v>913</v>
      </c>
      <c r="H320">
        <f>_xlfn.XLOOKUP(C320,'[1]بيانات الموظفين'!$B:$B,'[1]بيانات الموظفين'!$AV:$AV)</f>
        <v>0</v>
      </c>
    </row>
    <row r="321" spans="1:8" ht="19.95" customHeight="1" x14ac:dyDescent="0.3">
      <c r="A321" s="2" t="s">
        <v>762</v>
      </c>
      <c r="B321" s="2" t="s">
        <v>763</v>
      </c>
      <c r="C321" s="4">
        <v>1015089335</v>
      </c>
      <c r="D321" s="2" t="s">
        <v>727</v>
      </c>
      <c r="E321" s="2" t="s">
        <v>913</v>
      </c>
      <c r="F321" s="2" t="s">
        <v>913</v>
      </c>
      <c r="G321" s="2" t="s">
        <v>913</v>
      </c>
      <c r="H321">
        <f>_xlfn.XLOOKUP(C321,'[1]بيانات الموظفين'!$B:$B,'[1]بيانات الموظفين'!$AV:$AV)</f>
        <v>0</v>
      </c>
    </row>
    <row r="322" spans="1:8" ht="19.95" customHeight="1" x14ac:dyDescent="0.3">
      <c r="A322" s="3" t="s">
        <v>764</v>
      </c>
      <c r="B322" s="3" t="s">
        <v>765</v>
      </c>
      <c r="C322" s="5">
        <v>1078583463</v>
      </c>
      <c r="D322" s="3" t="s">
        <v>240</v>
      </c>
      <c r="E322" s="2" t="s">
        <v>913</v>
      </c>
      <c r="F322" s="2" t="s">
        <v>913</v>
      </c>
      <c r="G322" s="2" t="s">
        <v>913</v>
      </c>
      <c r="H322">
        <f>_xlfn.XLOOKUP(C322,'[1]بيانات الموظفين'!$B:$B,'[1]بيانات الموظفين'!$AV:$AV)</f>
        <v>0</v>
      </c>
    </row>
    <row r="323" spans="1:8" ht="19.95" customHeight="1" x14ac:dyDescent="0.3">
      <c r="A323" s="2" t="s">
        <v>766</v>
      </c>
      <c r="B323" s="2" t="s">
        <v>767</v>
      </c>
      <c r="C323" s="4">
        <v>1187541121</v>
      </c>
      <c r="D323" s="2" t="s">
        <v>724</v>
      </c>
      <c r="E323" s="2" t="s">
        <v>913</v>
      </c>
      <c r="F323" s="2" t="s">
        <v>913</v>
      </c>
      <c r="G323" s="2" t="s">
        <v>913</v>
      </c>
      <c r="H323">
        <f>_xlfn.XLOOKUP(C323,'[1]بيانات الموظفين'!$B:$B,'[1]بيانات الموظفين'!$AV:$AV)</f>
        <v>0</v>
      </c>
    </row>
    <row r="324" spans="1:8" ht="19.95" customHeight="1" x14ac:dyDescent="0.3">
      <c r="A324" s="3" t="s">
        <v>768</v>
      </c>
      <c r="B324" s="3" t="s">
        <v>769</v>
      </c>
      <c r="C324" s="5">
        <v>1127525952</v>
      </c>
      <c r="D324" s="3" t="s">
        <v>240</v>
      </c>
      <c r="E324" s="2" t="s">
        <v>913</v>
      </c>
      <c r="F324" s="2" t="s">
        <v>913</v>
      </c>
      <c r="G324" s="2" t="s">
        <v>913</v>
      </c>
      <c r="H324">
        <f>_xlfn.XLOOKUP(C324,'[1]بيانات الموظفين'!$B:$B,'[1]بيانات الموظفين'!$AV:$AV)</f>
        <v>0</v>
      </c>
    </row>
    <row r="325" spans="1:8" ht="19.95" customHeight="1" x14ac:dyDescent="0.3">
      <c r="A325" s="2" t="s">
        <v>770</v>
      </c>
      <c r="B325" s="2" t="s">
        <v>771</v>
      </c>
      <c r="C325" s="4">
        <v>1126785169</v>
      </c>
      <c r="D325" s="2" t="s">
        <v>727</v>
      </c>
      <c r="E325" s="2" t="s">
        <v>913</v>
      </c>
      <c r="F325" s="2" t="s">
        <v>913</v>
      </c>
      <c r="G325" s="2" t="s">
        <v>913</v>
      </c>
      <c r="H325">
        <f>_xlfn.XLOOKUP(C325,'[1]بيانات الموظفين'!$B:$B,'[1]بيانات الموظفين'!$AV:$AV)</f>
        <v>0</v>
      </c>
    </row>
    <row r="326" spans="1:8" ht="19.95" customHeight="1" x14ac:dyDescent="0.3">
      <c r="A326" s="3" t="s">
        <v>772</v>
      </c>
      <c r="B326" s="3" t="s">
        <v>773</v>
      </c>
      <c r="C326" s="5">
        <v>1116440007</v>
      </c>
      <c r="D326" s="3" t="s">
        <v>240</v>
      </c>
      <c r="E326" s="2" t="s">
        <v>913</v>
      </c>
      <c r="F326" s="2" t="s">
        <v>913</v>
      </c>
      <c r="G326" s="2" t="s">
        <v>913</v>
      </c>
      <c r="H326">
        <f>_xlfn.XLOOKUP(C326,'[1]بيانات الموظفين'!$B:$B,'[1]بيانات الموظفين'!$AV:$AV)</f>
        <v>0</v>
      </c>
    </row>
    <row r="327" spans="1:8" ht="19.95" customHeight="1" x14ac:dyDescent="0.3">
      <c r="A327" s="2" t="s">
        <v>774</v>
      </c>
      <c r="B327" s="2" t="s">
        <v>775</v>
      </c>
      <c r="C327" s="4">
        <v>1094345566</v>
      </c>
      <c r="D327" s="2" t="s">
        <v>724</v>
      </c>
      <c r="E327" s="2" t="s">
        <v>913</v>
      </c>
      <c r="F327" s="2" t="s">
        <v>913</v>
      </c>
      <c r="G327" s="2" t="s">
        <v>913</v>
      </c>
      <c r="H327">
        <f>_xlfn.XLOOKUP(C327,'[1]بيانات الموظفين'!$B:$B,'[1]بيانات الموظفين'!$AV:$AV)</f>
        <v>0</v>
      </c>
    </row>
    <row r="328" spans="1:8" ht="19.95" customHeight="1" x14ac:dyDescent="0.3">
      <c r="A328" s="3" t="s">
        <v>776</v>
      </c>
      <c r="B328" s="3" t="s">
        <v>777</v>
      </c>
      <c r="C328" s="5">
        <v>1099699983</v>
      </c>
      <c r="D328" s="3" t="s">
        <v>724</v>
      </c>
      <c r="E328" s="2" t="s">
        <v>913</v>
      </c>
      <c r="F328" s="2" t="s">
        <v>913</v>
      </c>
      <c r="G328" s="2" t="s">
        <v>913</v>
      </c>
      <c r="H328">
        <f>_xlfn.XLOOKUP(C328,'[1]بيانات الموظفين'!$B:$B,'[1]بيانات الموظفين'!$AV:$AV)</f>
        <v>0</v>
      </c>
    </row>
    <row r="329" spans="1:8" ht="19.95" customHeight="1" x14ac:dyDescent="0.3">
      <c r="A329" s="2" t="s">
        <v>778</v>
      </c>
      <c r="B329" s="2" t="s">
        <v>779</v>
      </c>
      <c r="C329" s="4">
        <v>1134965670</v>
      </c>
      <c r="D329" s="2" t="s">
        <v>727</v>
      </c>
      <c r="E329" s="2" t="s">
        <v>913</v>
      </c>
      <c r="F329" s="2" t="s">
        <v>913</v>
      </c>
      <c r="G329" s="2" t="s">
        <v>913</v>
      </c>
      <c r="H329">
        <f>_xlfn.XLOOKUP(C329,'[1]بيانات الموظفين'!$B:$B,'[1]بيانات الموظفين'!$AV:$AV)</f>
        <v>0</v>
      </c>
    </row>
    <row r="330" spans="1:8" ht="19.95" customHeight="1" x14ac:dyDescent="0.3">
      <c r="A330" s="3" t="s">
        <v>780</v>
      </c>
      <c r="B330" s="3" t="s">
        <v>781</v>
      </c>
      <c r="C330" s="5">
        <v>1065794115</v>
      </c>
      <c r="D330" s="3" t="s">
        <v>727</v>
      </c>
      <c r="E330" s="2" t="s">
        <v>913</v>
      </c>
      <c r="F330" s="2" t="s">
        <v>913</v>
      </c>
      <c r="G330" s="2" t="s">
        <v>913</v>
      </c>
      <c r="H330">
        <f>_xlfn.XLOOKUP(C330,'[1]بيانات الموظفين'!$B:$B,'[1]بيانات الموظفين'!$AV:$AV)</f>
        <v>0</v>
      </c>
    </row>
    <row r="331" spans="1:8" ht="19.95" customHeight="1" x14ac:dyDescent="0.3">
      <c r="A331" s="2" t="s">
        <v>782</v>
      </c>
      <c r="B331" s="2" t="s">
        <v>783</v>
      </c>
      <c r="C331" s="4">
        <v>1043954799</v>
      </c>
      <c r="D331" s="2" t="s">
        <v>724</v>
      </c>
      <c r="E331" s="2" t="s">
        <v>913</v>
      </c>
      <c r="F331" s="2" t="s">
        <v>913</v>
      </c>
      <c r="G331" s="2" t="s">
        <v>913</v>
      </c>
      <c r="H331">
        <f>_xlfn.XLOOKUP(C331,'[1]بيانات الموظفين'!$B:$B,'[1]بيانات الموظفين'!$AV:$AV)</f>
        <v>0</v>
      </c>
    </row>
    <row r="332" spans="1:8" ht="19.95" customHeight="1" x14ac:dyDescent="0.3">
      <c r="A332" s="3" t="s">
        <v>784</v>
      </c>
      <c r="B332" s="3" t="s">
        <v>785</v>
      </c>
      <c r="C332" s="5">
        <v>1085311114</v>
      </c>
      <c r="D332" s="3" t="s">
        <v>727</v>
      </c>
      <c r="E332" s="2" t="s">
        <v>913</v>
      </c>
      <c r="F332" s="2" t="s">
        <v>913</v>
      </c>
      <c r="G332" s="2" t="s">
        <v>913</v>
      </c>
      <c r="H332">
        <f>_xlfn.XLOOKUP(C332,'[1]بيانات الموظفين'!$B:$B,'[1]بيانات الموظفين'!$AV:$AV)</f>
        <v>0</v>
      </c>
    </row>
    <row r="333" spans="1:8" ht="19.95" customHeight="1" x14ac:dyDescent="0.3">
      <c r="A333" s="2" t="s">
        <v>786</v>
      </c>
      <c r="B333" s="2" t="s">
        <v>787</v>
      </c>
      <c r="C333" s="4">
        <v>1080161688</v>
      </c>
      <c r="D333" s="2" t="s">
        <v>724</v>
      </c>
      <c r="E333" s="2" t="s">
        <v>913</v>
      </c>
      <c r="F333" s="2" t="s">
        <v>913</v>
      </c>
      <c r="G333" s="2" t="s">
        <v>913</v>
      </c>
      <c r="H333">
        <f>_xlfn.XLOOKUP(C333,'[1]بيانات الموظفين'!$B:$B,'[1]بيانات الموظفين'!$AV:$AV)</f>
        <v>0</v>
      </c>
    </row>
    <row r="334" spans="1:8" ht="19.95" customHeight="1" x14ac:dyDescent="0.3">
      <c r="A334" s="3" t="s">
        <v>788</v>
      </c>
      <c r="B334" s="3" t="s">
        <v>789</v>
      </c>
      <c r="C334" s="5">
        <v>1115323428</v>
      </c>
      <c r="D334" s="3" t="s">
        <v>594</v>
      </c>
      <c r="E334" s="2" t="s">
        <v>913</v>
      </c>
      <c r="F334" s="2" t="s">
        <v>913</v>
      </c>
      <c r="G334" s="2" t="s">
        <v>913</v>
      </c>
      <c r="H334">
        <f>_xlfn.XLOOKUP(C334,'[1]بيانات الموظفين'!$B:$B,'[1]بيانات الموظفين'!$AV:$AV)</f>
        <v>0</v>
      </c>
    </row>
    <row r="335" spans="1:8" ht="19.95" customHeight="1" x14ac:dyDescent="0.3">
      <c r="A335" s="2" t="s">
        <v>790</v>
      </c>
      <c r="B335" s="2" t="s">
        <v>791</v>
      </c>
      <c r="C335" s="4">
        <v>1122253089</v>
      </c>
      <c r="D335" s="2" t="s">
        <v>716</v>
      </c>
      <c r="E335" s="2" t="s">
        <v>913</v>
      </c>
      <c r="F335" s="2" t="s">
        <v>913</v>
      </c>
      <c r="G335" s="2" t="s">
        <v>913</v>
      </c>
      <c r="H335" t="e">
        <f>_xlfn.XLOOKUP(C335,'[1]بيانات الموظفين'!$B:$B,'[1]بيانات الموظفين'!$AV:$AV)</f>
        <v>#N/A</v>
      </c>
    </row>
    <row r="336" spans="1:8" ht="19.95" customHeight="1" x14ac:dyDescent="0.3">
      <c r="A336" s="3" t="s">
        <v>792</v>
      </c>
      <c r="B336" s="3" t="s">
        <v>793</v>
      </c>
      <c r="C336" s="5">
        <v>1015830860</v>
      </c>
      <c r="D336" s="3" t="s">
        <v>513</v>
      </c>
      <c r="E336" s="2" t="s">
        <v>913</v>
      </c>
      <c r="F336" s="2" t="s">
        <v>913</v>
      </c>
      <c r="G336" s="2" t="s">
        <v>913</v>
      </c>
      <c r="H336">
        <f>_xlfn.XLOOKUP(C336,'[1]بيانات الموظفين'!$B:$B,'[1]بيانات الموظفين'!$AV:$AV)</f>
        <v>0</v>
      </c>
    </row>
    <row r="337" spans="1:8" ht="19.95" customHeight="1" x14ac:dyDescent="0.3">
      <c r="A337" s="2" t="s">
        <v>794</v>
      </c>
      <c r="B337" s="2" t="s">
        <v>795</v>
      </c>
      <c r="C337" s="4">
        <v>1104513179</v>
      </c>
      <c r="D337" s="2" t="s">
        <v>363</v>
      </c>
      <c r="E337" s="2" t="s">
        <v>913</v>
      </c>
      <c r="F337" s="2" t="s">
        <v>913</v>
      </c>
      <c r="G337" s="2" t="s">
        <v>913</v>
      </c>
      <c r="H337">
        <f>_xlfn.XLOOKUP(C337,'[1]بيانات الموظفين'!$B:$B,'[1]بيانات الموظفين'!$AV:$AV)</f>
        <v>0</v>
      </c>
    </row>
    <row r="338" spans="1:8" ht="19.95" customHeight="1" x14ac:dyDescent="0.3">
      <c r="A338" s="3" t="s">
        <v>796</v>
      </c>
      <c r="B338" s="3" t="s">
        <v>797</v>
      </c>
      <c r="C338" s="5">
        <v>1045414388</v>
      </c>
      <c r="D338" s="3" t="s">
        <v>727</v>
      </c>
      <c r="E338" s="2" t="s">
        <v>913</v>
      </c>
      <c r="F338" s="2" t="s">
        <v>913</v>
      </c>
      <c r="G338" s="2" t="s">
        <v>913</v>
      </c>
      <c r="H338">
        <f>_xlfn.XLOOKUP(C338,'[1]بيانات الموظفين'!$B:$B,'[1]بيانات الموظفين'!$AV:$AV)</f>
        <v>0</v>
      </c>
    </row>
    <row r="339" spans="1:8" ht="19.95" customHeight="1" x14ac:dyDescent="0.3">
      <c r="A339" s="2" t="s">
        <v>798</v>
      </c>
      <c r="B339" s="2" t="s">
        <v>799</v>
      </c>
      <c r="C339" s="4">
        <v>1124275999</v>
      </c>
      <c r="D339" s="2" t="s">
        <v>727</v>
      </c>
      <c r="E339" s="2" t="s">
        <v>913</v>
      </c>
      <c r="F339" s="2" t="s">
        <v>913</v>
      </c>
      <c r="G339" s="2" t="s">
        <v>913</v>
      </c>
      <c r="H339">
        <f>_xlfn.XLOOKUP(C339,'[1]بيانات الموظفين'!$B:$B,'[1]بيانات الموظفين'!$AV:$AV)</f>
        <v>0</v>
      </c>
    </row>
    <row r="340" spans="1:8" ht="19.95" customHeight="1" x14ac:dyDescent="0.3">
      <c r="A340" s="3" t="s">
        <v>800</v>
      </c>
      <c r="B340" s="3" t="s">
        <v>801</v>
      </c>
      <c r="C340" s="5">
        <v>1104136260</v>
      </c>
      <c r="D340" s="3" t="s">
        <v>240</v>
      </c>
      <c r="E340" s="2" t="s">
        <v>913</v>
      </c>
      <c r="F340" s="2" t="s">
        <v>913</v>
      </c>
      <c r="G340" s="2" t="s">
        <v>913</v>
      </c>
      <c r="H340">
        <f>_xlfn.XLOOKUP(C340,'[1]بيانات الموظفين'!$B:$B,'[1]بيانات الموظفين'!$AV:$AV)</f>
        <v>0</v>
      </c>
    </row>
    <row r="341" spans="1:8" ht="19.95" customHeight="1" x14ac:dyDescent="0.3">
      <c r="A341" s="2" t="s">
        <v>802</v>
      </c>
      <c r="B341" s="2" t="s">
        <v>803</v>
      </c>
      <c r="C341" s="4">
        <v>1043748290</v>
      </c>
      <c r="D341" s="2" t="s">
        <v>727</v>
      </c>
      <c r="E341" s="2" t="s">
        <v>913</v>
      </c>
      <c r="F341" s="2" t="s">
        <v>913</v>
      </c>
      <c r="G341" s="2" t="s">
        <v>913</v>
      </c>
      <c r="H341">
        <f>_xlfn.XLOOKUP(C341,'[1]بيانات الموظفين'!$B:$B,'[1]بيانات الموظفين'!$AV:$AV)</f>
        <v>0</v>
      </c>
    </row>
    <row r="342" spans="1:8" ht="19.95" customHeight="1" x14ac:dyDescent="0.3">
      <c r="A342" s="3" t="s">
        <v>804</v>
      </c>
      <c r="B342" s="3" t="s">
        <v>805</v>
      </c>
      <c r="C342" s="5">
        <v>1123755611</v>
      </c>
      <c r="D342" s="3" t="s">
        <v>243</v>
      </c>
      <c r="E342" s="2" t="s">
        <v>913</v>
      </c>
      <c r="F342" s="2" t="s">
        <v>913</v>
      </c>
      <c r="G342" s="2" t="s">
        <v>913</v>
      </c>
      <c r="H342">
        <f>_xlfn.XLOOKUP(C342,'[1]بيانات الموظفين'!$B:$B,'[1]بيانات الموظفين'!$AV:$AV)</f>
        <v>0</v>
      </c>
    </row>
    <row r="343" spans="1:8" ht="19.95" customHeight="1" x14ac:dyDescent="0.3">
      <c r="A343" s="2" t="s">
        <v>806</v>
      </c>
      <c r="B343" s="2" t="s">
        <v>807</v>
      </c>
      <c r="C343" s="4">
        <v>1055987182</v>
      </c>
      <c r="D343" s="2" t="s">
        <v>727</v>
      </c>
      <c r="E343" s="2" t="s">
        <v>913</v>
      </c>
      <c r="F343" s="2" t="s">
        <v>913</v>
      </c>
      <c r="G343" s="2" t="s">
        <v>913</v>
      </c>
      <c r="H343">
        <f>_xlfn.XLOOKUP(C343,'[1]بيانات الموظفين'!$B:$B,'[1]بيانات الموظفين'!$AV:$AV)</f>
        <v>0</v>
      </c>
    </row>
    <row r="344" spans="1:8" ht="19.95" customHeight="1" x14ac:dyDescent="0.3">
      <c r="A344" s="3" t="s">
        <v>808</v>
      </c>
      <c r="B344" s="3" t="s">
        <v>809</v>
      </c>
      <c r="C344" s="5">
        <v>1078196035</v>
      </c>
      <c r="D344" s="3" t="s">
        <v>727</v>
      </c>
      <c r="E344" s="2" t="s">
        <v>913</v>
      </c>
      <c r="F344" s="2" t="s">
        <v>913</v>
      </c>
      <c r="G344" s="2" t="s">
        <v>913</v>
      </c>
      <c r="H344">
        <f>_xlfn.XLOOKUP(C344,'[1]بيانات الموظفين'!$B:$B,'[1]بيانات الموظفين'!$AV:$AV)</f>
        <v>0</v>
      </c>
    </row>
    <row r="345" spans="1:8" ht="19.95" customHeight="1" x14ac:dyDescent="0.3">
      <c r="A345" s="2" t="s">
        <v>810</v>
      </c>
      <c r="B345" s="2" t="s">
        <v>811</v>
      </c>
      <c r="C345" s="4">
        <v>1132518448</v>
      </c>
      <c r="D345" s="2" t="s">
        <v>716</v>
      </c>
      <c r="E345" s="2" t="s">
        <v>913</v>
      </c>
      <c r="F345" s="2" t="s">
        <v>913</v>
      </c>
      <c r="G345" s="2" t="s">
        <v>913</v>
      </c>
      <c r="H345" t="e">
        <f>_xlfn.XLOOKUP(C345,'[1]بيانات الموظفين'!$B:$B,'[1]بيانات الموظفين'!$AV:$AV)</f>
        <v>#N/A</v>
      </c>
    </row>
    <row r="346" spans="1:8" ht="19.95" customHeight="1" x14ac:dyDescent="0.3">
      <c r="A346" s="3" t="s">
        <v>812</v>
      </c>
      <c r="B346" s="3" t="s">
        <v>813</v>
      </c>
      <c r="C346" s="5">
        <v>1103664288</v>
      </c>
      <c r="D346" s="3" t="s">
        <v>716</v>
      </c>
      <c r="E346" s="2" t="s">
        <v>913</v>
      </c>
      <c r="F346" s="2" t="s">
        <v>913</v>
      </c>
      <c r="G346" s="2" t="s">
        <v>913</v>
      </c>
      <c r="H346" t="e">
        <f>_xlfn.XLOOKUP(C346,'[1]بيانات الموظفين'!$B:$B,'[1]بيانات الموظفين'!$AV:$AV)</f>
        <v>#N/A</v>
      </c>
    </row>
    <row r="347" spans="1:8" ht="19.95" customHeight="1" x14ac:dyDescent="0.3">
      <c r="A347" s="2" t="s">
        <v>814</v>
      </c>
      <c r="B347" s="2" t="s">
        <v>815</v>
      </c>
      <c r="C347" s="4">
        <v>1121011975</v>
      </c>
      <c r="D347" s="2" t="s">
        <v>470</v>
      </c>
      <c r="E347" s="2" t="s">
        <v>913</v>
      </c>
      <c r="F347" s="2" t="s">
        <v>913</v>
      </c>
      <c r="G347" s="2" t="s">
        <v>913</v>
      </c>
      <c r="H347">
        <f>_xlfn.XLOOKUP(C347,'[1]بيانات الموظفين'!$B:$B,'[1]بيانات الموظفين'!$AV:$AV)</f>
        <v>0</v>
      </c>
    </row>
    <row r="348" spans="1:8" ht="19.95" customHeight="1" x14ac:dyDescent="0.3">
      <c r="A348" s="3" t="s">
        <v>816</v>
      </c>
      <c r="B348" s="3" t="s">
        <v>817</v>
      </c>
      <c r="C348" s="5">
        <v>1137448062</v>
      </c>
      <c r="D348" s="3" t="s">
        <v>382</v>
      </c>
      <c r="E348" s="2" t="s">
        <v>913</v>
      </c>
      <c r="F348" s="2" t="s">
        <v>913</v>
      </c>
      <c r="G348" s="2" t="s">
        <v>913</v>
      </c>
      <c r="H348">
        <f>_xlfn.XLOOKUP(C348,'[1]بيانات الموظفين'!$B:$B,'[1]بيانات الموظفين'!$AV:$AV)</f>
        <v>0</v>
      </c>
    </row>
    <row r="349" spans="1:8" ht="19.95" customHeight="1" x14ac:dyDescent="0.3">
      <c r="A349" s="2" t="s">
        <v>818</v>
      </c>
      <c r="B349" s="2" t="s">
        <v>819</v>
      </c>
      <c r="C349" s="4">
        <v>1103403851</v>
      </c>
      <c r="D349" s="2" t="s">
        <v>716</v>
      </c>
      <c r="E349" s="2" t="s">
        <v>913</v>
      </c>
      <c r="F349" s="2" t="s">
        <v>913</v>
      </c>
      <c r="G349" s="2" t="s">
        <v>913</v>
      </c>
      <c r="H349" t="e">
        <f>_xlfn.XLOOKUP(C349,'[1]بيانات الموظفين'!$B:$B,'[1]بيانات الموظفين'!$AV:$AV)</f>
        <v>#N/A</v>
      </c>
    </row>
    <row r="350" spans="1:8" ht="19.95" customHeight="1" x14ac:dyDescent="0.3">
      <c r="A350" s="3" t="s">
        <v>820</v>
      </c>
      <c r="B350" s="3" t="s">
        <v>821</v>
      </c>
      <c r="C350" s="5">
        <v>1068487964</v>
      </c>
      <c r="D350" s="3" t="s">
        <v>727</v>
      </c>
      <c r="E350" s="2" t="s">
        <v>913</v>
      </c>
      <c r="F350" s="2" t="s">
        <v>913</v>
      </c>
      <c r="G350" s="2" t="s">
        <v>913</v>
      </c>
      <c r="H350">
        <f>_xlfn.XLOOKUP(C350,'[1]بيانات الموظفين'!$B:$B,'[1]بيانات الموظفين'!$AV:$AV)</f>
        <v>0</v>
      </c>
    </row>
    <row r="351" spans="1:8" ht="19.95" customHeight="1" x14ac:dyDescent="0.3">
      <c r="A351" s="2" t="s">
        <v>822</v>
      </c>
      <c r="B351" s="2" t="s">
        <v>823</v>
      </c>
      <c r="C351" s="4">
        <v>1040024901</v>
      </c>
      <c r="D351" s="2" t="s">
        <v>727</v>
      </c>
      <c r="E351" s="2" t="s">
        <v>913</v>
      </c>
      <c r="F351" s="2" t="s">
        <v>913</v>
      </c>
      <c r="G351" s="2" t="s">
        <v>913</v>
      </c>
      <c r="H351">
        <f>_xlfn.XLOOKUP(C351,'[1]بيانات الموظفين'!$B:$B,'[1]بيانات الموظفين'!$AV:$AV)</f>
        <v>0</v>
      </c>
    </row>
    <row r="352" spans="1:8" ht="19.95" customHeight="1" x14ac:dyDescent="0.3">
      <c r="A352" s="3" t="s">
        <v>824</v>
      </c>
      <c r="B352" s="3" t="s">
        <v>825</v>
      </c>
      <c r="C352" s="5">
        <v>2559188822</v>
      </c>
      <c r="D352" s="3" t="s">
        <v>248</v>
      </c>
      <c r="E352" s="2" t="s">
        <v>913</v>
      </c>
      <c r="F352" s="2" t="s">
        <v>913</v>
      </c>
      <c r="G352" s="2" t="s">
        <v>913</v>
      </c>
      <c r="H352">
        <f>_xlfn.XLOOKUP(C352,'[1]بيانات الموظفين'!$B:$B,'[1]بيانات الموظفين'!$AV:$AV)</f>
        <v>0</v>
      </c>
    </row>
    <row r="353" spans="1:8" ht="19.95" customHeight="1" x14ac:dyDescent="0.3">
      <c r="A353" s="2" t="s">
        <v>294</v>
      </c>
      <c r="B353" s="2" t="s">
        <v>826</v>
      </c>
      <c r="C353" s="4">
        <v>2564244172</v>
      </c>
      <c r="D353" s="2" t="s">
        <v>827</v>
      </c>
      <c r="E353" s="2" t="s">
        <v>913</v>
      </c>
      <c r="F353" s="2" t="s">
        <v>913</v>
      </c>
      <c r="G353" s="2" t="s">
        <v>913</v>
      </c>
      <c r="H353" t="e">
        <f>_xlfn.XLOOKUP(C353,'[1]بيانات الموظفين'!$B:$B,'[1]بيانات الموظفين'!$AV:$AV)</f>
        <v>#N/A</v>
      </c>
    </row>
    <row r="354" spans="1:8" ht="19.95" customHeight="1" x14ac:dyDescent="0.3">
      <c r="A354" s="3" t="s">
        <v>828</v>
      </c>
      <c r="B354" s="3" t="s">
        <v>829</v>
      </c>
      <c r="C354" s="5">
        <v>2564374961</v>
      </c>
      <c r="D354" s="3" t="s">
        <v>827</v>
      </c>
      <c r="E354" s="2" t="s">
        <v>913</v>
      </c>
      <c r="F354" s="2" t="s">
        <v>913</v>
      </c>
      <c r="G354" s="2" t="s">
        <v>913</v>
      </c>
      <c r="H354" t="e">
        <f>_xlfn.XLOOKUP(C354,'[1]بيانات الموظفين'!$B:$B,'[1]بيانات الموظفين'!$AV:$AV)</f>
        <v>#N/A</v>
      </c>
    </row>
    <row r="355" spans="1:8" ht="19.95" customHeight="1" x14ac:dyDescent="0.3">
      <c r="A355" s="2" t="s">
        <v>830</v>
      </c>
      <c r="B355" s="2" t="s">
        <v>831</v>
      </c>
      <c r="C355" s="4">
        <v>2572553077</v>
      </c>
      <c r="D355" s="2" t="s">
        <v>248</v>
      </c>
      <c r="E355" s="2" t="s">
        <v>913</v>
      </c>
      <c r="F355" s="2" t="s">
        <v>913</v>
      </c>
      <c r="G355" s="2" t="s">
        <v>913</v>
      </c>
      <c r="H355">
        <f>_xlfn.XLOOKUP(C355,'[1]بيانات الموظفين'!$B:$B,'[1]بيانات الموظفين'!$AV:$AV)</f>
        <v>0</v>
      </c>
    </row>
    <row r="356" spans="1:8" ht="19.95" customHeight="1" x14ac:dyDescent="0.3">
      <c r="A356" s="3" t="s">
        <v>294</v>
      </c>
      <c r="B356" s="3" t="s">
        <v>832</v>
      </c>
      <c r="C356" s="5">
        <v>2575174186</v>
      </c>
      <c r="D356" s="3" t="s">
        <v>827</v>
      </c>
      <c r="E356" s="2" t="s">
        <v>913</v>
      </c>
      <c r="F356" s="2" t="s">
        <v>913</v>
      </c>
      <c r="G356" s="2" t="s">
        <v>913</v>
      </c>
      <c r="H356" t="e">
        <f>_xlfn.XLOOKUP(C356,'[1]بيانات الموظفين'!$B:$B,'[1]بيانات الموظفين'!$AV:$AV)</f>
        <v>#N/A</v>
      </c>
    </row>
    <row r="357" spans="1:8" ht="19.95" customHeight="1" x14ac:dyDescent="0.3">
      <c r="A357" s="2" t="s">
        <v>294</v>
      </c>
      <c r="B357" s="2" t="s">
        <v>833</v>
      </c>
      <c r="C357" s="4">
        <v>2624542557</v>
      </c>
      <c r="D357" s="2" t="s">
        <v>827</v>
      </c>
      <c r="E357" s="2" t="s">
        <v>913</v>
      </c>
      <c r="F357" s="2" t="s">
        <v>913</v>
      </c>
      <c r="G357" s="2" t="s">
        <v>913</v>
      </c>
      <c r="H357" t="e">
        <f>_xlfn.XLOOKUP(C357,'[1]بيانات الموظفين'!$B:$B,'[1]بيانات الموظفين'!$AV:$AV)</f>
        <v>#N/A</v>
      </c>
    </row>
    <row r="358" spans="1:8" ht="19.95" customHeight="1" x14ac:dyDescent="0.3">
      <c r="A358" s="3" t="s">
        <v>834</v>
      </c>
      <c r="B358" s="3" t="s">
        <v>835</v>
      </c>
      <c r="C358" s="5">
        <v>2605532643</v>
      </c>
      <c r="D358" s="3" t="s">
        <v>248</v>
      </c>
      <c r="E358" s="2" t="s">
        <v>913</v>
      </c>
      <c r="F358" s="2" t="s">
        <v>913</v>
      </c>
      <c r="G358" s="2" t="s">
        <v>913</v>
      </c>
      <c r="H358">
        <f>_xlfn.XLOOKUP(C358,'[1]بيانات الموظفين'!$B:$B,'[1]بيانات الموظفين'!$AV:$AV)</f>
        <v>0</v>
      </c>
    </row>
    <row r="359" spans="1:8" ht="19.95" customHeight="1" x14ac:dyDescent="0.3">
      <c r="A359" s="2" t="s">
        <v>836</v>
      </c>
      <c r="B359" s="2" t="s">
        <v>837</v>
      </c>
      <c r="C359" s="4">
        <v>2344848714</v>
      </c>
      <c r="D359" s="2" t="s">
        <v>363</v>
      </c>
      <c r="E359" s="2" t="s">
        <v>913</v>
      </c>
      <c r="F359" s="2" t="s">
        <v>913</v>
      </c>
      <c r="G359" s="2" t="s">
        <v>913</v>
      </c>
      <c r="H359">
        <f>_xlfn.XLOOKUP(C359,'[1]بيانات الموظفين'!$B:$B,'[1]بيانات الموظفين'!$AV:$AV)</f>
        <v>0</v>
      </c>
    </row>
    <row r="360" spans="1:8" ht="19.95" customHeight="1" x14ac:dyDescent="0.3">
      <c r="A360" s="3" t="s">
        <v>838</v>
      </c>
      <c r="B360" s="3" t="s">
        <v>839</v>
      </c>
      <c r="C360" s="5">
        <v>2559532565</v>
      </c>
      <c r="D360" s="3" t="s">
        <v>363</v>
      </c>
      <c r="E360" s="2" t="s">
        <v>913</v>
      </c>
      <c r="F360" s="2" t="s">
        <v>913</v>
      </c>
      <c r="G360" s="2" t="s">
        <v>913</v>
      </c>
      <c r="H360">
        <f>_xlfn.XLOOKUP(C360,'[1]بيانات الموظفين'!$B:$B,'[1]بيانات الموظفين'!$AV:$AV)</f>
        <v>0</v>
      </c>
    </row>
    <row r="361" spans="1:8" ht="19.95" customHeight="1" x14ac:dyDescent="0.3">
      <c r="A361" s="2" t="s">
        <v>840</v>
      </c>
      <c r="B361" s="2" t="s">
        <v>841</v>
      </c>
      <c r="C361" s="4">
        <v>2570614806</v>
      </c>
      <c r="D361" s="2" t="s">
        <v>363</v>
      </c>
      <c r="E361" s="2" t="s">
        <v>913</v>
      </c>
      <c r="F361" s="2" t="s">
        <v>913</v>
      </c>
      <c r="G361" s="2" t="s">
        <v>913</v>
      </c>
      <c r="H361">
        <f>_xlfn.XLOOKUP(C361,'[1]بيانات الموظفين'!$B:$B,'[1]بيانات الموظفين'!$AV:$AV)</f>
        <v>0</v>
      </c>
    </row>
    <row r="362" spans="1:8" ht="19.95" customHeight="1" x14ac:dyDescent="0.3">
      <c r="A362" s="3" t="s">
        <v>842</v>
      </c>
      <c r="B362" s="3" t="s">
        <v>843</v>
      </c>
      <c r="C362" s="5">
        <v>2612690491</v>
      </c>
      <c r="D362" s="3" t="s">
        <v>363</v>
      </c>
      <c r="E362" s="2" t="s">
        <v>913</v>
      </c>
      <c r="F362" s="2" t="s">
        <v>913</v>
      </c>
      <c r="G362" s="2" t="s">
        <v>913</v>
      </c>
      <c r="H362">
        <f>_xlfn.XLOOKUP(C362,'[1]بيانات الموظفين'!$B:$B,'[1]بيانات الموظفين'!$AV:$AV)</f>
        <v>0</v>
      </c>
    </row>
    <row r="363" spans="1:8" ht="19.95" customHeight="1" x14ac:dyDescent="0.3">
      <c r="A363" s="2" t="s">
        <v>844</v>
      </c>
      <c r="B363" s="2" t="s">
        <v>845</v>
      </c>
      <c r="C363" s="4">
        <v>2590428591</v>
      </c>
      <c r="D363" s="2" t="s">
        <v>382</v>
      </c>
      <c r="E363" s="2" t="s">
        <v>913</v>
      </c>
      <c r="F363" s="2" t="s">
        <v>913</v>
      </c>
      <c r="G363" s="2" t="s">
        <v>913</v>
      </c>
      <c r="H363">
        <f>_xlfn.XLOOKUP(C363,'[1]بيانات الموظفين'!$B:$B,'[1]بيانات الموظفين'!$AV:$AV)</f>
        <v>0</v>
      </c>
    </row>
    <row r="364" spans="1:8" ht="19.95" customHeight="1" x14ac:dyDescent="0.3">
      <c r="A364" s="3" t="s">
        <v>846</v>
      </c>
      <c r="B364" s="3" t="s">
        <v>847</v>
      </c>
      <c r="C364" s="5">
        <v>2337037572</v>
      </c>
      <c r="D364" s="3" t="s">
        <v>848</v>
      </c>
      <c r="E364" s="2" t="s">
        <v>913</v>
      </c>
      <c r="F364" s="2" t="s">
        <v>913</v>
      </c>
      <c r="G364" s="2" t="s">
        <v>913</v>
      </c>
      <c r="H364">
        <f>_xlfn.XLOOKUP(C364,'[1]بيانات الموظفين'!$B:$B,'[1]بيانات الموظفين'!$AV:$AV)</f>
        <v>0</v>
      </c>
    </row>
    <row r="365" spans="1:8" ht="19.95" customHeight="1" x14ac:dyDescent="0.3">
      <c r="A365" s="2" t="s">
        <v>849</v>
      </c>
      <c r="B365" s="2" t="s">
        <v>850</v>
      </c>
      <c r="C365" s="4">
        <v>2618971234</v>
      </c>
      <c r="D365" s="2" t="s">
        <v>382</v>
      </c>
      <c r="E365" s="2" t="s">
        <v>913</v>
      </c>
      <c r="F365" s="2" t="s">
        <v>913</v>
      </c>
      <c r="G365" s="2" t="s">
        <v>913</v>
      </c>
      <c r="H365">
        <f>_xlfn.XLOOKUP(C365,'[1]بيانات الموظفين'!$B:$B,'[1]بيانات الموظفين'!$AV:$AV)</f>
        <v>0</v>
      </c>
    </row>
    <row r="366" spans="1:8" ht="19.95" customHeight="1" x14ac:dyDescent="0.3">
      <c r="A366" s="3" t="s">
        <v>851</v>
      </c>
      <c r="B366" s="3" t="s">
        <v>852</v>
      </c>
      <c r="C366" s="5">
        <v>4659518213</v>
      </c>
      <c r="D366" s="3" t="s">
        <v>599</v>
      </c>
      <c r="E366" s="2" t="s">
        <v>913</v>
      </c>
      <c r="F366" s="2" t="s">
        <v>913</v>
      </c>
      <c r="G366" s="2" t="s">
        <v>913</v>
      </c>
      <c r="H366">
        <f>_xlfn.XLOOKUP(C366,'[1]بيانات الموظفين'!$B:$B,'[1]بيانات الموظفين'!$AV:$AV)</f>
        <v>0</v>
      </c>
    </row>
    <row r="367" spans="1:8" ht="19.95" customHeight="1" x14ac:dyDescent="0.3">
      <c r="A367" s="2" t="s">
        <v>853</v>
      </c>
      <c r="B367" s="2" t="s">
        <v>854</v>
      </c>
      <c r="C367" s="4">
        <v>2404882967</v>
      </c>
      <c r="D367" s="2" t="s">
        <v>470</v>
      </c>
      <c r="E367" s="2" t="s">
        <v>913</v>
      </c>
      <c r="F367" s="2" t="s">
        <v>913</v>
      </c>
      <c r="G367" s="2" t="s">
        <v>913</v>
      </c>
      <c r="H367">
        <f>_xlfn.XLOOKUP(C367,'[1]بيانات الموظفين'!$B:$B,'[1]بيانات الموظفين'!$AV:$AV)</f>
        <v>0</v>
      </c>
    </row>
    <row r="368" spans="1:8" ht="19.95" customHeight="1" x14ac:dyDescent="0.3">
      <c r="A368" s="3" t="s">
        <v>855</v>
      </c>
      <c r="B368" s="3" t="s">
        <v>856</v>
      </c>
      <c r="C368" s="5">
        <v>2444446393</v>
      </c>
      <c r="D368" s="3" t="s">
        <v>385</v>
      </c>
      <c r="E368" s="2" t="s">
        <v>913</v>
      </c>
      <c r="F368" s="2" t="s">
        <v>913</v>
      </c>
      <c r="G368" s="2" t="s">
        <v>913</v>
      </c>
      <c r="H368">
        <f>_xlfn.XLOOKUP(C368,'[1]بيانات الموظفين'!$B:$B,'[1]بيانات الموظفين'!$AV:$AV)</f>
        <v>0</v>
      </c>
    </row>
    <row r="369" spans="1:8" ht="19.95" customHeight="1" x14ac:dyDescent="0.3">
      <c r="A369" s="2" t="s">
        <v>857</v>
      </c>
      <c r="B369" s="2" t="s">
        <v>858</v>
      </c>
      <c r="C369" s="4">
        <v>1069205159</v>
      </c>
      <c r="D369" s="2" t="s">
        <v>727</v>
      </c>
      <c r="E369" s="2" t="s">
        <v>913</v>
      </c>
      <c r="F369" s="2" t="s">
        <v>913</v>
      </c>
      <c r="G369" s="2" t="s">
        <v>913</v>
      </c>
      <c r="H369">
        <f>_xlfn.XLOOKUP(C369,'[1]بيانات الموظفين'!$B:$B,'[1]بيانات الموظفين'!$AV:$AV)</f>
        <v>0</v>
      </c>
    </row>
    <row r="370" spans="1:8" ht="19.95" customHeight="1" x14ac:dyDescent="0.3">
      <c r="A370" s="3" t="s">
        <v>859</v>
      </c>
      <c r="B370" s="3" t="s">
        <v>860</v>
      </c>
      <c r="C370" s="5">
        <v>2619608371</v>
      </c>
      <c r="D370" s="3" t="s">
        <v>513</v>
      </c>
      <c r="E370" s="2" t="s">
        <v>913</v>
      </c>
      <c r="F370" s="2" t="s">
        <v>913</v>
      </c>
      <c r="G370" s="2" t="s">
        <v>913</v>
      </c>
      <c r="H370">
        <f>_xlfn.XLOOKUP(C370,'[1]بيانات الموظفين'!$B:$B,'[1]بيانات الموظفين'!$AV:$AV)</f>
        <v>0</v>
      </c>
    </row>
    <row r="371" spans="1:8" ht="19.95" customHeight="1" x14ac:dyDescent="0.3">
      <c r="A371" s="2" t="s">
        <v>861</v>
      </c>
      <c r="B371" s="2" t="s">
        <v>862</v>
      </c>
      <c r="C371" s="4">
        <v>2637115417</v>
      </c>
      <c r="D371" s="2" t="s">
        <v>243</v>
      </c>
      <c r="E371" s="2" t="s">
        <v>913</v>
      </c>
      <c r="F371" s="2" t="s">
        <v>913</v>
      </c>
      <c r="G371" s="2" t="s">
        <v>913</v>
      </c>
      <c r="H371">
        <f>_xlfn.XLOOKUP(C371,'[1]بيانات الموظفين'!$B:$B,'[1]بيانات الموظفين'!$AV:$AV)</f>
        <v>0</v>
      </c>
    </row>
    <row r="372" spans="1:8" ht="19.95" customHeight="1" x14ac:dyDescent="0.3">
      <c r="A372" s="3" t="s">
        <v>863</v>
      </c>
      <c r="B372" s="3" t="s">
        <v>864</v>
      </c>
      <c r="C372" s="5">
        <v>2609188863</v>
      </c>
      <c r="D372" s="3" t="s">
        <v>382</v>
      </c>
      <c r="E372" s="2" t="s">
        <v>913</v>
      </c>
      <c r="F372" s="2" t="s">
        <v>913</v>
      </c>
      <c r="G372" s="2" t="s">
        <v>913</v>
      </c>
      <c r="H372">
        <f>_xlfn.XLOOKUP(C372,'[1]بيانات الموظفين'!$B:$B,'[1]بيانات الموظفين'!$AV:$AV)</f>
        <v>0</v>
      </c>
    </row>
    <row r="373" spans="1:8" ht="19.95" customHeight="1" x14ac:dyDescent="0.3">
      <c r="A373" s="2" t="s">
        <v>294</v>
      </c>
      <c r="B373" s="2" t="s">
        <v>865</v>
      </c>
      <c r="C373" s="4">
        <v>2548427620</v>
      </c>
      <c r="D373" s="2" t="s">
        <v>9</v>
      </c>
      <c r="E373" s="2" t="s">
        <v>913</v>
      </c>
      <c r="F373" s="2" t="s">
        <v>913</v>
      </c>
      <c r="G373" s="2" t="s">
        <v>913</v>
      </c>
      <c r="H373" t="e">
        <f>_xlfn.XLOOKUP(C373,'[1]بيانات الموظفين'!$B:$B,'[1]بيانات الموظفين'!$AV:$AV)</f>
        <v>#N/A</v>
      </c>
    </row>
    <row r="374" spans="1:8" ht="19.95" customHeight="1" x14ac:dyDescent="0.3">
      <c r="A374" s="3" t="s">
        <v>294</v>
      </c>
      <c r="B374" s="3" t="s">
        <v>866</v>
      </c>
      <c r="C374" s="5">
        <v>2601029131</v>
      </c>
      <c r="D374" s="3" t="s">
        <v>9</v>
      </c>
      <c r="E374" s="3" t="s">
        <v>913</v>
      </c>
      <c r="F374" s="3" t="s">
        <v>913</v>
      </c>
      <c r="G374" s="3" t="s">
        <v>913</v>
      </c>
      <c r="H374" t="e">
        <f>_xlfn.XLOOKUP(C374,'[1]بيانات الموظفين'!$B:$B,'[1]بيانات الموظفين'!$AV:$AV)</f>
        <v>#N/A</v>
      </c>
    </row>
    <row r="375" spans="1:8" ht="19.95" customHeight="1" x14ac:dyDescent="0.3">
      <c r="A375" s="2" t="s">
        <v>867</v>
      </c>
      <c r="B375" s="2" t="s">
        <v>868</v>
      </c>
      <c r="C375" s="4">
        <v>1138298664</v>
      </c>
      <c r="D375" s="2" t="s">
        <v>869</v>
      </c>
      <c r="E375" s="2" t="s">
        <v>913</v>
      </c>
      <c r="F375" s="2" t="s">
        <v>913</v>
      </c>
      <c r="G375" s="2" t="s">
        <v>913</v>
      </c>
      <c r="H375">
        <f>_xlfn.XLOOKUP(C375,'[1]بيانات الموظفين'!$B:$B,'[1]بيانات الموظفين'!$AV:$AV)</f>
        <v>0</v>
      </c>
    </row>
    <row r="376" spans="1:8" ht="19.95" customHeight="1" x14ac:dyDescent="0.3">
      <c r="A376" s="3" t="s">
        <v>870</v>
      </c>
      <c r="B376" s="3" t="s">
        <v>871</v>
      </c>
      <c r="C376" s="5">
        <v>2643591668</v>
      </c>
      <c r="D376" s="3" t="s">
        <v>243</v>
      </c>
      <c r="E376" s="2" t="s">
        <v>913</v>
      </c>
      <c r="F376" s="2" t="s">
        <v>913</v>
      </c>
      <c r="G376" s="2" t="s">
        <v>913</v>
      </c>
      <c r="H376">
        <f>_xlfn.XLOOKUP(C376,'[1]بيانات الموظفين'!$B:$B,'[1]بيانات الموظفين'!$AV:$AV)</f>
        <v>0</v>
      </c>
    </row>
    <row r="377" spans="1:8" ht="19.95" customHeight="1" x14ac:dyDescent="0.3">
      <c r="A377" s="2" t="s">
        <v>872</v>
      </c>
      <c r="B377" s="2" t="s">
        <v>873</v>
      </c>
      <c r="C377" s="4">
        <v>2578710648</v>
      </c>
      <c r="D377" s="2" t="s">
        <v>9</v>
      </c>
      <c r="E377" s="2" t="s">
        <v>32</v>
      </c>
      <c r="F377" s="2" t="s">
        <v>32</v>
      </c>
      <c r="G377" s="2" t="s">
        <v>32</v>
      </c>
      <c r="H377">
        <f>_xlfn.XLOOKUP(C377,'[1]بيانات الموظفين'!$B:$B,'[1]بيانات الموظفين'!$AV:$AV)</f>
        <v>0</v>
      </c>
    </row>
    <row r="378" spans="1:8" ht="19.95" customHeight="1" x14ac:dyDescent="0.3">
      <c r="A378" s="3" t="s">
        <v>874</v>
      </c>
      <c r="B378" s="3" t="s">
        <v>875</v>
      </c>
      <c r="C378" s="5">
        <v>2607007255</v>
      </c>
      <c r="D378" s="3" t="s">
        <v>248</v>
      </c>
      <c r="E378" s="2" t="s">
        <v>913</v>
      </c>
      <c r="F378" s="2" t="s">
        <v>913</v>
      </c>
      <c r="G378" s="2" t="s">
        <v>913</v>
      </c>
      <c r="H378">
        <f>_xlfn.XLOOKUP(C378,'[1]بيانات الموظفين'!$B:$B,'[1]بيانات الموظفين'!$AV:$AV)</f>
        <v>0</v>
      </c>
    </row>
    <row r="379" spans="1:8" ht="19.95" customHeight="1" x14ac:dyDescent="0.3">
      <c r="A379" s="2" t="s">
        <v>876</v>
      </c>
      <c r="B379" s="2" t="s">
        <v>877</v>
      </c>
      <c r="C379" s="4">
        <v>2636257749</v>
      </c>
      <c r="D379" s="2" t="s">
        <v>248</v>
      </c>
      <c r="E379" s="2" t="s">
        <v>913</v>
      </c>
      <c r="F379" s="2" t="s">
        <v>913</v>
      </c>
      <c r="G379" s="2" t="s">
        <v>913</v>
      </c>
      <c r="H379">
        <f>_xlfn.XLOOKUP(C379,'[1]بيانات الموظفين'!$B:$B,'[1]بيانات الموظفين'!$AV:$AV)</f>
        <v>0</v>
      </c>
    </row>
    <row r="380" spans="1:8" ht="19.95" customHeight="1" x14ac:dyDescent="0.3">
      <c r="A380" s="3" t="s">
        <v>878</v>
      </c>
      <c r="B380" s="3" t="s">
        <v>879</v>
      </c>
      <c r="C380" s="5">
        <v>2568200659</v>
      </c>
      <c r="D380" s="3" t="s">
        <v>248</v>
      </c>
      <c r="E380" s="2" t="s">
        <v>913</v>
      </c>
      <c r="F380" s="2" t="s">
        <v>913</v>
      </c>
      <c r="G380" s="2" t="s">
        <v>913</v>
      </c>
      <c r="H380">
        <f>_xlfn.XLOOKUP(C380,'[1]بيانات الموظفين'!$B:$B,'[1]بيانات الموظفين'!$AV:$AV)</f>
        <v>0</v>
      </c>
    </row>
    <row r="381" spans="1:8" ht="19.95" customHeight="1" x14ac:dyDescent="0.3">
      <c r="A381" s="2" t="s">
        <v>880</v>
      </c>
      <c r="B381" s="2" t="s">
        <v>881</v>
      </c>
      <c r="C381" s="4">
        <v>2590036691</v>
      </c>
      <c r="D381" s="2" t="s">
        <v>248</v>
      </c>
      <c r="E381" s="2" t="s">
        <v>913</v>
      </c>
      <c r="F381" s="2" t="s">
        <v>913</v>
      </c>
      <c r="G381" s="2" t="s">
        <v>913</v>
      </c>
      <c r="H381">
        <f>_xlfn.XLOOKUP(C381,'[1]بيانات الموظفين'!$B:$B,'[1]بيانات الموظفين'!$AV:$AV)</f>
        <v>0</v>
      </c>
    </row>
    <row r="382" spans="1:8" ht="19.95" customHeight="1" x14ac:dyDescent="0.3">
      <c r="A382" s="3" t="s">
        <v>882</v>
      </c>
      <c r="B382" s="3" t="s">
        <v>883</v>
      </c>
      <c r="C382" s="5">
        <v>2639555164</v>
      </c>
      <c r="D382" s="3" t="s">
        <v>382</v>
      </c>
      <c r="E382" s="2" t="s">
        <v>913</v>
      </c>
      <c r="F382" s="2" t="s">
        <v>913</v>
      </c>
      <c r="G382" s="2" t="s">
        <v>913</v>
      </c>
      <c r="H382">
        <f>_xlfn.XLOOKUP(C382,'[1]بيانات الموظفين'!$B:$B,'[1]بيانات الموظفين'!$AV:$AV)</f>
        <v>0</v>
      </c>
    </row>
    <row r="383" spans="1:8" ht="19.95" customHeight="1" x14ac:dyDescent="0.3">
      <c r="A383" s="2" t="s">
        <v>884</v>
      </c>
      <c r="B383" s="2" t="s">
        <v>885</v>
      </c>
      <c r="C383" s="4">
        <v>2598673842</v>
      </c>
      <c r="D383" s="2" t="s">
        <v>248</v>
      </c>
      <c r="E383" s="2" t="s">
        <v>913</v>
      </c>
      <c r="F383" s="2" t="s">
        <v>913</v>
      </c>
      <c r="G383" s="2" t="s">
        <v>913</v>
      </c>
      <c r="H383">
        <f>_xlfn.XLOOKUP(C383,'[1]بيانات الموظفين'!$B:$B,'[1]بيانات الموظفين'!$AV:$AV)</f>
        <v>0</v>
      </c>
    </row>
    <row r="384" spans="1:8" ht="19.95" customHeight="1" x14ac:dyDescent="0.3">
      <c r="A384" s="3" t="s">
        <v>886</v>
      </c>
      <c r="B384" s="3" t="s">
        <v>887</v>
      </c>
      <c r="C384" s="5">
        <v>2578671519</v>
      </c>
      <c r="D384" s="3" t="s">
        <v>248</v>
      </c>
      <c r="E384" s="2" t="s">
        <v>913</v>
      </c>
      <c r="F384" s="2" t="s">
        <v>913</v>
      </c>
      <c r="G384" s="2" t="s">
        <v>913</v>
      </c>
      <c r="H384">
        <f>_xlfn.XLOOKUP(C384,'[1]بيانات الموظفين'!$B:$B,'[1]بيانات الموظفين'!$AV:$AV)</f>
        <v>0</v>
      </c>
    </row>
    <row r="385" spans="1:8" ht="19.95" customHeight="1" x14ac:dyDescent="0.3">
      <c r="A385" s="2" t="s">
        <v>888</v>
      </c>
      <c r="B385" s="2" t="s">
        <v>889</v>
      </c>
      <c r="C385" s="4">
        <v>2581785736</v>
      </c>
      <c r="D385" s="2" t="s">
        <v>248</v>
      </c>
      <c r="E385" s="2" t="s">
        <v>913</v>
      </c>
      <c r="F385" s="2" t="s">
        <v>913</v>
      </c>
      <c r="G385" s="2" t="s">
        <v>913</v>
      </c>
      <c r="H385">
        <f>_xlfn.XLOOKUP(C385,'[1]بيانات الموظفين'!$B:$B,'[1]بيانات الموظفين'!$AV:$AV)</f>
        <v>0</v>
      </c>
    </row>
    <row r="386" spans="1:8" ht="19.95" customHeight="1" x14ac:dyDescent="0.3">
      <c r="A386" s="3" t="s">
        <v>890</v>
      </c>
      <c r="B386" s="3" t="s">
        <v>891</v>
      </c>
      <c r="C386" s="5">
        <v>2621086426</v>
      </c>
      <c r="D386" s="3" t="s">
        <v>363</v>
      </c>
      <c r="E386" s="2" t="s">
        <v>913</v>
      </c>
      <c r="F386" s="2" t="s">
        <v>913</v>
      </c>
      <c r="G386" s="2" t="s">
        <v>913</v>
      </c>
      <c r="H386">
        <f>_xlfn.XLOOKUP(C386,'[1]بيانات الموظفين'!$B:$B,'[1]بيانات الموظفين'!$AV:$AV)</f>
        <v>0</v>
      </c>
    </row>
    <row r="387" spans="1:8" ht="19.95" customHeight="1" x14ac:dyDescent="0.3">
      <c r="A387" s="2" t="s">
        <v>892</v>
      </c>
      <c r="B387" s="2" t="s">
        <v>893</v>
      </c>
      <c r="C387" s="4">
        <v>2643085877</v>
      </c>
      <c r="D387" s="2" t="s">
        <v>9</v>
      </c>
      <c r="E387" s="2" t="s">
        <v>32</v>
      </c>
      <c r="F387" s="2" t="s">
        <v>32</v>
      </c>
      <c r="G387" s="2" t="s">
        <v>32</v>
      </c>
      <c r="H387">
        <f>_xlfn.XLOOKUP(C387,'[1]بيانات الموظفين'!$B:$B,'[1]بيانات الموظفين'!$AV:$AV)</f>
        <v>0</v>
      </c>
    </row>
    <row r="388" spans="1:8" ht="19.95" customHeight="1" x14ac:dyDescent="0.3">
      <c r="A388" s="3" t="s">
        <v>894</v>
      </c>
      <c r="B388" s="3" t="s">
        <v>895</v>
      </c>
      <c r="C388" s="5">
        <v>2360829754</v>
      </c>
      <c r="D388" s="3" t="s">
        <v>9</v>
      </c>
      <c r="E388" s="2" t="s">
        <v>32</v>
      </c>
      <c r="F388" s="2" t="s">
        <v>32</v>
      </c>
      <c r="G388" s="2" t="s">
        <v>32</v>
      </c>
      <c r="H388">
        <f>_xlfn.XLOOKUP(C388,'[1]بيانات الموظفين'!$B:$B,'[1]بيانات الموظفين'!$AV:$AV)</f>
        <v>0</v>
      </c>
    </row>
    <row r="389" spans="1:8" ht="19.95" customHeight="1" x14ac:dyDescent="0.3">
      <c r="A389" s="2" t="s">
        <v>896</v>
      </c>
      <c r="B389" s="2" t="s">
        <v>897</v>
      </c>
      <c r="C389" s="4">
        <v>2571606447</v>
      </c>
      <c r="D389" s="2" t="s">
        <v>9</v>
      </c>
      <c r="E389" s="2" t="s">
        <v>32</v>
      </c>
      <c r="F389" s="2" t="s">
        <v>32</v>
      </c>
      <c r="G389" s="2" t="s">
        <v>32</v>
      </c>
      <c r="H389">
        <f>_xlfn.XLOOKUP(C389,'[1]بيانات الموظفين'!$B:$B,'[1]بيانات الموظفين'!$AV:$AV)</f>
        <v>0</v>
      </c>
    </row>
    <row r="390" spans="1:8" ht="19.95" customHeight="1" x14ac:dyDescent="0.3">
      <c r="A390" s="3" t="s">
        <v>898</v>
      </c>
      <c r="B390" s="3" t="s">
        <v>899</v>
      </c>
      <c r="C390" s="5">
        <v>2532063233</v>
      </c>
      <c r="D390" s="3" t="s">
        <v>248</v>
      </c>
      <c r="E390" s="2" t="s">
        <v>913</v>
      </c>
      <c r="F390" s="2" t="s">
        <v>913</v>
      </c>
      <c r="G390" s="2" t="s">
        <v>913</v>
      </c>
      <c r="H390">
        <f>_xlfn.XLOOKUP(C390,'[1]بيانات الموظفين'!$B:$B,'[1]بيانات الموظفين'!$AV:$AV)</f>
        <v>0</v>
      </c>
    </row>
    <row r="391" spans="1:8" ht="19.95" customHeight="1" x14ac:dyDescent="0.3">
      <c r="A391" s="2" t="s">
        <v>900</v>
      </c>
      <c r="B391" s="2" t="s">
        <v>901</v>
      </c>
      <c r="C391" s="4">
        <v>2608015794</v>
      </c>
      <c r="D391" s="2" t="s">
        <v>248</v>
      </c>
      <c r="E391" s="2" t="s">
        <v>913</v>
      </c>
      <c r="F391" s="2" t="s">
        <v>913</v>
      </c>
      <c r="G391" s="2" t="s">
        <v>913</v>
      </c>
      <c r="H391">
        <f>_xlfn.XLOOKUP(C391,'[1]بيانات الموظفين'!$B:$B,'[1]بيانات الموظفين'!$AV:$AV)</f>
        <v>0</v>
      </c>
    </row>
    <row r="392" spans="1:8" ht="19.95" customHeight="1" x14ac:dyDescent="0.3">
      <c r="A392" s="3" t="s">
        <v>902</v>
      </c>
      <c r="B392" s="3" t="s">
        <v>903</v>
      </c>
      <c r="C392" s="5">
        <v>2605086525</v>
      </c>
      <c r="D392" s="3" t="s">
        <v>248</v>
      </c>
      <c r="E392" s="2" t="s">
        <v>913</v>
      </c>
      <c r="F392" s="2" t="s">
        <v>913</v>
      </c>
      <c r="G392" s="2" t="s">
        <v>913</v>
      </c>
      <c r="H392">
        <f>_xlfn.XLOOKUP(C392,'[1]بيانات الموظفين'!$B:$B,'[1]بيانات الموظفين'!$AV:$AV)</f>
        <v>0</v>
      </c>
    </row>
    <row r="393" spans="1:8" ht="19.95" customHeight="1" x14ac:dyDescent="0.3">
      <c r="A393" s="2" t="s">
        <v>904</v>
      </c>
      <c r="B393" s="2" t="s">
        <v>905</v>
      </c>
      <c r="C393" s="4">
        <v>2534173972</v>
      </c>
      <c r="D393" s="2" t="s">
        <v>248</v>
      </c>
      <c r="E393" s="2" t="s">
        <v>913</v>
      </c>
      <c r="F393" s="2" t="s">
        <v>913</v>
      </c>
      <c r="G393" s="2" t="s">
        <v>913</v>
      </c>
      <c r="H393">
        <f>_xlfn.XLOOKUP(C393,'[1]بيانات الموظفين'!$B:$B,'[1]بيانات الموظفين'!$AV:$AV)</f>
        <v>0</v>
      </c>
    </row>
    <row r="394" spans="1:8" ht="19.95" customHeight="1" x14ac:dyDescent="0.3">
      <c r="A394" s="3" t="s">
        <v>906</v>
      </c>
      <c r="B394" s="3" t="s">
        <v>907</v>
      </c>
      <c r="C394" s="5">
        <v>2616746968</v>
      </c>
      <c r="D394" s="3" t="s">
        <v>248</v>
      </c>
      <c r="E394" s="2" t="s">
        <v>913</v>
      </c>
      <c r="F394" s="2" t="s">
        <v>913</v>
      </c>
      <c r="G394" s="2" t="s">
        <v>913</v>
      </c>
      <c r="H394">
        <f>_xlfn.XLOOKUP(C394,'[1]بيانات الموظفين'!$B:$B,'[1]بيانات الموظفين'!$AV:$AV)</f>
        <v>0</v>
      </c>
    </row>
    <row r="395" spans="1:8" ht="19.95" customHeight="1" x14ac:dyDescent="0.3">
      <c r="A395" s="2" t="s">
        <v>908</v>
      </c>
      <c r="B395" s="2" t="s">
        <v>909</v>
      </c>
      <c r="C395" s="4">
        <v>2644111508</v>
      </c>
      <c r="D395" s="2" t="s">
        <v>848</v>
      </c>
      <c r="E395" s="2" t="s">
        <v>913</v>
      </c>
      <c r="F395" s="2" t="s">
        <v>913</v>
      </c>
      <c r="G395" s="2" t="s">
        <v>913</v>
      </c>
      <c r="H395">
        <f>_xlfn.XLOOKUP(C395,'[1]بيانات الموظفين'!$B:$B,'[1]بيانات الموظفين'!$AV:$AV)</f>
        <v>0</v>
      </c>
    </row>
    <row r="396" spans="1:8" ht="19.95" customHeight="1" x14ac:dyDescent="0.3">
      <c r="A396" s="3" t="s">
        <v>910</v>
      </c>
      <c r="B396" s="3" t="s">
        <v>911</v>
      </c>
      <c r="C396" s="5">
        <v>2602388270</v>
      </c>
      <c r="D396" s="3" t="s">
        <v>9</v>
      </c>
      <c r="E396" s="3" t="s">
        <v>913</v>
      </c>
      <c r="F396" s="3" t="s">
        <v>913</v>
      </c>
      <c r="G396" s="3" t="s">
        <v>913</v>
      </c>
      <c r="H396" t="e">
        <f>_xlfn.XLOOKUP(C396,'[1]بيانات الموظفين'!$B:$B,'[1]بيانات الموظفين'!$AV:$AV)</f>
        <v>#N/A</v>
      </c>
    </row>
  </sheetData>
  <autoFilter ref="A2:H396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بطاقات السائقين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2026-09-03T12:37:03Z</dcterms:created>
  <dcterms:modified xsi:type="dcterms:W3CDTF">2026-09-03T12:51:41Z</dcterms:modified>
  <cp:category/>
</cp:coreProperties>
</file>