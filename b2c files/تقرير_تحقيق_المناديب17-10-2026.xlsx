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energ\Downloads\"/>
    </mc:Choice>
  </mc:AlternateContent>
  <xr:revisionPtr revIDLastSave="0" documentId="13_ncr:1_{8C15197B-F2C6-492C-829E-294677D3C8F7}" xr6:coauthVersionLast="47" xr6:coauthVersionMax="47" xr10:uidLastSave="{00000000-0000-0000-0000-000000000000}"/>
  <bookViews>
    <workbookView xWindow="-108" yWindow="-108" windowWidth="23256" windowHeight="12456" tabRatio="500" xr2:uid="{00000000-000D-0000-FFFF-FFFF00000000}"/>
  </bookViews>
  <sheets>
    <sheet name="التقرير" sheetId="1" r:id="rId1"/>
    <sheet name="الإدخال اليومي" sheetId="2" r:id="rId2"/>
    <sheet name="الإعدادات" sheetId="3" r:id="rId3"/>
  </sheets>
  <definedNames>
    <definedName name="_xlnm._FilterDatabase" localSheetId="1" hidden="1">'الإدخال اليومي'!$A$3:$AH$234</definedName>
    <definedName name="_xlnm._FilterDatabase" localSheetId="0" hidden="1">التقرير!$A$30:$Q$260</definedName>
    <definedName name="_xlnm.Print_Titles" localSheetId="0">التقرير!$30:$30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A104" i="1" l="1"/>
  <c r="B104" i="1"/>
  <c r="P104" i="1" s="1"/>
  <c r="C104" i="1"/>
  <c r="E104" i="1"/>
  <c r="G104" i="1"/>
  <c r="H104" i="1"/>
  <c r="J104" i="1"/>
  <c r="Q104" i="1"/>
  <c r="D105" i="2"/>
  <c r="I105" i="2"/>
  <c r="A2" i="1"/>
  <c r="B5" i="3"/>
  <c r="AH234" i="2"/>
  <c r="I234" i="2"/>
  <c r="D234" i="2"/>
  <c r="AH233" i="2"/>
  <c r="I233" i="2"/>
  <c r="D233" i="2"/>
  <c r="AH232" i="2"/>
  <c r="I232" i="2"/>
  <c r="D232" i="2"/>
  <c r="AH231" i="2"/>
  <c r="I231" i="2"/>
  <c r="D231" i="2"/>
  <c r="AH230" i="2"/>
  <c r="I230" i="2"/>
  <c r="D230" i="2"/>
  <c r="AH229" i="2"/>
  <c r="I229" i="2"/>
  <c r="D229" i="2"/>
  <c r="AH228" i="2"/>
  <c r="I228" i="2"/>
  <c r="D228" i="2"/>
  <c r="AH227" i="2"/>
  <c r="I227" i="2"/>
  <c r="D227" i="2"/>
  <c r="AH226" i="2"/>
  <c r="I226" i="2"/>
  <c r="D226" i="2"/>
  <c r="AH225" i="2"/>
  <c r="I225" i="2"/>
  <c r="D225" i="2"/>
  <c r="AH224" i="2"/>
  <c r="I224" i="2"/>
  <c r="D224" i="2"/>
  <c r="AH223" i="2"/>
  <c r="I223" i="2"/>
  <c r="D223" i="2"/>
  <c r="AH222" i="2"/>
  <c r="I222" i="2"/>
  <c r="D222" i="2"/>
  <c r="AH221" i="2"/>
  <c r="I221" i="2"/>
  <c r="D221" i="2"/>
  <c r="AH220" i="2"/>
  <c r="I220" i="2"/>
  <c r="D220" i="2"/>
  <c r="AH219" i="2"/>
  <c r="I219" i="2"/>
  <c r="D219" i="2"/>
  <c r="AH218" i="2"/>
  <c r="I218" i="2"/>
  <c r="D218" i="2"/>
  <c r="AH217" i="2"/>
  <c r="I217" i="2"/>
  <c r="D217" i="2"/>
  <c r="AH216" i="2"/>
  <c r="I216" i="2"/>
  <c r="D216" i="2"/>
  <c r="AH215" i="2"/>
  <c r="I215" i="2"/>
  <c r="D215" i="2"/>
  <c r="AH214" i="2"/>
  <c r="I214" i="2"/>
  <c r="D214" i="2"/>
  <c r="AH213" i="2"/>
  <c r="I213" i="2"/>
  <c r="D213" i="2"/>
  <c r="AH212" i="2"/>
  <c r="I212" i="2"/>
  <c r="D212" i="2"/>
  <c r="AH211" i="2"/>
  <c r="I211" i="2"/>
  <c r="D211" i="2"/>
  <c r="AH210" i="2"/>
  <c r="I210" i="2"/>
  <c r="D210" i="2"/>
  <c r="AH209" i="2"/>
  <c r="I209" i="2"/>
  <c r="D209" i="2"/>
  <c r="AH208" i="2"/>
  <c r="I208" i="2"/>
  <c r="D208" i="2"/>
  <c r="AH207" i="2"/>
  <c r="I207" i="2"/>
  <c r="D207" i="2"/>
  <c r="AH206" i="2"/>
  <c r="I206" i="2"/>
  <c r="D206" i="2"/>
  <c r="AH205" i="2"/>
  <c r="I205" i="2"/>
  <c r="D205" i="2"/>
  <c r="AH204" i="2"/>
  <c r="I204" i="2"/>
  <c r="D204" i="2"/>
  <c r="AH203" i="2"/>
  <c r="I203" i="2"/>
  <c r="D203" i="2"/>
  <c r="AH202" i="2"/>
  <c r="I202" i="2"/>
  <c r="D202" i="2"/>
  <c r="AH201" i="2"/>
  <c r="I201" i="2"/>
  <c r="D201" i="2"/>
  <c r="AH200" i="2"/>
  <c r="I200" i="2"/>
  <c r="D200" i="2"/>
  <c r="AH199" i="2"/>
  <c r="I199" i="2"/>
  <c r="D199" i="2"/>
  <c r="AH198" i="2"/>
  <c r="I198" i="2"/>
  <c r="D198" i="2"/>
  <c r="AH197" i="2"/>
  <c r="I197" i="2"/>
  <c r="D197" i="2"/>
  <c r="AH196" i="2"/>
  <c r="I196" i="2"/>
  <c r="D196" i="2"/>
  <c r="AH195" i="2"/>
  <c r="I195" i="2"/>
  <c r="D195" i="2"/>
  <c r="AH194" i="2"/>
  <c r="I194" i="2"/>
  <c r="D194" i="2"/>
  <c r="AH193" i="2"/>
  <c r="I193" i="2"/>
  <c r="D193" i="2"/>
  <c r="AH192" i="2"/>
  <c r="I192" i="2"/>
  <c r="D192" i="2"/>
  <c r="AH191" i="2"/>
  <c r="I191" i="2"/>
  <c r="D191" i="2"/>
  <c r="AH190" i="2"/>
  <c r="I190" i="2"/>
  <c r="D190" i="2"/>
  <c r="AH189" i="2"/>
  <c r="I189" i="2"/>
  <c r="D189" i="2"/>
  <c r="AH188" i="2"/>
  <c r="I188" i="2"/>
  <c r="D188" i="2"/>
  <c r="AH187" i="2"/>
  <c r="I187" i="2"/>
  <c r="D187" i="2"/>
  <c r="AH186" i="2"/>
  <c r="I186" i="2"/>
  <c r="D186" i="2"/>
  <c r="AH185" i="2"/>
  <c r="I185" i="2"/>
  <c r="D185" i="2"/>
  <c r="AH184" i="2"/>
  <c r="I184" i="2"/>
  <c r="D184" i="2"/>
  <c r="AH183" i="2"/>
  <c r="I183" i="2"/>
  <c r="D183" i="2"/>
  <c r="AH182" i="2"/>
  <c r="I182" i="2"/>
  <c r="D182" i="2"/>
  <c r="AH181" i="2"/>
  <c r="I181" i="2"/>
  <c r="D181" i="2"/>
  <c r="AH180" i="2"/>
  <c r="I180" i="2"/>
  <c r="D180" i="2"/>
  <c r="AH179" i="2"/>
  <c r="I179" i="2"/>
  <c r="D179" i="2"/>
  <c r="I178" i="2"/>
  <c r="D178" i="2"/>
  <c r="I177" i="2"/>
  <c r="D177" i="2"/>
  <c r="I176" i="2"/>
  <c r="D176" i="2"/>
  <c r="I175" i="2"/>
  <c r="D175" i="2"/>
  <c r="I174" i="2"/>
  <c r="D174" i="2"/>
  <c r="I173" i="2"/>
  <c r="D173" i="2"/>
  <c r="I172" i="2"/>
  <c r="D172" i="2"/>
  <c r="I171" i="2"/>
  <c r="D171" i="2"/>
  <c r="I170" i="2"/>
  <c r="D170" i="2"/>
  <c r="I169" i="2"/>
  <c r="D169" i="2"/>
  <c r="I168" i="2"/>
  <c r="D168" i="2"/>
  <c r="I167" i="2"/>
  <c r="D167" i="2"/>
  <c r="I166" i="2"/>
  <c r="D166" i="2"/>
  <c r="I165" i="2"/>
  <c r="D165" i="2"/>
  <c r="I164" i="2"/>
  <c r="D164" i="2"/>
  <c r="I163" i="2"/>
  <c r="D163" i="2"/>
  <c r="I162" i="2"/>
  <c r="D162" i="2"/>
  <c r="I161" i="2"/>
  <c r="D161" i="2"/>
  <c r="I160" i="2"/>
  <c r="D160" i="2"/>
  <c r="I159" i="2"/>
  <c r="D159" i="2"/>
  <c r="I158" i="2"/>
  <c r="D158" i="2"/>
  <c r="I157" i="2"/>
  <c r="D157" i="2"/>
  <c r="I156" i="2"/>
  <c r="D156" i="2"/>
  <c r="I155" i="2"/>
  <c r="D155" i="2"/>
  <c r="I154" i="2"/>
  <c r="D154" i="2"/>
  <c r="I153" i="2"/>
  <c r="D153" i="2"/>
  <c r="I152" i="2"/>
  <c r="D152" i="2"/>
  <c r="I151" i="2"/>
  <c r="D151" i="2"/>
  <c r="I150" i="2"/>
  <c r="D150" i="2"/>
  <c r="I149" i="2"/>
  <c r="D149" i="2"/>
  <c r="I148" i="2"/>
  <c r="D148" i="2"/>
  <c r="I147" i="2"/>
  <c r="D147" i="2"/>
  <c r="I146" i="2"/>
  <c r="D146" i="2"/>
  <c r="I145" i="2"/>
  <c r="D145" i="2"/>
  <c r="I144" i="2"/>
  <c r="D144" i="2"/>
  <c r="I143" i="2"/>
  <c r="D143" i="2"/>
  <c r="I142" i="2"/>
  <c r="D142" i="2"/>
  <c r="I141" i="2"/>
  <c r="D141" i="2"/>
  <c r="I140" i="2"/>
  <c r="D140" i="2"/>
  <c r="I139" i="2"/>
  <c r="D139" i="2"/>
  <c r="I138" i="2"/>
  <c r="D138" i="2"/>
  <c r="I137" i="2"/>
  <c r="D137" i="2"/>
  <c r="I136" i="2"/>
  <c r="D136" i="2"/>
  <c r="I135" i="2"/>
  <c r="D135" i="2"/>
  <c r="I134" i="2"/>
  <c r="D134" i="2"/>
  <c r="I133" i="2"/>
  <c r="D133" i="2"/>
  <c r="I132" i="2"/>
  <c r="D132" i="2"/>
  <c r="I131" i="2"/>
  <c r="D131" i="2"/>
  <c r="I130" i="2"/>
  <c r="D130" i="2"/>
  <c r="I129" i="2"/>
  <c r="D129" i="2"/>
  <c r="I128" i="2"/>
  <c r="D128" i="2"/>
  <c r="I127" i="2"/>
  <c r="D127" i="2"/>
  <c r="I126" i="2"/>
  <c r="D126" i="2"/>
  <c r="I125" i="2"/>
  <c r="D125" i="2"/>
  <c r="I124" i="2"/>
  <c r="D124" i="2"/>
  <c r="I123" i="2"/>
  <c r="D123" i="2"/>
  <c r="I122" i="2"/>
  <c r="D122" i="2"/>
  <c r="I121" i="2"/>
  <c r="D121" i="2"/>
  <c r="I120" i="2"/>
  <c r="D120" i="2"/>
  <c r="I119" i="2"/>
  <c r="D119" i="2"/>
  <c r="I118" i="2"/>
  <c r="D118" i="2"/>
  <c r="I117" i="2"/>
  <c r="D117" i="2"/>
  <c r="I116" i="2"/>
  <c r="D116" i="2"/>
  <c r="I115" i="2"/>
  <c r="D115" i="2"/>
  <c r="I114" i="2"/>
  <c r="D114" i="2"/>
  <c r="I113" i="2"/>
  <c r="D113" i="2"/>
  <c r="I112" i="2"/>
  <c r="D112" i="2"/>
  <c r="I111" i="2"/>
  <c r="D111" i="2"/>
  <c r="I110" i="2"/>
  <c r="D110" i="2"/>
  <c r="I109" i="2"/>
  <c r="D109" i="2"/>
  <c r="I108" i="2"/>
  <c r="D108" i="2"/>
  <c r="I107" i="2"/>
  <c r="D107" i="2"/>
  <c r="I106" i="2"/>
  <c r="D106" i="2"/>
  <c r="I104" i="2"/>
  <c r="D104" i="2"/>
  <c r="I103" i="2"/>
  <c r="D103" i="2"/>
  <c r="I102" i="2"/>
  <c r="D102" i="2"/>
  <c r="I101" i="2"/>
  <c r="D101" i="2"/>
  <c r="I100" i="2"/>
  <c r="D100" i="2"/>
  <c r="I99" i="2"/>
  <c r="D99" i="2"/>
  <c r="I98" i="2"/>
  <c r="D98" i="2"/>
  <c r="I97" i="2"/>
  <c r="D97" i="2"/>
  <c r="I96" i="2"/>
  <c r="D96" i="2"/>
  <c r="I95" i="2"/>
  <c r="D95" i="2"/>
  <c r="I94" i="2"/>
  <c r="D94" i="2"/>
  <c r="I93" i="2"/>
  <c r="D93" i="2"/>
  <c r="I92" i="2"/>
  <c r="D92" i="2"/>
  <c r="I91" i="2"/>
  <c r="D91" i="2"/>
  <c r="I90" i="2"/>
  <c r="D90" i="2"/>
  <c r="I89" i="2"/>
  <c r="D89" i="2"/>
  <c r="I88" i="2"/>
  <c r="D88" i="2"/>
  <c r="I87" i="2"/>
  <c r="D87" i="2"/>
  <c r="I86" i="2"/>
  <c r="D86" i="2"/>
  <c r="I85" i="2"/>
  <c r="D85" i="2"/>
  <c r="I84" i="2"/>
  <c r="D84" i="2"/>
  <c r="I83" i="2"/>
  <c r="D83" i="2"/>
  <c r="I82" i="2"/>
  <c r="D82" i="2"/>
  <c r="I81" i="2"/>
  <c r="D81" i="2"/>
  <c r="I80" i="2"/>
  <c r="D80" i="2"/>
  <c r="I79" i="2"/>
  <c r="D79" i="2"/>
  <c r="I78" i="2"/>
  <c r="D78" i="2"/>
  <c r="I77" i="2"/>
  <c r="D77" i="2"/>
  <c r="I76" i="2"/>
  <c r="D76" i="2"/>
  <c r="I75" i="2"/>
  <c r="D75" i="2"/>
  <c r="I74" i="2"/>
  <c r="D74" i="2"/>
  <c r="I73" i="2"/>
  <c r="D73" i="2"/>
  <c r="I72" i="2"/>
  <c r="D72" i="2"/>
  <c r="I71" i="2"/>
  <c r="D71" i="2"/>
  <c r="I70" i="2"/>
  <c r="D70" i="2"/>
  <c r="I69" i="2"/>
  <c r="D69" i="2"/>
  <c r="I68" i="2"/>
  <c r="D68" i="2"/>
  <c r="I67" i="2"/>
  <c r="D67" i="2"/>
  <c r="I66" i="2"/>
  <c r="D66" i="2"/>
  <c r="I65" i="2"/>
  <c r="D65" i="2"/>
  <c r="I64" i="2"/>
  <c r="D64" i="2"/>
  <c r="I63" i="2"/>
  <c r="D63" i="2"/>
  <c r="I62" i="2"/>
  <c r="D62" i="2"/>
  <c r="I61" i="2"/>
  <c r="D61" i="2"/>
  <c r="I60" i="2"/>
  <c r="D60" i="2"/>
  <c r="I59" i="2"/>
  <c r="D59" i="2"/>
  <c r="I58" i="2"/>
  <c r="D58" i="2"/>
  <c r="I57" i="2"/>
  <c r="D57" i="2"/>
  <c r="I56" i="2"/>
  <c r="D56" i="2"/>
  <c r="I55" i="2"/>
  <c r="D55" i="2"/>
  <c r="I54" i="2"/>
  <c r="D54" i="2"/>
  <c r="I53" i="2"/>
  <c r="D53" i="2"/>
  <c r="I52" i="2"/>
  <c r="D52" i="2"/>
  <c r="I51" i="2"/>
  <c r="D51" i="2"/>
  <c r="I50" i="2"/>
  <c r="D50" i="2"/>
  <c r="I49" i="2"/>
  <c r="D49" i="2"/>
  <c r="I48" i="2"/>
  <c r="D48" i="2"/>
  <c r="I47" i="2"/>
  <c r="D47" i="2"/>
  <c r="I46" i="2"/>
  <c r="D46" i="2"/>
  <c r="I45" i="2"/>
  <c r="D45" i="2"/>
  <c r="I44" i="2"/>
  <c r="D44" i="2"/>
  <c r="I43" i="2"/>
  <c r="D43" i="2"/>
  <c r="I42" i="2"/>
  <c r="D42" i="2"/>
  <c r="I41" i="2"/>
  <c r="D41" i="2"/>
  <c r="I40" i="2"/>
  <c r="D40" i="2"/>
  <c r="I39" i="2"/>
  <c r="D39" i="2"/>
  <c r="I38" i="2"/>
  <c r="D38" i="2"/>
  <c r="I37" i="2"/>
  <c r="D37" i="2"/>
  <c r="I36" i="2"/>
  <c r="D36" i="2"/>
  <c r="I35" i="2"/>
  <c r="D35" i="2"/>
  <c r="I34" i="2"/>
  <c r="D34" i="2"/>
  <c r="I33" i="2"/>
  <c r="D33" i="2"/>
  <c r="I32" i="2"/>
  <c r="D32" i="2"/>
  <c r="I31" i="2"/>
  <c r="D31" i="2"/>
  <c r="I30" i="2"/>
  <c r="D30" i="2"/>
  <c r="I29" i="2"/>
  <c r="D29" i="2"/>
  <c r="I28" i="2"/>
  <c r="D28" i="2"/>
  <c r="I27" i="2"/>
  <c r="D27" i="2"/>
  <c r="I26" i="2"/>
  <c r="D26" i="2"/>
  <c r="I25" i="2"/>
  <c r="D25" i="2"/>
  <c r="I24" i="2"/>
  <c r="D24" i="2"/>
  <c r="I23" i="2"/>
  <c r="D23" i="2"/>
  <c r="I22" i="2"/>
  <c r="D22" i="2"/>
  <c r="I21" i="2"/>
  <c r="D21" i="2"/>
  <c r="I20" i="2"/>
  <c r="D20" i="2"/>
  <c r="I19" i="2"/>
  <c r="D19" i="2"/>
  <c r="I18" i="2"/>
  <c r="D18" i="2"/>
  <c r="I17" i="2"/>
  <c r="D17" i="2"/>
  <c r="I16" i="2"/>
  <c r="D16" i="2"/>
  <c r="I15" i="2"/>
  <c r="D15" i="2"/>
  <c r="I14" i="2"/>
  <c r="D14" i="2"/>
  <c r="I13" i="2"/>
  <c r="D13" i="2"/>
  <c r="I12" i="2"/>
  <c r="D12" i="2"/>
  <c r="I11" i="2"/>
  <c r="D11" i="2"/>
  <c r="I10" i="2"/>
  <c r="D10" i="2"/>
  <c r="I9" i="2"/>
  <c r="D9" i="2"/>
  <c r="I8" i="2"/>
  <c r="D8" i="2"/>
  <c r="I7" i="2"/>
  <c r="D7" i="2"/>
  <c r="I6" i="2"/>
  <c r="D6" i="2"/>
  <c r="I5" i="2"/>
  <c r="D5" i="2"/>
  <c r="AG4" i="2"/>
  <c r="AA4" i="2"/>
  <c r="Z4" i="2"/>
  <c r="Y4" i="2"/>
  <c r="X4" i="2"/>
  <c r="W4" i="2"/>
  <c r="V4" i="2"/>
  <c r="U4" i="2"/>
  <c r="T4" i="2"/>
  <c r="S4" i="2"/>
  <c r="R4" i="2"/>
  <c r="Q4" i="2"/>
  <c r="P4" i="2"/>
  <c r="O4" i="2"/>
  <c r="N4" i="2"/>
  <c r="M4" i="2"/>
  <c r="L4" i="2"/>
  <c r="K4" i="2"/>
  <c r="J4" i="2"/>
  <c r="K3" i="2"/>
  <c r="L3" i="2" s="1"/>
  <c r="J3" i="2"/>
  <c r="J260" i="1"/>
  <c r="H260" i="1"/>
  <c r="E260" i="1"/>
  <c r="C260" i="1"/>
  <c r="B260" i="1"/>
  <c r="S260" i="1" s="1"/>
  <c r="A260" i="1"/>
  <c r="J259" i="1"/>
  <c r="H259" i="1"/>
  <c r="E259" i="1"/>
  <c r="C259" i="1"/>
  <c r="B259" i="1"/>
  <c r="K259" i="1" s="1"/>
  <c r="A259" i="1"/>
  <c r="J258" i="1"/>
  <c r="H258" i="1"/>
  <c r="E258" i="1"/>
  <c r="C258" i="1"/>
  <c r="B258" i="1"/>
  <c r="O258" i="1" s="1"/>
  <c r="A258" i="1"/>
  <c r="J257" i="1"/>
  <c r="H257" i="1"/>
  <c r="E257" i="1"/>
  <c r="C257" i="1"/>
  <c r="B257" i="1"/>
  <c r="Q257" i="1" s="1"/>
  <c r="A257" i="1"/>
  <c r="J256" i="1"/>
  <c r="H256" i="1"/>
  <c r="E256" i="1"/>
  <c r="C256" i="1"/>
  <c r="B256" i="1"/>
  <c r="P256" i="1" s="1"/>
  <c r="A256" i="1"/>
  <c r="J255" i="1"/>
  <c r="H255" i="1"/>
  <c r="E255" i="1"/>
  <c r="C255" i="1"/>
  <c r="B255" i="1"/>
  <c r="G255" i="1" s="1"/>
  <c r="A255" i="1"/>
  <c r="J254" i="1"/>
  <c r="H254" i="1"/>
  <c r="E254" i="1"/>
  <c r="C254" i="1"/>
  <c r="B254" i="1"/>
  <c r="N254" i="1" s="1"/>
  <c r="A254" i="1"/>
  <c r="J253" i="1"/>
  <c r="H253" i="1"/>
  <c r="E253" i="1"/>
  <c r="C253" i="1"/>
  <c r="B253" i="1"/>
  <c r="G253" i="1" s="1"/>
  <c r="A253" i="1"/>
  <c r="J252" i="1"/>
  <c r="H252" i="1"/>
  <c r="E252" i="1"/>
  <c r="C252" i="1"/>
  <c r="B252" i="1"/>
  <c r="N252" i="1" s="1"/>
  <c r="A252" i="1"/>
  <c r="J251" i="1"/>
  <c r="H251" i="1"/>
  <c r="E251" i="1"/>
  <c r="C251" i="1"/>
  <c r="B251" i="1"/>
  <c r="S251" i="1" s="1"/>
  <c r="A251" i="1"/>
  <c r="J250" i="1"/>
  <c r="H250" i="1"/>
  <c r="E250" i="1"/>
  <c r="C250" i="1"/>
  <c r="B250" i="1"/>
  <c r="S250" i="1" s="1"/>
  <c r="A250" i="1"/>
  <c r="J249" i="1"/>
  <c r="H249" i="1"/>
  <c r="E249" i="1"/>
  <c r="C249" i="1"/>
  <c r="B249" i="1"/>
  <c r="G249" i="1" s="1"/>
  <c r="A249" i="1"/>
  <c r="J248" i="1"/>
  <c r="H248" i="1"/>
  <c r="E248" i="1"/>
  <c r="C248" i="1"/>
  <c r="B248" i="1"/>
  <c r="F248" i="1" s="1"/>
  <c r="A248" i="1"/>
  <c r="J247" i="1"/>
  <c r="H247" i="1"/>
  <c r="E247" i="1"/>
  <c r="C247" i="1"/>
  <c r="B247" i="1"/>
  <c r="A247" i="1"/>
  <c r="J246" i="1"/>
  <c r="H246" i="1"/>
  <c r="E246" i="1"/>
  <c r="C246" i="1"/>
  <c r="B246" i="1"/>
  <c r="I246" i="1" s="1"/>
  <c r="A246" i="1"/>
  <c r="J245" i="1"/>
  <c r="H245" i="1"/>
  <c r="E245" i="1"/>
  <c r="C245" i="1"/>
  <c r="B245" i="1"/>
  <c r="N245" i="1" s="1"/>
  <c r="A245" i="1"/>
  <c r="J244" i="1"/>
  <c r="H244" i="1"/>
  <c r="E244" i="1"/>
  <c r="C244" i="1"/>
  <c r="B244" i="1"/>
  <c r="P244" i="1" s="1"/>
  <c r="A244" i="1"/>
  <c r="J243" i="1"/>
  <c r="H243" i="1"/>
  <c r="E243" i="1"/>
  <c r="C243" i="1"/>
  <c r="B243" i="1"/>
  <c r="I243" i="1" s="1"/>
  <c r="A243" i="1"/>
  <c r="J242" i="1"/>
  <c r="H242" i="1"/>
  <c r="E242" i="1"/>
  <c r="C242" i="1"/>
  <c r="B242" i="1"/>
  <c r="S242" i="1" s="1"/>
  <c r="A242" i="1"/>
  <c r="J241" i="1"/>
  <c r="H241" i="1"/>
  <c r="E241" i="1"/>
  <c r="C241" i="1"/>
  <c r="B241" i="1"/>
  <c r="I241" i="1" s="1"/>
  <c r="A241" i="1"/>
  <c r="J240" i="1"/>
  <c r="H240" i="1"/>
  <c r="E240" i="1"/>
  <c r="C240" i="1"/>
  <c r="B240" i="1"/>
  <c r="N240" i="1" s="1"/>
  <c r="A240" i="1"/>
  <c r="J239" i="1"/>
  <c r="H239" i="1"/>
  <c r="E239" i="1"/>
  <c r="C239" i="1"/>
  <c r="B239" i="1"/>
  <c r="N239" i="1" s="1"/>
  <c r="A239" i="1"/>
  <c r="J238" i="1"/>
  <c r="H238" i="1"/>
  <c r="E238" i="1"/>
  <c r="C238" i="1"/>
  <c r="B238" i="1"/>
  <c r="I238" i="1" s="1"/>
  <c r="A238" i="1"/>
  <c r="J237" i="1"/>
  <c r="H237" i="1"/>
  <c r="E237" i="1"/>
  <c r="C237" i="1"/>
  <c r="B237" i="1"/>
  <c r="M237" i="1" s="1"/>
  <c r="A237" i="1"/>
  <c r="J236" i="1"/>
  <c r="H236" i="1"/>
  <c r="E236" i="1"/>
  <c r="C236" i="1"/>
  <c r="B236" i="1"/>
  <c r="K236" i="1" s="1"/>
  <c r="A236" i="1"/>
  <c r="J235" i="1"/>
  <c r="H235" i="1"/>
  <c r="E235" i="1"/>
  <c r="C235" i="1"/>
  <c r="B235" i="1"/>
  <c r="S235" i="1" s="1"/>
  <c r="A235" i="1"/>
  <c r="J234" i="1"/>
  <c r="H234" i="1"/>
  <c r="E234" i="1"/>
  <c r="C234" i="1"/>
  <c r="B234" i="1"/>
  <c r="A234" i="1"/>
  <c r="J233" i="1"/>
  <c r="H233" i="1"/>
  <c r="E233" i="1"/>
  <c r="C233" i="1"/>
  <c r="B233" i="1"/>
  <c r="L233" i="1" s="1"/>
  <c r="A233" i="1"/>
  <c r="J232" i="1"/>
  <c r="H232" i="1"/>
  <c r="E232" i="1"/>
  <c r="C232" i="1"/>
  <c r="B232" i="1"/>
  <c r="O232" i="1" s="1"/>
  <c r="A232" i="1"/>
  <c r="J231" i="1"/>
  <c r="H231" i="1"/>
  <c r="E231" i="1"/>
  <c r="C231" i="1"/>
  <c r="B231" i="1"/>
  <c r="F231" i="1" s="1"/>
  <c r="A231" i="1"/>
  <c r="J230" i="1"/>
  <c r="H230" i="1"/>
  <c r="E230" i="1"/>
  <c r="C230" i="1"/>
  <c r="B230" i="1"/>
  <c r="K230" i="1" s="1"/>
  <c r="A230" i="1"/>
  <c r="J229" i="1"/>
  <c r="H229" i="1"/>
  <c r="E229" i="1"/>
  <c r="C229" i="1"/>
  <c r="B229" i="1"/>
  <c r="P229" i="1" s="1"/>
  <c r="A229" i="1"/>
  <c r="J228" i="1"/>
  <c r="H228" i="1"/>
  <c r="E228" i="1"/>
  <c r="C228" i="1"/>
  <c r="B228" i="1"/>
  <c r="K228" i="1" s="1"/>
  <c r="A228" i="1"/>
  <c r="J227" i="1"/>
  <c r="H227" i="1"/>
  <c r="E227" i="1"/>
  <c r="C227" i="1"/>
  <c r="B227" i="1"/>
  <c r="N227" i="1" s="1"/>
  <c r="A227" i="1"/>
  <c r="J226" i="1"/>
  <c r="H226" i="1"/>
  <c r="E226" i="1"/>
  <c r="C226" i="1"/>
  <c r="B226" i="1"/>
  <c r="I226" i="1" s="1"/>
  <c r="A226" i="1"/>
  <c r="J225" i="1"/>
  <c r="H225" i="1"/>
  <c r="E225" i="1"/>
  <c r="C225" i="1"/>
  <c r="B225" i="1"/>
  <c r="F225" i="1" s="1"/>
  <c r="A225" i="1"/>
  <c r="J224" i="1"/>
  <c r="H224" i="1"/>
  <c r="E224" i="1"/>
  <c r="C224" i="1"/>
  <c r="B224" i="1"/>
  <c r="A224" i="1"/>
  <c r="J223" i="1"/>
  <c r="H223" i="1"/>
  <c r="E223" i="1"/>
  <c r="C223" i="1"/>
  <c r="B223" i="1"/>
  <c r="O223" i="1" s="1"/>
  <c r="A223" i="1"/>
  <c r="J222" i="1"/>
  <c r="H222" i="1"/>
  <c r="E222" i="1"/>
  <c r="C222" i="1"/>
  <c r="B222" i="1"/>
  <c r="Q222" i="1" s="1"/>
  <c r="A222" i="1"/>
  <c r="J221" i="1"/>
  <c r="H221" i="1"/>
  <c r="E221" i="1"/>
  <c r="C221" i="1"/>
  <c r="B221" i="1"/>
  <c r="Q221" i="1" s="1"/>
  <c r="A221" i="1"/>
  <c r="J220" i="1"/>
  <c r="H220" i="1"/>
  <c r="E220" i="1"/>
  <c r="C220" i="1"/>
  <c r="B220" i="1"/>
  <c r="N220" i="1" s="1"/>
  <c r="A220" i="1"/>
  <c r="J219" i="1"/>
  <c r="H219" i="1"/>
  <c r="E219" i="1"/>
  <c r="C219" i="1"/>
  <c r="B219" i="1"/>
  <c r="K219" i="1" s="1"/>
  <c r="A219" i="1"/>
  <c r="J218" i="1"/>
  <c r="H218" i="1"/>
  <c r="E218" i="1"/>
  <c r="C218" i="1"/>
  <c r="B218" i="1"/>
  <c r="Q218" i="1" s="1"/>
  <c r="A218" i="1"/>
  <c r="J217" i="1"/>
  <c r="H217" i="1"/>
  <c r="E217" i="1"/>
  <c r="C217" i="1"/>
  <c r="B217" i="1"/>
  <c r="S217" i="1" s="1"/>
  <c r="A217" i="1"/>
  <c r="J216" i="1"/>
  <c r="H216" i="1"/>
  <c r="E216" i="1"/>
  <c r="C216" i="1"/>
  <c r="B216" i="1"/>
  <c r="M216" i="1" s="1"/>
  <c r="A216" i="1"/>
  <c r="J215" i="1"/>
  <c r="H215" i="1"/>
  <c r="E215" i="1"/>
  <c r="C215" i="1"/>
  <c r="B215" i="1"/>
  <c r="S215" i="1" s="1"/>
  <c r="A215" i="1"/>
  <c r="J214" i="1"/>
  <c r="H214" i="1"/>
  <c r="E214" i="1"/>
  <c r="C214" i="1"/>
  <c r="B214" i="1"/>
  <c r="P214" i="1" s="1"/>
  <c r="A214" i="1"/>
  <c r="J213" i="1"/>
  <c r="H213" i="1"/>
  <c r="E213" i="1"/>
  <c r="C213" i="1"/>
  <c r="B213" i="1"/>
  <c r="O213" i="1" s="1"/>
  <c r="A213" i="1"/>
  <c r="J212" i="1"/>
  <c r="H212" i="1"/>
  <c r="E212" i="1"/>
  <c r="C212" i="1"/>
  <c r="B212" i="1"/>
  <c r="O212" i="1" s="1"/>
  <c r="A212" i="1"/>
  <c r="J211" i="1"/>
  <c r="H211" i="1"/>
  <c r="E211" i="1"/>
  <c r="C211" i="1"/>
  <c r="B211" i="1"/>
  <c r="A211" i="1"/>
  <c r="J210" i="1"/>
  <c r="H210" i="1"/>
  <c r="E210" i="1"/>
  <c r="C210" i="1"/>
  <c r="B210" i="1"/>
  <c r="M210" i="1" s="1"/>
  <c r="A210" i="1"/>
  <c r="J209" i="1"/>
  <c r="H209" i="1"/>
  <c r="E209" i="1"/>
  <c r="C209" i="1"/>
  <c r="B209" i="1"/>
  <c r="P209" i="1" s="1"/>
  <c r="A209" i="1"/>
  <c r="J208" i="1"/>
  <c r="H208" i="1"/>
  <c r="E208" i="1"/>
  <c r="C208" i="1"/>
  <c r="B208" i="1"/>
  <c r="N208" i="1" s="1"/>
  <c r="A208" i="1"/>
  <c r="J207" i="1"/>
  <c r="H207" i="1"/>
  <c r="E207" i="1"/>
  <c r="C207" i="1"/>
  <c r="B207" i="1"/>
  <c r="M207" i="1" s="1"/>
  <c r="A207" i="1"/>
  <c r="J206" i="1"/>
  <c r="H206" i="1"/>
  <c r="E206" i="1"/>
  <c r="C206" i="1"/>
  <c r="B206" i="1"/>
  <c r="R206" i="1" s="1"/>
  <c r="A206" i="1"/>
  <c r="J205" i="1"/>
  <c r="H205" i="1"/>
  <c r="E205" i="1"/>
  <c r="C205" i="1"/>
  <c r="B205" i="1"/>
  <c r="Q205" i="1" s="1"/>
  <c r="A205" i="1"/>
  <c r="J204" i="1"/>
  <c r="H204" i="1"/>
  <c r="E204" i="1"/>
  <c r="C204" i="1"/>
  <c r="B204" i="1"/>
  <c r="A204" i="1"/>
  <c r="J203" i="1"/>
  <c r="H203" i="1"/>
  <c r="E203" i="1"/>
  <c r="C203" i="1"/>
  <c r="B203" i="1"/>
  <c r="P203" i="1" s="1"/>
  <c r="A203" i="1"/>
  <c r="J202" i="1"/>
  <c r="H202" i="1"/>
  <c r="E202" i="1"/>
  <c r="C202" i="1"/>
  <c r="B202" i="1"/>
  <c r="R202" i="1" s="1"/>
  <c r="A202" i="1"/>
  <c r="J201" i="1"/>
  <c r="H201" i="1"/>
  <c r="E201" i="1"/>
  <c r="C201" i="1"/>
  <c r="B201" i="1"/>
  <c r="A201" i="1"/>
  <c r="J200" i="1"/>
  <c r="H200" i="1"/>
  <c r="E200" i="1"/>
  <c r="C200" i="1"/>
  <c r="B200" i="1"/>
  <c r="D200" i="1" s="1"/>
  <c r="A200" i="1"/>
  <c r="J199" i="1"/>
  <c r="H199" i="1"/>
  <c r="E199" i="1"/>
  <c r="C199" i="1"/>
  <c r="B199" i="1"/>
  <c r="A199" i="1"/>
  <c r="J198" i="1"/>
  <c r="H198" i="1"/>
  <c r="E198" i="1"/>
  <c r="C198" i="1"/>
  <c r="B198" i="1"/>
  <c r="S198" i="1" s="1"/>
  <c r="A198" i="1"/>
  <c r="J197" i="1"/>
  <c r="H197" i="1"/>
  <c r="E197" i="1"/>
  <c r="C197" i="1"/>
  <c r="B197" i="1"/>
  <c r="G197" i="1" s="1"/>
  <c r="A197" i="1"/>
  <c r="J196" i="1"/>
  <c r="H196" i="1"/>
  <c r="E196" i="1"/>
  <c r="C196" i="1"/>
  <c r="B196" i="1"/>
  <c r="Q196" i="1" s="1"/>
  <c r="A196" i="1"/>
  <c r="J195" i="1"/>
  <c r="H195" i="1"/>
  <c r="E195" i="1"/>
  <c r="C195" i="1"/>
  <c r="B195" i="1"/>
  <c r="Q195" i="1" s="1"/>
  <c r="A195" i="1"/>
  <c r="J194" i="1"/>
  <c r="H194" i="1"/>
  <c r="E194" i="1"/>
  <c r="C194" i="1"/>
  <c r="B194" i="1"/>
  <c r="G194" i="1" s="1"/>
  <c r="A194" i="1"/>
  <c r="J193" i="1"/>
  <c r="H193" i="1"/>
  <c r="E193" i="1"/>
  <c r="C193" i="1"/>
  <c r="B193" i="1"/>
  <c r="D193" i="1" s="1"/>
  <c r="A193" i="1"/>
  <c r="J192" i="1"/>
  <c r="H192" i="1"/>
  <c r="E192" i="1"/>
  <c r="C192" i="1"/>
  <c r="B192" i="1"/>
  <c r="Q192" i="1" s="1"/>
  <c r="A192" i="1"/>
  <c r="J191" i="1"/>
  <c r="H191" i="1"/>
  <c r="E191" i="1"/>
  <c r="C191" i="1"/>
  <c r="B191" i="1"/>
  <c r="A191" i="1"/>
  <c r="J190" i="1"/>
  <c r="H190" i="1"/>
  <c r="E190" i="1"/>
  <c r="C190" i="1"/>
  <c r="B190" i="1"/>
  <c r="S190" i="1" s="1"/>
  <c r="A190" i="1"/>
  <c r="J189" i="1"/>
  <c r="H189" i="1"/>
  <c r="E189" i="1"/>
  <c r="C189" i="1"/>
  <c r="B189" i="1"/>
  <c r="Q189" i="1" s="1"/>
  <c r="A189" i="1"/>
  <c r="J188" i="1"/>
  <c r="H188" i="1"/>
  <c r="E188" i="1"/>
  <c r="C188" i="1"/>
  <c r="B188" i="1"/>
  <c r="S188" i="1" s="1"/>
  <c r="A188" i="1"/>
  <c r="J187" i="1"/>
  <c r="H187" i="1"/>
  <c r="E187" i="1"/>
  <c r="C187" i="1"/>
  <c r="B187" i="1"/>
  <c r="S187" i="1" s="1"/>
  <c r="A187" i="1"/>
  <c r="J186" i="1"/>
  <c r="H186" i="1"/>
  <c r="E186" i="1"/>
  <c r="C186" i="1"/>
  <c r="B186" i="1"/>
  <c r="A186" i="1"/>
  <c r="J185" i="1"/>
  <c r="H185" i="1"/>
  <c r="E185" i="1"/>
  <c r="C185" i="1"/>
  <c r="B185" i="1"/>
  <c r="A185" i="1"/>
  <c r="J184" i="1"/>
  <c r="H184" i="1"/>
  <c r="E184" i="1"/>
  <c r="C184" i="1"/>
  <c r="B184" i="1"/>
  <c r="G184" i="1" s="1"/>
  <c r="A184" i="1"/>
  <c r="J183" i="1"/>
  <c r="H183" i="1"/>
  <c r="E183" i="1"/>
  <c r="C183" i="1"/>
  <c r="B183" i="1"/>
  <c r="R183" i="1" s="1"/>
  <c r="A183" i="1"/>
  <c r="J182" i="1"/>
  <c r="H182" i="1"/>
  <c r="E182" i="1"/>
  <c r="C182" i="1"/>
  <c r="B182" i="1"/>
  <c r="R182" i="1" s="1"/>
  <c r="A182" i="1"/>
  <c r="J181" i="1"/>
  <c r="H181" i="1"/>
  <c r="E181" i="1"/>
  <c r="C181" i="1"/>
  <c r="B181" i="1"/>
  <c r="R181" i="1" s="1"/>
  <c r="A181" i="1"/>
  <c r="J180" i="1"/>
  <c r="H180" i="1"/>
  <c r="E180" i="1"/>
  <c r="C180" i="1"/>
  <c r="B180" i="1"/>
  <c r="Q180" i="1" s="1"/>
  <c r="A180" i="1"/>
  <c r="J179" i="1"/>
  <c r="H179" i="1"/>
  <c r="E179" i="1"/>
  <c r="C179" i="1"/>
  <c r="B179" i="1"/>
  <c r="R179" i="1" s="1"/>
  <c r="A179" i="1"/>
  <c r="J178" i="1"/>
  <c r="H178" i="1"/>
  <c r="E178" i="1"/>
  <c r="C178" i="1"/>
  <c r="B178" i="1"/>
  <c r="Q178" i="1" s="1"/>
  <c r="A178" i="1"/>
  <c r="J177" i="1"/>
  <c r="H177" i="1"/>
  <c r="E177" i="1"/>
  <c r="C177" i="1"/>
  <c r="B177" i="1"/>
  <c r="R177" i="1" s="1"/>
  <c r="A177" i="1"/>
  <c r="J176" i="1"/>
  <c r="H176" i="1"/>
  <c r="E176" i="1"/>
  <c r="C176" i="1"/>
  <c r="B176" i="1"/>
  <c r="S176" i="1" s="1"/>
  <c r="A176" i="1"/>
  <c r="J175" i="1"/>
  <c r="H175" i="1"/>
  <c r="E175" i="1"/>
  <c r="C175" i="1"/>
  <c r="B175" i="1"/>
  <c r="A175" i="1"/>
  <c r="J174" i="1"/>
  <c r="H174" i="1"/>
  <c r="E174" i="1"/>
  <c r="C174" i="1"/>
  <c r="B174" i="1"/>
  <c r="Q174" i="1" s="1"/>
  <c r="A174" i="1"/>
  <c r="J173" i="1"/>
  <c r="H173" i="1"/>
  <c r="E173" i="1"/>
  <c r="C173" i="1"/>
  <c r="B173" i="1"/>
  <c r="S173" i="1" s="1"/>
  <c r="A173" i="1"/>
  <c r="J172" i="1"/>
  <c r="H172" i="1"/>
  <c r="E172" i="1"/>
  <c r="C172" i="1"/>
  <c r="B172" i="1"/>
  <c r="Q172" i="1" s="1"/>
  <c r="A172" i="1"/>
  <c r="J171" i="1"/>
  <c r="H171" i="1"/>
  <c r="E171" i="1"/>
  <c r="C171" i="1"/>
  <c r="B171" i="1"/>
  <c r="Q171" i="1" s="1"/>
  <c r="A171" i="1"/>
  <c r="J170" i="1"/>
  <c r="H170" i="1"/>
  <c r="E170" i="1"/>
  <c r="C170" i="1"/>
  <c r="B170" i="1"/>
  <c r="A170" i="1"/>
  <c r="J169" i="1"/>
  <c r="H169" i="1"/>
  <c r="E169" i="1"/>
  <c r="C169" i="1"/>
  <c r="B169" i="1"/>
  <c r="S169" i="1" s="1"/>
  <c r="A169" i="1"/>
  <c r="J168" i="1"/>
  <c r="H168" i="1"/>
  <c r="E168" i="1"/>
  <c r="C168" i="1"/>
  <c r="B168" i="1"/>
  <c r="G168" i="1" s="1"/>
  <c r="A168" i="1"/>
  <c r="J167" i="1"/>
  <c r="H167" i="1"/>
  <c r="E167" i="1"/>
  <c r="C167" i="1"/>
  <c r="B167" i="1"/>
  <c r="D167" i="1" s="1"/>
  <c r="A167" i="1"/>
  <c r="J166" i="1"/>
  <c r="H166" i="1"/>
  <c r="E166" i="1"/>
  <c r="C166" i="1"/>
  <c r="B166" i="1"/>
  <c r="S166" i="1" s="1"/>
  <c r="A166" i="1"/>
  <c r="J165" i="1"/>
  <c r="H165" i="1"/>
  <c r="E165" i="1"/>
  <c r="C165" i="1"/>
  <c r="B165" i="1"/>
  <c r="A165" i="1"/>
  <c r="J164" i="1"/>
  <c r="H164" i="1"/>
  <c r="E164" i="1"/>
  <c r="C164" i="1"/>
  <c r="B164" i="1"/>
  <c r="S164" i="1" s="1"/>
  <c r="A164" i="1"/>
  <c r="J163" i="1"/>
  <c r="H163" i="1"/>
  <c r="E163" i="1"/>
  <c r="C163" i="1"/>
  <c r="B163" i="1"/>
  <c r="A163" i="1"/>
  <c r="J162" i="1"/>
  <c r="H162" i="1"/>
  <c r="E162" i="1"/>
  <c r="C162" i="1"/>
  <c r="B162" i="1"/>
  <c r="A162" i="1"/>
  <c r="J161" i="1"/>
  <c r="H161" i="1"/>
  <c r="E161" i="1"/>
  <c r="C161" i="1"/>
  <c r="B161" i="1"/>
  <c r="Q161" i="1" s="1"/>
  <c r="A161" i="1"/>
  <c r="J160" i="1"/>
  <c r="H160" i="1"/>
  <c r="E160" i="1"/>
  <c r="C160" i="1"/>
  <c r="B160" i="1"/>
  <c r="R160" i="1" s="1"/>
  <c r="A160" i="1"/>
  <c r="J159" i="1"/>
  <c r="H159" i="1"/>
  <c r="E159" i="1"/>
  <c r="C159" i="1"/>
  <c r="B159" i="1"/>
  <c r="A159" i="1"/>
  <c r="J158" i="1"/>
  <c r="H158" i="1"/>
  <c r="E158" i="1"/>
  <c r="C158" i="1"/>
  <c r="B158" i="1"/>
  <c r="Q158" i="1" s="1"/>
  <c r="A158" i="1"/>
  <c r="J157" i="1"/>
  <c r="H157" i="1"/>
  <c r="E157" i="1"/>
  <c r="C157" i="1"/>
  <c r="B157" i="1"/>
  <c r="A157" i="1"/>
  <c r="J156" i="1"/>
  <c r="H156" i="1"/>
  <c r="E156" i="1"/>
  <c r="C156" i="1"/>
  <c r="B156" i="1"/>
  <c r="A156" i="1"/>
  <c r="J155" i="1"/>
  <c r="H155" i="1"/>
  <c r="E155" i="1"/>
  <c r="C155" i="1"/>
  <c r="B155" i="1"/>
  <c r="G155" i="1" s="1"/>
  <c r="A155" i="1"/>
  <c r="J154" i="1"/>
  <c r="H154" i="1"/>
  <c r="E154" i="1"/>
  <c r="C154" i="1"/>
  <c r="B154" i="1"/>
  <c r="A154" i="1"/>
  <c r="J153" i="1"/>
  <c r="H153" i="1"/>
  <c r="E153" i="1"/>
  <c r="C153" i="1"/>
  <c r="B153" i="1"/>
  <c r="D153" i="1" s="1"/>
  <c r="A153" i="1"/>
  <c r="J152" i="1"/>
  <c r="H152" i="1"/>
  <c r="E152" i="1"/>
  <c r="C152" i="1"/>
  <c r="B152" i="1"/>
  <c r="A152" i="1"/>
  <c r="J151" i="1"/>
  <c r="H151" i="1"/>
  <c r="E151" i="1"/>
  <c r="C151" i="1"/>
  <c r="B151" i="1"/>
  <c r="R151" i="1" s="1"/>
  <c r="A151" i="1"/>
  <c r="J150" i="1"/>
  <c r="H150" i="1"/>
  <c r="E150" i="1"/>
  <c r="C150" i="1"/>
  <c r="B150" i="1"/>
  <c r="G150" i="1" s="1"/>
  <c r="A150" i="1"/>
  <c r="J149" i="1"/>
  <c r="H149" i="1"/>
  <c r="E149" i="1"/>
  <c r="C149" i="1"/>
  <c r="B149" i="1"/>
  <c r="A149" i="1"/>
  <c r="J148" i="1"/>
  <c r="H148" i="1"/>
  <c r="E148" i="1"/>
  <c r="C148" i="1"/>
  <c r="B148" i="1"/>
  <c r="Q148" i="1" s="1"/>
  <c r="A148" i="1"/>
  <c r="J147" i="1"/>
  <c r="H147" i="1"/>
  <c r="E147" i="1"/>
  <c r="C147" i="1"/>
  <c r="B147" i="1"/>
  <c r="G147" i="1" s="1"/>
  <c r="A147" i="1"/>
  <c r="J146" i="1"/>
  <c r="H146" i="1"/>
  <c r="E146" i="1"/>
  <c r="C146" i="1"/>
  <c r="B146" i="1"/>
  <c r="S146" i="1" s="1"/>
  <c r="A146" i="1"/>
  <c r="J145" i="1"/>
  <c r="H145" i="1"/>
  <c r="E145" i="1"/>
  <c r="C145" i="1"/>
  <c r="B145" i="1"/>
  <c r="R145" i="1" s="1"/>
  <c r="A145" i="1"/>
  <c r="J144" i="1"/>
  <c r="H144" i="1"/>
  <c r="E144" i="1"/>
  <c r="C144" i="1"/>
  <c r="B144" i="1"/>
  <c r="R144" i="1" s="1"/>
  <c r="A144" i="1"/>
  <c r="J143" i="1"/>
  <c r="H143" i="1"/>
  <c r="E143" i="1"/>
  <c r="C143" i="1"/>
  <c r="B143" i="1"/>
  <c r="R143" i="1" s="1"/>
  <c r="A143" i="1"/>
  <c r="J142" i="1"/>
  <c r="H142" i="1"/>
  <c r="E142" i="1"/>
  <c r="C142" i="1"/>
  <c r="B142" i="1"/>
  <c r="A142" i="1"/>
  <c r="J141" i="1"/>
  <c r="H141" i="1"/>
  <c r="E141" i="1"/>
  <c r="C141" i="1"/>
  <c r="B141" i="1"/>
  <c r="A141" i="1"/>
  <c r="J140" i="1"/>
  <c r="H140" i="1"/>
  <c r="E140" i="1"/>
  <c r="C140" i="1"/>
  <c r="B140" i="1"/>
  <c r="R140" i="1" s="1"/>
  <c r="A140" i="1"/>
  <c r="J139" i="1"/>
  <c r="H139" i="1"/>
  <c r="E139" i="1"/>
  <c r="C139" i="1"/>
  <c r="B139" i="1"/>
  <c r="A139" i="1"/>
  <c r="J138" i="1"/>
  <c r="H138" i="1"/>
  <c r="E138" i="1"/>
  <c r="C138" i="1"/>
  <c r="B138" i="1"/>
  <c r="S138" i="1" s="1"/>
  <c r="A138" i="1"/>
  <c r="J137" i="1"/>
  <c r="H137" i="1"/>
  <c r="E137" i="1"/>
  <c r="C137" i="1"/>
  <c r="B137" i="1"/>
  <c r="D137" i="1" s="1"/>
  <c r="A137" i="1"/>
  <c r="J136" i="1"/>
  <c r="H136" i="1"/>
  <c r="E136" i="1"/>
  <c r="C136" i="1"/>
  <c r="B136" i="1"/>
  <c r="A136" i="1"/>
  <c r="J135" i="1"/>
  <c r="H135" i="1"/>
  <c r="E135" i="1"/>
  <c r="C135" i="1"/>
  <c r="B135" i="1"/>
  <c r="Q135" i="1" s="1"/>
  <c r="A135" i="1"/>
  <c r="J134" i="1"/>
  <c r="H134" i="1"/>
  <c r="E134" i="1"/>
  <c r="C134" i="1"/>
  <c r="B134" i="1"/>
  <c r="D134" i="1" s="1"/>
  <c r="A134" i="1"/>
  <c r="J133" i="1"/>
  <c r="H133" i="1"/>
  <c r="E133" i="1"/>
  <c r="C133" i="1"/>
  <c r="B133" i="1"/>
  <c r="D133" i="1" s="1"/>
  <c r="A133" i="1"/>
  <c r="J132" i="1"/>
  <c r="H132" i="1"/>
  <c r="E132" i="1"/>
  <c r="C132" i="1"/>
  <c r="B132" i="1"/>
  <c r="R132" i="1" s="1"/>
  <c r="A132" i="1"/>
  <c r="J131" i="1"/>
  <c r="H131" i="1"/>
  <c r="E131" i="1"/>
  <c r="C131" i="1"/>
  <c r="B131" i="1"/>
  <c r="D131" i="1" s="1"/>
  <c r="A131" i="1"/>
  <c r="J130" i="1"/>
  <c r="H130" i="1"/>
  <c r="E130" i="1"/>
  <c r="C130" i="1"/>
  <c r="B130" i="1"/>
  <c r="G130" i="1" s="1"/>
  <c r="A130" i="1"/>
  <c r="J129" i="1"/>
  <c r="H129" i="1"/>
  <c r="E129" i="1"/>
  <c r="C129" i="1"/>
  <c r="B129" i="1"/>
  <c r="A129" i="1"/>
  <c r="J128" i="1"/>
  <c r="H128" i="1"/>
  <c r="E128" i="1"/>
  <c r="C128" i="1"/>
  <c r="B128" i="1"/>
  <c r="Q128" i="1" s="1"/>
  <c r="A128" i="1"/>
  <c r="J127" i="1"/>
  <c r="H127" i="1"/>
  <c r="E127" i="1"/>
  <c r="C127" i="1"/>
  <c r="B127" i="1"/>
  <c r="G127" i="1" s="1"/>
  <c r="A127" i="1"/>
  <c r="J126" i="1"/>
  <c r="H126" i="1"/>
  <c r="E126" i="1"/>
  <c r="C126" i="1"/>
  <c r="B126" i="1"/>
  <c r="Q126" i="1" s="1"/>
  <c r="A126" i="1"/>
  <c r="J125" i="1"/>
  <c r="H125" i="1"/>
  <c r="E125" i="1"/>
  <c r="C125" i="1"/>
  <c r="B125" i="1"/>
  <c r="A125" i="1"/>
  <c r="J124" i="1"/>
  <c r="H124" i="1"/>
  <c r="E124" i="1"/>
  <c r="C124" i="1"/>
  <c r="B124" i="1"/>
  <c r="A124" i="1"/>
  <c r="J123" i="1"/>
  <c r="H123" i="1"/>
  <c r="E123" i="1"/>
  <c r="C123" i="1"/>
  <c r="B123" i="1"/>
  <c r="D123" i="1" s="1"/>
  <c r="A123" i="1"/>
  <c r="J122" i="1"/>
  <c r="H122" i="1"/>
  <c r="E122" i="1"/>
  <c r="C122" i="1"/>
  <c r="B122" i="1"/>
  <c r="D122" i="1" s="1"/>
  <c r="A122" i="1"/>
  <c r="J121" i="1"/>
  <c r="H121" i="1"/>
  <c r="E121" i="1"/>
  <c r="C121" i="1"/>
  <c r="B121" i="1"/>
  <c r="D121" i="1" s="1"/>
  <c r="A121" i="1"/>
  <c r="J120" i="1"/>
  <c r="H120" i="1"/>
  <c r="E120" i="1"/>
  <c r="C120" i="1"/>
  <c r="B120" i="1"/>
  <c r="Q120" i="1" s="1"/>
  <c r="A120" i="1"/>
  <c r="J119" i="1"/>
  <c r="H119" i="1"/>
  <c r="E119" i="1"/>
  <c r="C119" i="1"/>
  <c r="B119" i="1"/>
  <c r="S119" i="1" s="1"/>
  <c r="A119" i="1"/>
  <c r="J118" i="1"/>
  <c r="H118" i="1"/>
  <c r="E118" i="1"/>
  <c r="C118" i="1"/>
  <c r="B118" i="1"/>
  <c r="S118" i="1" s="1"/>
  <c r="A118" i="1"/>
  <c r="J117" i="1"/>
  <c r="H117" i="1"/>
  <c r="E117" i="1"/>
  <c r="C117" i="1"/>
  <c r="B117" i="1"/>
  <c r="S117" i="1" s="1"/>
  <c r="A117" i="1"/>
  <c r="J116" i="1"/>
  <c r="H116" i="1"/>
  <c r="E116" i="1"/>
  <c r="C116" i="1"/>
  <c r="B116" i="1"/>
  <c r="S116" i="1" s="1"/>
  <c r="A116" i="1"/>
  <c r="J115" i="1"/>
  <c r="H115" i="1"/>
  <c r="E115" i="1"/>
  <c r="C115" i="1"/>
  <c r="B115" i="1"/>
  <c r="S115" i="1" s="1"/>
  <c r="A115" i="1"/>
  <c r="J114" i="1"/>
  <c r="H114" i="1"/>
  <c r="E114" i="1"/>
  <c r="C114" i="1"/>
  <c r="B114" i="1"/>
  <c r="Q114" i="1" s="1"/>
  <c r="A114" i="1"/>
  <c r="J113" i="1"/>
  <c r="H113" i="1"/>
  <c r="E113" i="1"/>
  <c r="C113" i="1"/>
  <c r="B113" i="1"/>
  <c r="R113" i="1" s="1"/>
  <c r="A113" i="1"/>
  <c r="J112" i="1"/>
  <c r="H112" i="1"/>
  <c r="E112" i="1"/>
  <c r="C112" i="1"/>
  <c r="B112" i="1"/>
  <c r="G112" i="1" s="1"/>
  <c r="A112" i="1"/>
  <c r="J111" i="1"/>
  <c r="H111" i="1"/>
  <c r="E111" i="1"/>
  <c r="C111" i="1"/>
  <c r="B111" i="1"/>
  <c r="S111" i="1" s="1"/>
  <c r="A111" i="1"/>
  <c r="J110" i="1"/>
  <c r="H110" i="1"/>
  <c r="E110" i="1"/>
  <c r="C110" i="1"/>
  <c r="B110" i="1"/>
  <c r="S110" i="1" s="1"/>
  <c r="A110" i="1"/>
  <c r="J109" i="1"/>
  <c r="H109" i="1"/>
  <c r="E109" i="1"/>
  <c r="C109" i="1"/>
  <c r="B109" i="1"/>
  <c r="S109" i="1" s="1"/>
  <c r="A109" i="1"/>
  <c r="J108" i="1"/>
  <c r="H108" i="1"/>
  <c r="E108" i="1"/>
  <c r="C108" i="1"/>
  <c r="B108" i="1"/>
  <c r="Q108" i="1" s="1"/>
  <c r="A108" i="1"/>
  <c r="J107" i="1"/>
  <c r="H107" i="1"/>
  <c r="E107" i="1"/>
  <c r="C107" i="1"/>
  <c r="B107" i="1"/>
  <c r="R107" i="1" s="1"/>
  <c r="A107" i="1"/>
  <c r="J106" i="1"/>
  <c r="H106" i="1"/>
  <c r="E106" i="1"/>
  <c r="C106" i="1"/>
  <c r="B106" i="1"/>
  <c r="Q106" i="1" s="1"/>
  <c r="A106" i="1"/>
  <c r="J105" i="1"/>
  <c r="H105" i="1"/>
  <c r="E105" i="1"/>
  <c r="C105" i="1"/>
  <c r="B105" i="1"/>
  <c r="A105" i="1"/>
  <c r="J103" i="1"/>
  <c r="H103" i="1"/>
  <c r="E103" i="1"/>
  <c r="C103" i="1"/>
  <c r="B103" i="1"/>
  <c r="S103" i="1" s="1"/>
  <c r="A103" i="1"/>
  <c r="J102" i="1"/>
  <c r="H102" i="1"/>
  <c r="E102" i="1"/>
  <c r="C102" i="1"/>
  <c r="B102" i="1"/>
  <c r="Q102" i="1" s="1"/>
  <c r="A102" i="1"/>
  <c r="J101" i="1"/>
  <c r="H101" i="1"/>
  <c r="E101" i="1"/>
  <c r="C101" i="1"/>
  <c r="B101" i="1"/>
  <c r="A101" i="1"/>
  <c r="J100" i="1"/>
  <c r="H100" i="1"/>
  <c r="E100" i="1"/>
  <c r="C100" i="1"/>
  <c r="B100" i="1"/>
  <c r="Q100" i="1" s="1"/>
  <c r="A100" i="1"/>
  <c r="J99" i="1"/>
  <c r="H99" i="1"/>
  <c r="E99" i="1"/>
  <c r="C99" i="1"/>
  <c r="B99" i="1"/>
  <c r="A99" i="1"/>
  <c r="J98" i="1"/>
  <c r="H98" i="1"/>
  <c r="E98" i="1"/>
  <c r="C98" i="1"/>
  <c r="B98" i="1"/>
  <c r="A98" i="1"/>
  <c r="J97" i="1"/>
  <c r="H97" i="1"/>
  <c r="E97" i="1"/>
  <c r="C97" i="1"/>
  <c r="B97" i="1"/>
  <c r="S97" i="1" s="1"/>
  <c r="A97" i="1"/>
  <c r="J96" i="1"/>
  <c r="H96" i="1"/>
  <c r="E96" i="1"/>
  <c r="C96" i="1"/>
  <c r="B96" i="1"/>
  <c r="A96" i="1"/>
  <c r="J95" i="1"/>
  <c r="H95" i="1"/>
  <c r="E95" i="1"/>
  <c r="C95" i="1"/>
  <c r="B95" i="1"/>
  <c r="R95" i="1" s="1"/>
  <c r="A95" i="1"/>
  <c r="J94" i="1"/>
  <c r="H94" i="1"/>
  <c r="E94" i="1"/>
  <c r="C94" i="1"/>
  <c r="B94" i="1"/>
  <c r="Q94" i="1" s="1"/>
  <c r="A94" i="1"/>
  <c r="J93" i="1"/>
  <c r="H93" i="1"/>
  <c r="E93" i="1"/>
  <c r="C93" i="1"/>
  <c r="B93" i="1"/>
  <c r="R93" i="1" s="1"/>
  <c r="A93" i="1"/>
  <c r="J92" i="1"/>
  <c r="H92" i="1"/>
  <c r="E92" i="1"/>
  <c r="C92" i="1"/>
  <c r="B92" i="1"/>
  <c r="G92" i="1" s="1"/>
  <c r="A92" i="1"/>
  <c r="J91" i="1"/>
  <c r="H91" i="1"/>
  <c r="E91" i="1"/>
  <c r="C91" i="1"/>
  <c r="B91" i="1"/>
  <c r="A91" i="1"/>
  <c r="J90" i="1"/>
  <c r="H90" i="1"/>
  <c r="E90" i="1"/>
  <c r="C90" i="1"/>
  <c r="B90" i="1"/>
  <c r="R90" i="1" s="1"/>
  <c r="A90" i="1"/>
  <c r="J89" i="1"/>
  <c r="H89" i="1"/>
  <c r="E89" i="1"/>
  <c r="C89" i="1"/>
  <c r="B89" i="1"/>
  <c r="Q89" i="1" s="1"/>
  <c r="A89" i="1"/>
  <c r="J88" i="1"/>
  <c r="H88" i="1"/>
  <c r="E88" i="1"/>
  <c r="C88" i="1"/>
  <c r="B88" i="1"/>
  <c r="G88" i="1" s="1"/>
  <c r="A88" i="1"/>
  <c r="J87" i="1"/>
  <c r="H87" i="1"/>
  <c r="E87" i="1"/>
  <c r="C87" i="1"/>
  <c r="B87" i="1"/>
  <c r="G87" i="1" s="1"/>
  <c r="A87" i="1"/>
  <c r="J86" i="1"/>
  <c r="H86" i="1"/>
  <c r="E86" i="1"/>
  <c r="C86" i="1"/>
  <c r="B86" i="1"/>
  <c r="R86" i="1" s="1"/>
  <c r="A86" i="1"/>
  <c r="J85" i="1"/>
  <c r="H85" i="1"/>
  <c r="E85" i="1"/>
  <c r="C85" i="1"/>
  <c r="B85" i="1"/>
  <c r="G85" i="1" s="1"/>
  <c r="A85" i="1"/>
  <c r="J84" i="1"/>
  <c r="H84" i="1"/>
  <c r="E84" i="1"/>
  <c r="C84" i="1"/>
  <c r="B84" i="1"/>
  <c r="D84" i="1" s="1"/>
  <c r="A84" i="1"/>
  <c r="J83" i="1"/>
  <c r="H83" i="1"/>
  <c r="E83" i="1"/>
  <c r="C83" i="1"/>
  <c r="B83" i="1"/>
  <c r="R83" i="1" s="1"/>
  <c r="A83" i="1"/>
  <c r="J82" i="1"/>
  <c r="H82" i="1"/>
  <c r="E82" i="1"/>
  <c r="C82" i="1"/>
  <c r="B82" i="1"/>
  <c r="Q82" i="1" s="1"/>
  <c r="A82" i="1"/>
  <c r="J81" i="1"/>
  <c r="H81" i="1"/>
  <c r="E81" i="1"/>
  <c r="C81" i="1"/>
  <c r="B81" i="1"/>
  <c r="R81" i="1" s="1"/>
  <c r="A81" i="1"/>
  <c r="J80" i="1"/>
  <c r="H80" i="1"/>
  <c r="E80" i="1"/>
  <c r="C80" i="1"/>
  <c r="B80" i="1"/>
  <c r="Q80" i="1" s="1"/>
  <c r="A80" i="1"/>
  <c r="J79" i="1"/>
  <c r="H79" i="1"/>
  <c r="E79" i="1"/>
  <c r="C79" i="1"/>
  <c r="B79" i="1"/>
  <c r="A79" i="1"/>
  <c r="J78" i="1"/>
  <c r="H78" i="1"/>
  <c r="E78" i="1"/>
  <c r="C78" i="1"/>
  <c r="B78" i="1"/>
  <c r="Q78" i="1" s="1"/>
  <c r="A78" i="1"/>
  <c r="J77" i="1"/>
  <c r="H77" i="1"/>
  <c r="E77" i="1"/>
  <c r="C77" i="1"/>
  <c r="B77" i="1"/>
  <c r="A77" i="1"/>
  <c r="J76" i="1"/>
  <c r="H76" i="1"/>
  <c r="E76" i="1"/>
  <c r="C76" i="1"/>
  <c r="B76" i="1"/>
  <c r="Q76" i="1" s="1"/>
  <c r="A76" i="1"/>
  <c r="J75" i="1"/>
  <c r="H75" i="1"/>
  <c r="E75" i="1"/>
  <c r="C75" i="1"/>
  <c r="B75" i="1"/>
  <c r="Q75" i="1" s="1"/>
  <c r="A75" i="1"/>
  <c r="J74" i="1"/>
  <c r="H74" i="1"/>
  <c r="E74" i="1"/>
  <c r="C74" i="1"/>
  <c r="B74" i="1"/>
  <c r="S74" i="1" s="1"/>
  <c r="A74" i="1"/>
  <c r="J73" i="1"/>
  <c r="H73" i="1"/>
  <c r="E73" i="1"/>
  <c r="C73" i="1"/>
  <c r="B73" i="1"/>
  <c r="R73" i="1" s="1"/>
  <c r="A73" i="1"/>
  <c r="J72" i="1"/>
  <c r="H72" i="1"/>
  <c r="E72" i="1"/>
  <c r="C72" i="1"/>
  <c r="B72" i="1"/>
  <c r="S72" i="1" s="1"/>
  <c r="A72" i="1"/>
  <c r="J71" i="1"/>
  <c r="H71" i="1"/>
  <c r="E71" i="1"/>
  <c r="C71" i="1"/>
  <c r="B71" i="1"/>
  <c r="R71" i="1" s="1"/>
  <c r="A71" i="1"/>
  <c r="J70" i="1"/>
  <c r="H70" i="1"/>
  <c r="E70" i="1"/>
  <c r="C70" i="1"/>
  <c r="B70" i="1"/>
  <c r="R70" i="1" s="1"/>
  <c r="A70" i="1"/>
  <c r="J69" i="1"/>
  <c r="H69" i="1"/>
  <c r="E69" i="1"/>
  <c r="C69" i="1"/>
  <c r="B69" i="1"/>
  <c r="A69" i="1"/>
  <c r="J68" i="1"/>
  <c r="H68" i="1"/>
  <c r="E68" i="1"/>
  <c r="C68" i="1"/>
  <c r="B68" i="1"/>
  <c r="A68" i="1"/>
  <c r="J67" i="1"/>
  <c r="H67" i="1"/>
  <c r="E67" i="1"/>
  <c r="C67" i="1"/>
  <c r="B67" i="1"/>
  <c r="Q67" i="1" s="1"/>
  <c r="A67" i="1"/>
  <c r="J66" i="1"/>
  <c r="H66" i="1"/>
  <c r="E66" i="1"/>
  <c r="C66" i="1"/>
  <c r="B66" i="1"/>
  <c r="A66" i="1"/>
  <c r="J65" i="1"/>
  <c r="H65" i="1"/>
  <c r="E65" i="1"/>
  <c r="C65" i="1"/>
  <c r="B65" i="1"/>
  <c r="Q65" i="1" s="1"/>
  <c r="A65" i="1"/>
  <c r="J64" i="1"/>
  <c r="H64" i="1"/>
  <c r="E64" i="1"/>
  <c r="C64" i="1"/>
  <c r="B64" i="1"/>
  <c r="G64" i="1" s="1"/>
  <c r="A64" i="1"/>
  <c r="J63" i="1"/>
  <c r="H63" i="1"/>
  <c r="E63" i="1"/>
  <c r="C63" i="1"/>
  <c r="B63" i="1"/>
  <c r="S63" i="1" s="1"/>
  <c r="A63" i="1"/>
  <c r="J62" i="1"/>
  <c r="H62" i="1"/>
  <c r="E62" i="1"/>
  <c r="C62" i="1"/>
  <c r="B62" i="1"/>
  <c r="D62" i="1" s="1"/>
  <c r="A62" i="1"/>
  <c r="J61" i="1"/>
  <c r="H61" i="1"/>
  <c r="E61" i="1"/>
  <c r="C61" i="1"/>
  <c r="B61" i="1"/>
  <c r="A61" i="1"/>
  <c r="J60" i="1"/>
  <c r="H60" i="1"/>
  <c r="E60" i="1"/>
  <c r="C60" i="1"/>
  <c r="B60" i="1"/>
  <c r="Q60" i="1" s="1"/>
  <c r="A60" i="1"/>
  <c r="J59" i="1"/>
  <c r="H59" i="1"/>
  <c r="E59" i="1"/>
  <c r="C59" i="1"/>
  <c r="B59" i="1"/>
  <c r="A59" i="1"/>
  <c r="J58" i="1"/>
  <c r="H58" i="1"/>
  <c r="E58" i="1"/>
  <c r="C58" i="1"/>
  <c r="B58" i="1"/>
  <c r="R58" i="1" s="1"/>
  <c r="A58" i="1"/>
  <c r="J57" i="1"/>
  <c r="H57" i="1"/>
  <c r="E57" i="1"/>
  <c r="C57" i="1"/>
  <c r="B57" i="1"/>
  <c r="G57" i="1" s="1"/>
  <c r="A57" i="1"/>
  <c r="J56" i="1"/>
  <c r="H56" i="1"/>
  <c r="E56" i="1"/>
  <c r="C56" i="1"/>
  <c r="B56" i="1"/>
  <c r="R56" i="1" s="1"/>
  <c r="A56" i="1"/>
  <c r="J55" i="1"/>
  <c r="H55" i="1"/>
  <c r="E55" i="1"/>
  <c r="C55" i="1"/>
  <c r="B55" i="1"/>
  <c r="A55" i="1"/>
  <c r="J54" i="1"/>
  <c r="H54" i="1"/>
  <c r="E54" i="1"/>
  <c r="C54" i="1"/>
  <c r="B54" i="1"/>
  <c r="A54" i="1"/>
  <c r="J53" i="1"/>
  <c r="H53" i="1"/>
  <c r="E53" i="1"/>
  <c r="C53" i="1"/>
  <c r="B53" i="1"/>
  <c r="G53" i="1" s="1"/>
  <c r="A53" i="1"/>
  <c r="J52" i="1"/>
  <c r="H52" i="1"/>
  <c r="E52" i="1"/>
  <c r="C52" i="1"/>
  <c r="B52" i="1"/>
  <c r="A52" i="1"/>
  <c r="J51" i="1"/>
  <c r="H51" i="1"/>
  <c r="E51" i="1"/>
  <c r="C51" i="1"/>
  <c r="B51" i="1"/>
  <c r="S51" i="1" s="1"/>
  <c r="A51" i="1"/>
  <c r="J50" i="1"/>
  <c r="H50" i="1"/>
  <c r="E50" i="1"/>
  <c r="C50" i="1"/>
  <c r="B50" i="1"/>
  <c r="G50" i="1" s="1"/>
  <c r="A50" i="1"/>
  <c r="J49" i="1"/>
  <c r="H49" i="1"/>
  <c r="E49" i="1"/>
  <c r="C49" i="1"/>
  <c r="B49" i="1"/>
  <c r="S49" i="1" s="1"/>
  <c r="A49" i="1"/>
  <c r="J48" i="1"/>
  <c r="H48" i="1"/>
  <c r="E48" i="1"/>
  <c r="C48" i="1"/>
  <c r="B48" i="1"/>
  <c r="R48" i="1" s="1"/>
  <c r="A48" i="1"/>
  <c r="J47" i="1"/>
  <c r="H47" i="1"/>
  <c r="E47" i="1"/>
  <c r="C47" i="1"/>
  <c r="B47" i="1"/>
  <c r="A47" i="1"/>
  <c r="J46" i="1"/>
  <c r="H46" i="1"/>
  <c r="E46" i="1"/>
  <c r="C46" i="1"/>
  <c r="B46" i="1"/>
  <c r="G46" i="1" s="1"/>
  <c r="A46" i="1"/>
  <c r="J45" i="1"/>
  <c r="H45" i="1"/>
  <c r="E45" i="1"/>
  <c r="C45" i="1"/>
  <c r="B45" i="1"/>
  <c r="S45" i="1" s="1"/>
  <c r="A45" i="1"/>
  <c r="J44" i="1"/>
  <c r="H44" i="1"/>
  <c r="E44" i="1"/>
  <c r="C44" i="1"/>
  <c r="B44" i="1"/>
  <c r="R44" i="1" s="1"/>
  <c r="A44" i="1"/>
  <c r="J43" i="1"/>
  <c r="H43" i="1"/>
  <c r="E43" i="1"/>
  <c r="C43" i="1"/>
  <c r="B43" i="1"/>
  <c r="R43" i="1" s="1"/>
  <c r="A43" i="1"/>
  <c r="J42" i="1"/>
  <c r="H42" i="1"/>
  <c r="E42" i="1"/>
  <c r="C42" i="1"/>
  <c r="B42" i="1"/>
  <c r="Q42" i="1" s="1"/>
  <c r="A42" i="1"/>
  <c r="J41" i="1"/>
  <c r="H41" i="1"/>
  <c r="E41" i="1"/>
  <c r="C41" i="1"/>
  <c r="B41" i="1"/>
  <c r="G41" i="1" s="1"/>
  <c r="A41" i="1"/>
  <c r="J40" i="1"/>
  <c r="H40" i="1"/>
  <c r="E40" i="1"/>
  <c r="C40" i="1"/>
  <c r="B40" i="1"/>
  <c r="D40" i="1" s="1"/>
  <c r="A40" i="1"/>
  <c r="J39" i="1"/>
  <c r="H39" i="1"/>
  <c r="E39" i="1"/>
  <c r="C39" i="1"/>
  <c r="B39" i="1"/>
  <c r="S39" i="1" s="1"/>
  <c r="A39" i="1"/>
  <c r="J38" i="1"/>
  <c r="H38" i="1"/>
  <c r="E38" i="1"/>
  <c r="C38" i="1"/>
  <c r="B38" i="1"/>
  <c r="A38" i="1"/>
  <c r="J37" i="1"/>
  <c r="H37" i="1"/>
  <c r="E37" i="1"/>
  <c r="C37" i="1"/>
  <c r="B37" i="1"/>
  <c r="G37" i="1" s="1"/>
  <c r="A37" i="1"/>
  <c r="J36" i="1"/>
  <c r="H36" i="1"/>
  <c r="E36" i="1"/>
  <c r="C36" i="1"/>
  <c r="B36" i="1"/>
  <c r="S36" i="1" s="1"/>
  <c r="A36" i="1"/>
  <c r="J35" i="1"/>
  <c r="H35" i="1"/>
  <c r="E35" i="1"/>
  <c r="C35" i="1"/>
  <c r="B35" i="1"/>
  <c r="A35" i="1"/>
  <c r="J34" i="1"/>
  <c r="H34" i="1"/>
  <c r="E34" i="1"/>
  <c r="C34" i="1"/>
  <c r="B34" i="1"/>
  <c r="D34" i="1" s="1"/>
  <c r="A34" i="1"/>
  <c r="J33" i="1"/>
  <c r="H33" i="1"/>
  <c r="E33" i="1"/>
  <c r="C33" i="1"/>
  <c r="B33" i="1"/>
  <c r="G33" i="1" s="1"/>
  <c r="A33" i="1"/>
  <c r="J32" i="1"/>
  <c r="H32" i="1"/>
  <c r="E32" i="1"/>
  <c r="C32" i="1"/>
  <c r="B32" i="1"/>
  <c r="R32" i="1" s="1"/>
  <c r="A32" i="1"/>
  <c r="J31" i="1"/>
  <c r="H31" i="1"/>
  <c r="E31" i="1"/>
  <c r="C31" i="1"/>
  <c r="B31" i="1"/>
  <c r="D31" i="1" s="1"/>
  <c r="A31" i="1"/>
  <c r="A26" i="1"/>
  <c r="I21" i="1"/>
  <c r="H21" i="1"/>
  <c r="G21" i="1"/>
  <c r="F21" i="1"/>
  <c r="E21" i="1"/>
  <c r="D21" i="1"/>
  <c r="I20" i="1"/>
  <c r="H20" i="1"/>
  <c r="G20" i="1"/>
  <c r="F20" i="1"/>
  <c r="E20" i="1"/>
  <c r="D20" i="1"/>
  <c r="I19" i="1"/>
  <c r="H19" i="1"/>
  <c r="G19" i="1"/>
  <c r="F19" i="1"/>
  <c r="E19" i="1"/>
  <c r="D19" i="1"/>
  <c r="L4" i="1"/>
  <c r="F104" i="1" l="1"/>
  <c r="F170" i="1"/>
  <c r="S104" i="1"/>
  <c r="D104" i="1"/>
  <c r="R104" i="1"/>
  <c r="F185" i="1"/>
  <c r="F124" i="1"/>
  <c r="F156" i="1"/>
  <c r="F165" i="1"/>
  <c r="M209" i="1"/>
  <c r="F228" i="1"/>
  <c r="R171" i="1"/>
  <c r="Q107" i="1"/>
  <c r="Q237" i="1"/>
  <c r="R89" i="1"/>
  <c r="Q84" i="1"/>
  <c r="R153" i="1"/>
  <c r="P154" i="1"/>
  <c r="P191" i="1"/>
  <c r="R88" i="1"/>
  <c r="F214" i="1"/>
  <c r="I253" i="1"/>
  <c r="F182" i="1"/>
  <c r="I213" i="1"/>
  <c r="P248" i="1"/>
  <c r="D94" i="1"/>
  <c r="P159" i="1"/>
  <c r="S208" i="1"/>
  <c r="Q165" i="1"/>
  <c r="I233" i="1"/>
  <c r="S131" i="1"/>
  <c r="Q51" i="1"/>
  <c r="R243" i="1"/>
  <c r="R180" i="1"/>
  <c r="S202" i="1"/>
  <c r="F55" i="1"/>
  <c r="R97" i="1"/>
  <c r="D100" i="1"/>
  <c r="S184" i="1"/>
  <c r="F203" i="1"/>
  <c r="N226" i="1"/>
  <c r="Q227" i="1"/>
  <c r="D208" i="1"/>
  <c r="D209" i="1"/>
  <c r="S226" i="1"/>
  <c r="D55" i="1"/>
  <c r="Q57" i="1"/>
  <c r="F59" i="1"/>
  <c r="D89" i="1"/>
  <c r="Q160" i="1"/>
  <c r="P175" i="1"/>
  <c r="D180" i="1"/>
  <c r="F215" i="1"/>
  <c r="I216" i="1"/>
  <c r="M249" i="1"/>
  <c r="O254" i="1"/>
  <c r="S65" i="1"/>
  <c r="F100" i="1"/>
  <c r="G124" i="1"/>
  <c r="S232" i="1"/>
  <c r="Q33" i="1"/>
  <c r="Q55" i="1"/>
  <c r="D80" i="1"/>
  <c r="Q83" i="1"/>
  <c r="G94" i="1"/>
  <c r="M153" i="1"/>
  <c r="N153" i="1" s="1"/>
  <c r="G164" i="1"/>
  <c r="G169" i="1"/>
  <c r="P181" i="1"/>
  <c r="S182" i="1"/>
  <c r="L212" i="1"/>
  <c r="L213" i="1"/>
  <c r="K214" i="1"/>
  <c r="P241" i="1"/>
  <c r="F122" i="1"/>
  <c r="Q63" i="1"/>
  <c r="R76" i="1"/>
  <c r="F80" i="1"/>
  <c r="S87" i="1"/>
  <c r="Q93" i="1"/>
  <c r="P155" i="1"/>
  <c r="D228" i="1"/>
  <c r="G122" i="1"/>
  <c r="I223" i="1"/>
  <c r="F260" i="1"/>
  <c r="F69" i="1"/>
  <c r="G80" i="1"/>
  <c r="R154" i="1"/>
  <c r="R169" i="1"/>
  <c r="F227" i="1"/>
  <c r="M255" i="1"/>
  <c r="G31" i="1"/>
  <c r="F41" i="1"/>
  <c r="R108" i="1"/>
  <c r="S122" i="1"/>
  <c r="F216" i="1"/>
  <c r="M167" i="1"/>
  <c r="N167" i="1" s="1"/>
  <c r="D191" i="1"/>
  <c r="D59" i="1"/>
  <c r="G69" i="1"/>
  <c r="G74" i="1"/>
  <c r="F198" i="1"/>
  <c r="G210" i="1"/>
  <c r="Q226" i="1"/>
  <c r="G236" i="1"/>
  <c r="F245" i="1"/>
  <c r="F192" i="1"/>
  <c r="G198" i="1"/>
  <c r="F220" i="1"/>
  <c r="F237" i="1"/>
  <c r="D246" i="1"/>
  <c r="D67" i="1"/>
  <c r="D43" i="1"/>
  <c r="S94" i="1"/>
  <c r="D97" i="1"/>
  <c r="D155" i="1"/>
  <c r="P170" i="1"/>
  <c r="P177" i="1"/>
  <c r="D202" i="1"/>
  <c r="N209" i="1"/>
  <c r="I219" i="1"/>
  <c r="G220" i="1"/>
  <c r="M223" i="1"/>
  <c r="N228" i="1"/>
  <c r="N229" i="1"/>
  <c r="R230" i="1"/>
  <c r="G237" i="1"/>
  <c r="F251" i="1"/>
  <c r="I258" i="1"/>
  <c r="D192" i="1"/>
  <c r="F33" i="1"/>
  <c r="G63" i="1"/>
  <c r="F64" i="1"/>
  <c r="F65" i="1"/>
  <c r="F67" i="1"/>
  <c r="F72" i="1"/>
  <c r="S80" i="1"/>
  <c r="D83" i="1"/>
  <c r="G119" i="1"/>
  <c r="R174" i="1"/>
  <c r="M191" i="1"/>
  <c r="N191" i="1" s="1"/>
  <c r="S209" i="1"/>
  <c r="K210" i="1"/>
  <c r="F226" i="1"/>
  <c r="Q228" i="1"/>
  <c r="O229" i="1"/>
  <c r="Q235" i="1"/>
  <c r="P236" i="1"/>
  <c r="D241" i="1"/>
  <c r="K245" i="1"/>
  <c r="S246" i="1"/>
  <c r="K10" i="1"/>
  <c r="F43" i="1"/>
  <c r="R59" i="1"/>
  <c r="G65" i="1"/>
  <c r="D107" i="1"/>
  <c r="Q131" i="1"/>
  <c r="G144" i="1"/>
  <c r="R150" i="1"/>
  <c r="P152" i="1"/>
  <c r="D170" i="1"/>
  <c r="D171" i="1"/>
  <c r="M192" i="1"/>
  <c r="N192" i="1" s="1"/>
  <c r="F194" i="1"/>
  <c r="K205" i="1"/>
  <c r="S210" i="1"/>
  <c r="L219" i="1"/>
  <c r="I220" i="1"/>
  <c r="G226" i="1"/>
  <c r="S236" i="1"/>
  <c r="K258" i="1"/>
  <c r="R238" i="1"/>
  <c r="O252" i="1"/>
  <c r="G70" i="1"/>
  <c r="G72" i="1"/>
  <c r="S83" i="1"/>
  <c r="R94" i="1"/>
  <c r="S107" i="1"/>
  <c r="S144" i="1"/>
  <c r="D150" i="1"/>
  <c r="M152" i="1"/>
  <c r="N152" i="1" s="1"/>
  <c r="S154" i="1"/>
  <c r="D165" i="1"/>
  <c r="G182" i="1"/>
  <c r="Q184" i="1"/>
  <c r="G190" i="1"/>
  <c r="R192" i="1"/>
  <c r="F205" i="1"/>
  <c r="I207" i="1"/>
  <c r="Q210" i="1"/>
  <c r="S212" i="1"/>
  <c r="K213" i="1"/>
  <c r="K218" i="1"/>
  <c r="O222" i="1"/>
  <c r="K223" i="1"/>
  <c r="P226" i="1"/>
  <c r="G227" i="1"/>
  <c r="R227" i="1"/>
  <c r="I228" i="1"/>
  <c r="I232" i="1"/>
  <c r="F236" i="1"/>
  <c r="Q236" i="1"/>
  <c r="K239" i="1"/>
  <c r="I240" i="1"/>
  <c r="G243" i="1"/>
  <c r="O245" i="1"/>
  <c r="N246" i="1"/>
  <c r="P252" i="1"/>
  <c r="Q253" i="1"/>
  <c r="K254" i="1"/>
  <c r="P257" i="1"/>
  <c r="G260" i="1"/>
  <c r="D118" i="1"/>
  <c r="P218" i="1"/>
  <c r="G43" i="1"/>
  <c r="G58" i="1"/>
  <c r="Q62" i="1"/>
  <c r="G67" i="1"/>
  <c r="Q88" i="1"/>
  <c r="S90" i="1"/>
  <c r="G100" i="1"/>
  <c r="M162" i="1"/>
  <c r="N162" i="1" s="1"/>
  <c r="Q169" i="1"/>
  <c r="G171" i="1"/>
  <c r="P176" i="1"/>
  <c r="D177" i="1"/>
  <c r="S180" i="1"/>
  <c r="F196" i="1"/>
  <c r="M197" i="1"/>
  <c r="N197" i="1" s="1"/>
  <c r="G200" i="1"/>
  <c r="K207" i="1"/>
  <c r="S214" i="1"/>
  <c r="O215" i="1"/>
  <c r="G217" i="1"/>
  <c r="I227" i="1"/>
  <c r="L228" i="1"/>
  <c r="K232" i="1"/>
  <c r="N233" i="1"/>
  <c r="N237" i="1"/>
  <c r="G238" i="1"/>
  <c r="R239" i="1"/>
  <c r="K240" i="1"/>
  <c r="R254" i="1"/>
  <c r="O255" i="1"/>
  <c r="S258" i="1"/>
  <c r="N259" i="1"/>
  <c r="I260" i="1"/>
  <c r="M233" i="1"/>
  <c r="G49" i="1"/>
  <c r="R72" i="1"/>
  <c r="F78" i="1"/>
  <c r="G82" i="1"/>
  <c r="F118" i="1"/>
  <c r="F148" i="1"/>
  <c r="G152" i="1"/>
  <c r="M190" i="1"/>
  <c r="N190" i="1" s="1"/>
  <c r="G196" i="1"/>
  <c r="N207" i="1"/>
  <c r="D212" i="1"/>
  <c r="K216" i="1"/>
  <c r="M228" i="1"/>
  <c r="D231" i="1"/>
  <c r="D232" i="1"/>
  <c r="L232" i="1"/>
  <c r="D233" i="1"/>
  <c r="O233" i="1"/>
  <c r="O237" i="1"/>
  <c r="O240" i="1"/>
  <c r="K243" i="1"/>
  <c r="D82" i="1"/>
  <c r="D148" i="1"/>
  <c r="S31" i="1"/>
  <c r="S37" i="1"/>
  <c r="Q48" i="1"/>
  <c r="G55" i="1"/>
  <c r="R65" i="1"/>
  <c r="G76" i="1"/>
  <c r="G78" i="1"/>
  <c r="G83" i="1"/>
  <c r="F94" i="1"/>
  <c r="G97" i="1"/>
  <c r="G107" i="1"/>
  <c r="Q116" i="1"/>
  <c r="G118" i="1"/>
  <c r="D143" i="1"/>
  <c r="P147" i="1"/>
  <c r="Q151" i="1"/>
  <c r="P160" i="1"/>
  <c r="P161" i="1"/>
  <c r="P164" i="1"/>
  <c r="Q166" i="1"/>
  <c r="M170" i="1"/>
  <c r="N170" i="1" s="1"/>
  <c r="G176" i="1"/>
  <c r="Q191" i="1"/>
  <c r="P195" i="1"/>
  <c r="O216" i="1"/>
  <c r="I217" i="1"/>
  <c r="G218" i="1"/>
  <c r="M227" i="1"/>
  <c r="M232" i="1"/>
  <c r="R233" i="1"/>
  <c r="L236" i="1"/>
  <c r="G239" i="1"/>
  <c r="M243" i="1"/>
  <c r="F244" i="1"/>
  <c r="K252" i="1"/>
  <c r="L10" i="1"/>
  <c r="D152" i="1"/>
  <c r="P239" i="1"/>
  <c r="S43" i="1"/>
  <c r="Q58" i="1"/>
  <c r="R67" i="1"/>
  <c r="D72" i="1"/>
  <c r="D74" i="1"/>
  <c r="R100" i="1"/>
  <c r="R116" i="1"/>
  <c r="R147" i="1"/>
  <c r="D160" i="1"/>
  <c r="D161" i="1"/>
  <c r="R191" i="1"/>
  <c r="Q200" i="1"/>
  <c r="Q209" i="1"/>
  <c r="I210" i="1"/>
  <c r="P216" i="1"/>
  <c r="O227" i="1"/>
  <c r="P228" i="1"/>
  <c r="K229" i="1"/>
  <c r="F232" i="1"/>
  <c r="P232" i="1"/>
  <c r="F233" i="1"/>
  <c r="M236" i="1"/>
  <c r="S237" i="1"/>
  <c r="K238" i="1"/>
  <c r="N243" i="1"/>
  <c r="I245" i="1"/>
  <c r="L252" i="1"/>
  <c r="F254" i="1"/>
  <c r="G258" i="1"/>
  <c r="S196" i="1"/>
  <c r="R217" i="1"/>
  <c r="D49" i="1"/>
  <c r="D78" i="1"/>
  <c r="D65" i="1"/>
  <c r="S67" i="1"/>
  <c r="D71" i="1"/>
  <c r="R80" i="1"/>
  <c r="S85" i="1"/>
  <c r="S100" i="1"/>
  <c r="R114" i="1"/>
  <c r="Q119" i="1"/>
  <c r="G143" i="1"/>
  <c r="S152" i="1"/>
  <c r="S171" i="1"/>
  <c r="S191" i="1"/>
  <c r="R196" i="1"/>
  <c r="S197" i="1"/>
  <c r="M217" i="1"/>
  <c r="I218" i="1"/>
  <c r="P227" i="1"/>
  <c r="G232" i="1"/>
  <c r="Q232" i="1"/>
  <c r="D236" i="1"/>
  <c r="N236" i="1"/>
  <c r="Q238" i="1"/>
  <c r="I239" i="1"/>
  <c r="D243" i="1"/>
  <c r="Q243" i="1"/>
  <c r="M252" i="1"/>
  <c r="D259" i="1"/>
  <c r="Q34" i="1"/>
  <c r="R40" i="1"/>
  <c r="S92" i="1"/>
  <c r="M157" i="1"/>
  <c r="N157" i="1" s="1"/>
  <c r="F157" i="1"/>
  <c r="O234" i="1"/>
  <c r="F234" i="1"/>
  <c r="R234" i="1"/>
  <c r="I234" i="1"/>
  <c r="F102" i="1"/>
  <c r="R102" i="1"/>
  <c r="R110" i="1"/>
  <c r="G110" i="1"/>
  <c r="S140" i="1"/>
  <c r="G140" i="1"/>
  <c r="D178" i="1"/>
  <c r="Q31" i="1"/>
  <c r="F34" i="1"/>
  <c r="F40" i="1"/>
  <c r="R41" i="1"/>
  <c r="G45" i="1"/>
  <c r="D53" i="1"/>
  <c r="S53" i="1"/>
  <c r="R55" i="1"/>
  <c r="R60" i="1"/>
  <c r="S69" i="1"/>
  <c r="Q70" i="1"/>
  <c r="S98" i="1"/>
  <c r="R98" i="1"/>
  <c r="D102" i="1"/>
  <c r="D110" i="1"/>
  <c r="D115" i="1"/>
  <c r="Q115" i="1"/>
  <c r="D140" i="1"/>
  <c r="G157" i="1"/>
  <c r="F188" i="1"/>
  <c r="R188" i="1"/>
  <c r="G234" i="1"/>
  <c r="O251" i="1"/>
  <c r="O256" i="1"/>
  <c r="K256" i="1"/>
  <c r="S256" i="1"/>
  <c r="I256" i="1"/>
  <c r="R256" i="1"/>
  <c r="Q256" i="1"/>
  <c r="G256" i="1"/>
  <c r="M256" i="1"/>
  <c r="L256" i="1"/>
  <c r="D256" i="1"/>
  <c r="S46" i="1"/>
  <c r="D46" i="1"/>
  <c r="F92" i="1"/>
  <c r="R92" i="1"/>
  <c r="R50" i="1"/>
  <c r="S34" i="1"/>
  <c r="S50" i="1"/>
  <c r="Q53" i="1"/>
  <c r="D37" i="1"/>
  <c r="R53" i="1"/>
  <c r="Q230" i="1"/>
  <c r="L230" i="1"/>
  <c r="I230" i="1"/>
  <c r="P230" i="1"/>
  <c r="M230" i="1"/>
  <c r="D230" i="1"/>
  <c r="R31" i="1"/>
  <c r="G34" i="1"/>
  <c r="G36" i="1"/>
  <c r="Q39" i="1"/>
  <c r="G40" i="1"/>
  <c r="D41" i="1"/>
  <c r="S41" i="1"/>
  <c r="F50" i="1"/>
  <c r="S55" i="1"/>
  <c r="S58" i="1"/>
  <c r="D58" i="1"/>
  <c r="F58" i="1"/>
  <c r="R74" i="1"/>
  <c r="Q81" i="1"/>
  <c r="Q95" i="1"/>
  <c r="G95" i="1"/>
  <c r="S95" i="1"/>
  <c r="R119" i="1"/>
  <c r="G153" i="1"/>
  <c r="F153" i="1"/>
  <c r="S153" i="1"/>
  <c r="Q153" i="1"/>
  <c r="F168" i="1"/>
  <c r="M168" i="1"/>
  <c r="N168" i="1" s="1"/>
  <c r="M187" i="1"/>
  <c r="N187" i="1" s="1"/>
  <c r="G203" i="1"/>
  <c r="S203" i="1"/>
  <c r="R203" i="1"/>
  <c r="D203" i="1"/>
  <c r="Q203" i="1"/>
  <c r="R205" i="1"/>
  <c r="O205" i="1"/>
  <c r="N205" i="1"/>
  <c r="D205" i="1"/>
  <c r="M205" i="1"/>
  <c r="S205" i="1"/>
  <c r="I205" i="1"/>
  <c r="N215" i="1"/>
  <c r="P215" i="1"/>
  <c r="G215" i="1"/>
  <c r="M215" i="1"/>
  <c r="L215" i="1"/>
  <c r="D215" i="1"/>
  <c r="K215" i="1"/>
  <c r="R215" i="1"/>
  <c r="I215" i="1"/>
  <c r="Q215" i="1"/>
  <c r="D159" i="1"/>
  <c r="D50" i="1"/>
  <c r="R131" i="1"/>
  <c r="P131" i="1"/>
  <c r="Q43" i="1"/>
  <c r="F53" i="1"/>
  <c r="G102" i="1"/>
  <c r="S113" i="1"/>
  <c r="G113" i="1"/>
  <c r="Q121" i="1"/>
  <c r="G121" i="1"/>
  <c r="S137" i="1"/>
  <c r="G137" i="1"/>
  <c r="F140" i="1"/>
  <c r="R158" i="1"/>
  <c r="R166" i="1"/>
  <c r="P166" i="1"/>
  <c r="M183" i="1"/>
  <c r="N183" i="1" s="1"/>
  <c r="L206" i="1"/>
  <c r="S206" i="1"/>
  <c r="O206" i="1"/>
  <c r="N206" i="1"/>
  <c r="P221" i="1"/>
  <c r="O221" i="1"/>
  <c r="M221" i="1"/>
  <c r="G230" i="1"/>
  <c r="O244" i="1"/>
  <c r="Q244" i="1"/>
  <c r="G244" i="1"/>
  <c r="M244" i="1"/>
  <c r="L244" i="1"/>
  <c r="D244" i="1"/>
  <c r="K244" i="1"/>
  <c r="S244" i="1"/>
  <c r="I244" i="1"/>
  <c r="R244" i="1"/>
  <c r="N251" i="1"/>
  <c r="P251" i="1"/>
  <c r="G251" i="1"/>
  <c r="M251" i="1"/>
  <c r="L251" i="1"/>
  <c r="D251" i="1"/>
  <c r="K251" i="1"/>
  <c r="R251" i="1"/>
  <c r="I251" i="1"/>
  <c r="Q251" i="1"/>
  <c r="R46" i="1"/>
  <c r="M159" i="1"/>
  <c r="N159" i="1" s="1"/>
  <c r="G159" i="1"/>
  <c r="S159" i="1"/>
  <c r="Q159" i="1"/>
  <c r="P193" i="1"/>
  <c r="R193" i="1"/>
  <c r="G193" i="1"/>
  <c r="R34" i="1"/>
  <c r="S40" i="1"/>
  <c r="D87" i="1"/>
  <c r="Q87" i="1"/>
  <c r="G134" i="1"/>
  <c r="F134" i="1"/>
  <c r="S134" i="1"/>
  <c r="G156" i="1"/>
  <c r="S156" i="1"/>
  <c r="D156" i="1"/>
  <c r="Q156" i="1"/>
  <c r="S88" i="1"/>
  <c r="D88" i="1"/>
  <c r="F88" i="1"/>
  <c r="D92" i="1"/>
  <c r="S102" i="1"/>
  <c r="D183" i="1"/>
  <c r="Q41" i="1"/>
  <c r="F46" i="1"/>
  <c r="S70" i="1"/>
  <c r="D70" i="1"/>
  <c r="F70" i="1"/>
  <c r="Q74" i="1"/>
  <c r="F74" i="1"/>
  <c r="Q46" i="1"/>
  <c r="D69" i="1"/>
  <c r="S76" i="1"/>
  <c r="D76" i="1"/>
  <c r="F76" i="1"/>
  <c r="F82" i="1"/>
  <c r="R82" i="1"/>
  <c r="S82" i="1"/>
  <c r="S86" i="1"/>
  <c r="R87" i="1"/>
  <c r="Q92" i="1"/>
  <c r="D95" i="1"/>
  <c r="G98" i="1"/>
  <c r="G115" i="1"/>
  <c r="D119" i="1"/>
  <c r="G131" i="1"/>
  <c r="R134" i="1"/>
  <c r="Q145" i="1"/>
  <c r="G145" i="1"/>
  <c r="F145" i="1"/>
  <c r="S145" i="1"/>
  <c r="Q155" i="1"/>
  <c r="M155" i="1"/>
  <c r="N155" i="1" s="1"/>
  <c r="S155" i="1"/>
  <c r="M156" i="1"/>
  <c r="N156" i="1" s="1"/>
  <c r="R157" i="1"/>
  <c r="R159" i="1"/>
  <c r="G188" i="1"/>
  <c r="Q201" i="1"/>
  <c r="M201" i="1"/>
  <c r="N201" i="1" s="1"/>
  <c r="G201" i="1"/>
  <c r="P234" i="1"/>
  <c r="K248" i="1"/>
  <c r="L248" i="1"/>
  <c r="I248" i="1"/>
  <c r="S248" i="1"/>
  <c r="Q248" i="1"/>
  <c r="G248" i="1"/>
  <c r="N248" i="1"/>
  <c r="M248" i="1"/>
  <c r="D248" i="1"/>
  <c r="N249" i="1"/>
  <c r="K249" i="1"/>
  <c r="R249" i="1"/>
  <c r="F249" i="1"/>
  <c r="Q249" i="1"/>
  <c r="F256" i="1"/>
  <c r="Q212" i="1"/>
  <c r="M253" i="1"/>
  <c r="L259" i="1"/>
  <c r="Q72" i="1"/>
  <c r="R122" i="1"/>
  <c r="Q147" i="1"/>
  <c r="P163" i="1"/>
  <c r="M164" i="1"/>
  <c r="N164" i="1" s="1"/>
  <c r="S174" i="1"/>
  <c r="M176" i="1"/>
  <c r="N176" i="1" s="1"/>
  <c r="R184" i="1"/>
  <c r="M193" i="1"/>
  <c r="N193" i="1" s="1"/>
  <c r="S194" i="1"/>
  <c r="R197" i="1"/>
  <c r="R208" i="1"/>
  <c r="R212" i="1"/>
  <c r="M219" i="1"/>
  <c r="L223" i="1"/>
  <c r="S239" i="1"/>
  <c r="O241" i="1"/>
  <c r="K246" i="1"/>
  <c r="P253" i="1"/>
  <c r="N255" i="1"/>
  <c r="M259" i="1"/>
  <c r="F110" i="1"/>
  <c r="F178" i="1"/>
  <c r="F190" i="1"/>
  <c r="D114" i="1"/>
  <c r="R124" i="1"/>
  <c r="D147" i="1"/>
  <c r="S147" i="1"/>
  <c r="D163" i="1"/>
  <c r="D164" i="1"/>
  <c r="Q164" i="1"/>
  <c r="D172" i="1"/>
  <c r="D173" i="1"/>
  <c r="D176" i="1"/>
  <c r="Q176" i="1"/>
  <c r="F177" i="1"/>
  <c r="F180" i="1"/>
  <c r="M182" i="1"/>
  <c r="N182" i="1" s="1"/>
  <c r="D184" i="1"/>
  <c r="D187" i="1"/>
  <c r="Q190" i="1"/>
  <c r="G191" i="1"/>
  <c r="D194" i="1"/>
  <c r="M196" i="1"/>
  <c r="N196" i="1" s="1"/>
  <c r="D197" i="1"/>
  <c r="R200" i="1"/>
  <c r="F202" i="1"/>
  <c r="D210" i="1"/>
  <c r="L210" i="1"/>
  <c r="G214" i="1"/>
  <c r="D217" i="1"/>
  <c r="N217" i="1"/>
  <c r="D218" i="1"/>
  <c r="L218" i="1"/>
  <c r="P220" i="1"/>
  <c r="D223" i="1"/>
  <c r="N223" i="1"/>
  <c r="K226" i="1"/>
  <c r="S227" i="1"/>
  <c r="L238" i="1"/>
  <c r="D239" i="1"/>
  <c r="L239" i="1"/>
  <c r="L240" i="1"/>
  <c r="R241" i="1"/>
  <c r="L245" i="1"/>
  <c r="O246" i="1"/>
  <c r="F253" i="1"/>
  <c r="S253" i="1"/>
  <c r="D255" i="1"/>
  <c r="P255" i="1"/>
  <c r="D258" i="1"/>
  <c r="P258" i="1"/>
  <c r="O259" i="1"/>
  <c r="F31" i="1"/>
  <c r="F83" i="1"/>
  <c r="F87" i="1"/>
  <c r="F95" i="1"/>
  <c r="F107" i="1"/>
  <c r="F119" i="1"/>
  <c r="F131" i="1"/>
  <c r="F143" i="1"/>
  <c r="F147" i="1"/>
  <c r="F159" i="1"/>
  <c r="F163" i="1"/>
  <c r="F171" i="1"/>
  <c r="F191" i="1"/>
  <c r="S124" i="1"/>
  <c r="Q143" i="1"/>
  <c r="F162" i="1"/>
  <c r="R164" i="1"/>
  <c r="P171" i="1"/>
  <c r="F174" i="1"/>
  <c r="R176" i="1"/>
  <c r="M179" i="1"/>
  <c r="N179" i="1" s="1"/>
  <c r="G180" i="1"/>
  <c r="Q182" i="1"/>
  <c r="P190" i="1"/>
  <c r="R190" i="1"/>
  <c r="P192" i="1"/>
  <c r="P196" i="1"/>
  <c r="S200" i="1"/>
  <c r="G202" i="1"/>
  <c r="L207" i="1"/>
  <c r="F208" i="1"/>
  <c r="O209" i="1"/>
  <c r="N210" i="1"/>
  <c r="M213" i="1"/>
  <c r="L216" i="1"/>
  <c r="O217" i="1"/>
  <c r="M218" i="1"/>
  <c r="G219" i="1"/>
  <c r="R220" i="1"/>
  <c r="L226" i="1"/>
  <c r="K227" i="1"/>
  <c r="I236" i="1"/>
  <c r="K237" i="1"/>
  <c r="M238" i="1"/>
  <c r="M239" i="1"/>
  <c r="M240" i="1"/>
  <c r="F241" i="1"/>
  <c r="L243" i="1"/>
  <c r="M245" i="1"/>
  <c r="F246" i="1"/>
  <c r="Q246" i="1"/>
  <c r="L254" i="1"/>
  <c r="Q255" i="1"/>
  <c r="L257" i="1"/>
  <c r="Q258" i="1"/>
  <c r="D124" i="1"/>
  <c r="S143" i="1"/>
  <c r="M161" i="1"/>
  <c r="N161" i="1" s="1"/>
  <c r="G163" i="1"/>
  <c r="F164" i="1"/>
  <c r="G174" i="1"/>
  <c r="F176" i="1"/>
  <c r="D182" i="1"/>
  <c r="D190" i="1"/>
  <c r="D196" i="1"/>
  <c r="G208" i="1"/>
  <c r="F210" i="1"/>
  <c r="P210" i="1"/>
  <c r="N213" i="1"/>
  <c r="F217" i="1"/>
  <c r="Q217" i="1"/>
  <c r="F218" i="1"/>
  <c r="O218" i="1"/>
  <c r="N222" i="1"/>
  <c r="D226" i="1"/>
  <c r="M226" i="1"/>
  <c r="D227" i="1"/>
  <c r="L227" i="1"/>
  <c r="D238" i="1"/>
  <c r="N238" i="1"/>
  <c r="F239" i="1"/>
  <c r="O239" i="1"/>
  <c r="D240" i="1"/>
  <c r="G241" i="1"/>
  <c r="G246" i="1"/>
  <c r="R246" i="1"/>
  <c r="O257" i="1"/>
  <c r="F258" i="1"/>
  <c r="R258" i="1"/>
  <c r="I259" i="1"/>
  <c r="F144" i="1"/>
  <c r="F184" i="1"/>
  <c r="F200" i="1"/>
  <c r="I208" i="1"/>
  <c r="R210" i="1"/>
  <c r="L214" i="1"/>
  <c r="S218" i="1"/>
  <c r="Q239" i="1"/>
  <c r="F85" i="1"/>
  <c r="F89" i="1"/>
  <c r="F97" i="1"/>
  <c r="F113" i="1"/>
  <c r="F35" i="1"/>
  <c r="G60" i="1"/>
  <c r="S60" i="1"/>
  <c r="F60" i="1"/>
  <c r="D60" i="1"/>
  <c r="S66" i="1"/>
  <c r="G66" i="1"/>
  <c r="R66" i="1"/>
  <c r="F66" i="1"/>
  <c r="D66" i="1"/>
  <c r="G38" i="1"/>
  <c r="R38" i="1"/>
  <c r="F38" i="1"/>
  <c r="D38" i="1"/>
  <c r="S38" i="1"/>
  <c r="G136" i="1"/>
  <c r="F136" i="1"/>
  <c r="R136" i="1"/>
  <c r="S136" i="1"/>
  <c r="D136" i="1"/>
  <c r="Q136" i="1"/>
  <c r="Q66" i="1"/>
  <c r="D141" i="1"/>
  <c r="G141" i="1"/>
  <c r="S141" i="1"/>
  <c r="F141" i="1"/>
  <c r="R141" i="1"/>
  <c r="Q141" i="1"/>
  <c r="Q149" i="1"/>
  <c r="D149" i="1"/>
  <c r="F149" i="1"/>
  <c r="P149" i="1"/>
  <c r="G149" i="1"/>
  <c r="S149" i="1"/>
  <c r="R149" i="1"/>
  <c r="Q105" i="1"/>
  <c r="D105" i="1"/>
  <c r="R105" i="1"/>
  <c r="F105" i="1"/>
  <c r="S105" i="1"/>
  <c r="G105" i="1"/>
  <c r="Q125" i="1"/>
  <c r="D125" i="1"/>
  <c r="R125" i="1"/>
  <c r="G125" i="1"/>
  <c r="F125" i="1"/>
  <c r="S125" i="1"/>
  <c r="D129" i="1"/>
  <c r="S129" i="1"/>
  <c r="F129" i="1"/>
  <c r="R129" i="1"/>
  <c r="G129" i="1"/>
  <c r="Q129" i="1"/>
  <c r="A29" i="1"/>
  <c r="Q38" i="1"/>
  <c r="S42" i="1"/>
  <c r="G42" i="1"/>
  <c r="R42" i="1"/>
  <c r="F42" i="1"/>
  <c r="D42" i="1"/>
  <c r="M172" i="1"/>
  <c r="N172" i="1" s="1"/>
  <c r="R51" i="1"/>
  <c r="F51" i="1"/>
  <c r="D51" i="1"/>
  <c r="G51" i="1"/>
  <c r="S56" i="1"/>
  <c r="G56" i="1"/>
  <c r="Q56" i="1"/>
  <c r="D56" i="1"/>
  <c r="G73" i="1"/>
  <c r="S73" i="1"/>
  <c r="F73" i="1"/>
  <c r="Q73" i="1"/>
  <c r="Q90" i="1"/>
  <c r="D93" i="1"/>
  <c r="G93" i="1"/>
  <c r="S47" i="1"/>
  <c r="G47" i="1"/>
  <c r="R52" i="1"/>
  <c r="D52" i="1"/>
  <c r="Q52" i="1"/>
  <c r="S128" i="1"/>
  <c r="R128" i="1"/>
  <c r="D146" i="1"/>
  <c r="R247" i="1"/>
  <c r="F247" i="1"/>
  <c r="Q247" i="1"/>
  <c r="G247" i="1"/>
  <c r="N247" i="1"/>
  <c r="L247" i="1"/>
  <c r="K247" i="1"/>
  <c r="I247" i="1"/>
  <c r="D247" i="1"/>
  <c r="S247" i="1"/>
  <c r="P247" i="1"/>
  <c r="O247" i="1"/>
  <c r="M247" i="1"/>
  <c r="D57" i="1"/>
  <c r="R61" i="1"/>
  <c r="F61" i="1"/>
  <c r="Q61" i="1"/>
  <c r="S61" i="1"/>
  <c r="D61" i="1"/>
  <c r="D75" i="1"/>
  <c r="R211" i="1"/>
  <c r="F211" i="1"/>
  <c r="I211" i="1"/>
  <c r="S211" i="1"/>
  <c r="Q211" i="1"/>
  <c r="O211" i="1"/>
  <c r="N211" i="1"/>
  <c r="M211" i="1"/>
  <c r="L211" i="1"/>
  <c r="K211" i="1"/>
  <c r="P211" i="1"/>
  <c r="G211" i="1"/>
  <c r="F93" i="1"/>
  <c r="K224" i="1"/>
  <c r="Q224" i="1"/>
  <c r="D224" i="1"/>
  <c r="N224" i="1"/>
  <c r="M224" i="1"/>
  <c r="R224" i="1"/>
  <c r="P224" i="1"/>
  <c r="O224" i="1"/>
  <c r="L224" i="1"/>
  <c r="I224" i="1"/>
  <c r="G224" i="1"/>
  <c r="F224" i="1"/>
  <c r="S224" i="1"/>
  <c r="H10" i="1"/>
  <c r="S44" i="1"/>
  <c r="G44" i="1"/>
  <c r="Q44" i="1"/>
  <c r="D44" i="1"/>
  <c r="F90" i="1"/>
  <c r="G138" i="1"/>
  <c r="R138" i="1"/>
  <c r="Q138" i="1"/>
  <c r="D211" i="1"/>
  <c r="S32" i="1"/>
  <c r="G32" i="1"/>
  <c r="Q32" i="1"/>
  <c r="D32" i="1"/>
  <c r="D35" i="1"/>
  <c r="Q36" i="1"/>
  <c r="R45" i="1"/>
  <c r="F47" i="1"/>
  <c r="G52" i="1"/>
  <c r="G61" i="1"/>
  <c r="G90" i="1"/>
  <c r="D117" i="1"/>
  <c r="R117" i="1"/>
  <c r="Q117" i="1"/>
  <c r="G117" i="1"/>
  <c r="F117" i="1"/>
  <c r="F128" i="1"/>
  <c r="G142" i="1"/>
  <c r="F142" i="1"/>
  <c r="S142" i="1"/>
  <c r="Q142" i="1"/>
  <c r="R142" i="1"/>
  <c r="Q146" i="1"/>
  <c r="R63" i="1"/>
  <c r="F63" i="1"/>
  <c r="D63" i="1"/>
  <c r="R85" i="1"/>
  <c r="Q85" i="1"/>
  <c r="Q86" i="1"/>
  <c r="D86" i="1"/>
  <c r="G86" i="1"/>
  <c r="F86" i="1"/>
  <c r="Q98" i="1"/>
  <c r="D98" i="1"/>
  <c r="F98" i="1"/>
  <c r="S108" i="1"/>
  <c r="G108" i="1"/>
  <c r="F108" i="1"/>
  <c r="G128" i="1"/>
  <c r="D138" i="1"/>
  <c r="R91" i="1"/>
  <c r="F91" i="1"/>
  <c r="Q91" i="1"/>
  <c r="G91" i="1"/>
  <c r="S91" i="1"/>
  <c r="D91" i="1"/>
  <c r="S93" i="1"/>
  <c r="Q47" i="1"/>
  <c r="S175" i="1"/>
  <c r="G175" i="1"/>
  <c r="Q175" i="1"/>
  <c r="F175" i="1"/>
  <c r="D175" i="1"/>
  <c r="M175" i="1"/>
  <c r="N175" i="1" s="1"/>
  <c r="R79" i="1"/>
  <c r="F79" i="1"/>
  <c r="G79" i="1"/>
  <c r="S79" i="1"/>
  <c r="Q79" i="1"/>
  <c r="D79" i="1"/>
  <c r="M154" i="1"/>
  <c r="N154" i="1" s="1"/>
  <c r="Q154" i="1"/>
  <c r="D154" i="1"/>
  <c r="G154" i="1"/>
  <c r="F154" i="1"/>
  <c r="Q35" i="1"/>
  <c r="R62" i="1"/>
  <c r="R35" i="1"/>
  <c r="Q45" i="1"/>
  <c r="G48" i="1"/>
  <c r="F48" i="1"/>
  <c r="S48" i="1"/>
  <c r="M174" i="1"/>
  <c r="N174" i="1" s="1"/>
  <c r="R36" i="1"/>
  <c r="D45" i="1"/>
  <c r="D33" i="1"/>
  <c r="R33" i="1"/>
  <c r="F44" i="1"/>
  <c r="F62" i="1"/>
  <c r="S64" i="1"/>
  <c r="R64" i="1"/>
  <c r="D64" i="1"/>
  <c r="Q64" i="1"/>
  <c r="S96" i="1"/>
  <c r="G96" i="1"/>
  <c r="R96" i="1"/>
  <c r="F96" i="1"/>
  <c r="D96" i="1"/>
  <c r="Q96" i="1"/>
  <c r="S99" i="1"/>
  <c r="F99" i="1"/>
  <c r="R99" i="1"/>
  <c r="Q99" i="1"/>
  <c r="D99" i="1"/>
  <c r="G99" i="1"/>
  <c r="G114" i="1"/>
  <c r="F114" i="1"/>
  <c r="S114" i="1"/>
  <c r="G116" i="1"/>
  <c r="F116" i="1"/>
  <c r="D116" i="1"/>
  <c r="G126" i="1"/>
  <c r="F126" i="1"/>
  <c r="S126" i="1"/>
  <c r="R126" i="1"/>
  <c r="D126" i="1"/>
  <c r="S132" i="1"/>
  <c r="G132" i="1"/>
  <c r="F132" i="1"/>
  <c r="D132" i="1"/>
  <c r="Q132" i="1"/>
  <c r="D142" i="1"/>
  <c r="Q173" i="1"/>
  <c r="M173" i="1"/>
  <c r="N173" i="1" s="1"/>
  <c r="G173" i="1"/>
  <c r="F173" i="1"/>
  <c r="R173" i="1"/>
  <c r="P173" i="1"/>
  <c r="R175" i="1"/>
  <c r="R146" i="1"/>
  <c r="G146" i="1"/>
  <c r="F146" i="1"/>
  <c r="R57" i="1"/>
  <c r="S75" i="1"/>
  <c r="G75" i="1"/>
  <c r="R75" i="1"/>
  <c r="F75" i="1"/>
  <c r="Q111" i="1"/>
  <c r="D111" i="1"/>
  <c r="G111" i="1"/>
  <c r="P200" i="1"/>
  <c r="M200" i="1"/>
  <c r="N200" i="1" s="1"/>
  <c r="S52" i="1"/>
  <c r="S57" i="1"/>
  <c r="D81" i="1"/>
  <c r="G81" i="1"/>
  <c r="S81" i="1"/>
  <c r="F81" i="1"/>
  <c r="R47" i="1"/>
  <c r="D73" i="1"/>
  <c r="D90" i="1"/>
  <c r="S135" i="1"/>
  <c r="G135" i="1"/>
  <c r="R135" i="1"/>
  <c r="F135" i="1"/>
  <c r="S35" i="1"/>
  <c r="G35" i="1"/>
  <c r="R39" i="1"/>
  <c r="F39" i="1"/>
  <c r="D39" i="1"/>
  <c r="G39" i="1"/>
  <c r="D47" i="1"/>
  <c r="F56" i="1"/>
  <c r="F111" i="1"/>
  <c r="D128" i="1"/>
  <c r="F52" i="1"/>
  <c r="F57" i="1"/>
  <c r="S62" i="1"/>
  <c r="D135" i="1"/>
  <c r="D151" i="1"/>
  <c r="G151" i="1"/>
  <c r="F151" i="1"/>
  <c r="S151" i="1"/>
  <c r="E10" i="1"/>
  <c r="F36" i="1"/>
  <c r="D48" i="1"/>
  <c r="S54" i="1"/>
  <c r="G54" i="1"/>
  <c r="R54" i="1"/>
  <c r="F54" i="1"/>
  <c r="Q54" i="1"/>
  <c r="F32" i="1"/>
  <c r="S33" i="1"/>
  <c r="D36" i="1"/>
  <c r="F45" i="1"/>
  <c r="Q50" i="1"/>
  <c r="D54" i="1"/>
  <c r="S59" i="1"/>
  <c r="G59" i="1"/>
  <c r="Q59" i="1"/>
  <c r="G62" i="1"/>
  <c r="S71" i="1"/>
  <c r="G71" i="1"/>
  <c r="F71" i="1"/>
  <c r="Q71" i="1"/>
  <c r="D85" i="1"/>
  <c r="R103" i="1"/>
  <c r="F103" i="1"/>
  <c r="Q103" i="1"/>
  <c r="G103" i="1"/>
  <c r="D103" i="1"/>
  <c r="G106" i="1"/>
  <c r="F106" i="1"/>
  <c r="R106" i="1"/>
  <c r="D106" i="1"/>
  <c r="S106" i="1"/>
  <c r="D108" i="1"/>
  <c r="R111" i="1"/>
  <c r="D113" i="1"/>
  <c r="Q113" i="1"/>
  <c r="F138" i="1"/>
  <c r="G77" i="1"/>
  <c r="S77" i="1"/>
  <c r="R77" i="1"/>
  <c r="F77" i="1"/>
  <c r="Q77" i="1"/>
  <c r="S101" i="1"/>
  <c r="G101" i="1"/>
  <c r="F101" i="1"/>
  <c r="R101" i="1"/>
  <c r="Q101" i="1"/>
  <c r="D101" i="1"/>
  <c r="R199" i="1"/>
  <c r="F199" i="1"/>
  <c r="Q199" i="1"/>
  <c r="D199" i="1"/>
  <c r="M199" i="1"/>
  <c r="N199" i="1" s="1"/>
  <c r="S199" i="1"/>
  <c r="P199" i="1"/>
  <c r="G199" i="1"/>
  <c r="M166" i="1"/>
  <c r="N166" i="1" s="1"/>
  <c r="G166" i="1"/>
  <c r="F166" i="1"/>
  <c r="D166" i="1"/>
  <c r="R49" i="1"/>
  <c r="F49" i="1"/>
  <c r="Q49" i="1"/>
  <c r="S68" i="1"/>
  <c r="G68" i="1"/>
  <c r="R68" i="1"/>
  <c r="F68" i="1"/>
  <c r="Q68" i="1"/>
  <c r="D68" i="1"/>
  <c r="Q69" i="1"/>
  <c r="D77" i="1"/>
  <c r="R78" i="1"/>
  <c r="S120" i="1"/>
  <c r="G120" i="1"/>
  <c r="F120" i="1"/>
  <c r="D120" i="1"/>
  <c r="R120" i="1"/>
  <c r="Q122" i="1"/>
  <c r="R123" i="1"/>
  <c r="F123" i="1"/>
  <c r="Q123" i="1"/>
  <c r="G123" i="1"/>
  <c r="S123" i="1"/>
  <c r="M186" i="1"/>
  <c r="N186" i="1" s="1"/>
  <c r="G186" i="1"/>
  <c r="F186" i="1"/>
  <c r="S186" i="1"/>
  <c r="D186" i="1"/>
  <c r="R186" i="1"/>
  <c r="Q186" i="1"/>
  <c r="P186" i="1"/>
  <c r="S158" i="1"/>
  <c r="F158" i="1"/>
  <c r="G158" i="1"/>
  <c r="P158" i="1"/>
  <c r="M158" i="1"/>
  <c r="N158" i="1" s="1"/>
  <c r="R37" i="1"/>
  <c r="F37" i="1"/>
  <c r="Q37" i="1"/>
  <c r="Q40" i="1"/>
  <c r="R69" i="1"/>
  <c r="S78" i="1"/>
  <c r="D158" i="1"/>
  <c r="Q130" i="1"/>
  <c r="P189" i="1"/>
  <c r="D189" i="1"/>
  <c r="R189" i="1"/>
  <c r="G189" i="1"/>
  <c r="F189" i="1"/>
  <c r="S189" i="1"/>
  <c r="M189" i="1"/>
  <c r="N189" i="1" s="1"/>
  <c r="S89" i="1"/>
  <c r="G89" i="1"/>
  <c r="Q112" i="1"/>
  <c r="Q118" i="1"/>
  <c r="R130" i="1"/>
  <c r="G133" i="1"/>
  <c r="S133" i="1"/>
  <c r="F133" i="1"/>
  <c r="Q133" i="1"/>
  <c r="S160" i="1"/>
  <c r="G160" i="1"/>
  <c r="F160" i="1"/>
  <c r="M160" i="1"/>
  <c r="N160" i="1" s="1"/>
  <c r="R161" i="1"/>
  <c r="G161" i="1"/>
  <c r="F161" i="1"/>
  <c r="S161" i="1"/>
  <c r="R167" i="1"/>
  <c r="F167" i="1"/>
  <c r="Q167" i="1"/>
  <c r="P167" i="1"/>
  <c r="G167" i="1"/>
  <c r="S167" i="1"/>
  <c r="M180" i="1"/>
  <c r="N180" i="1" s="1"/>
  <c r="P180" i="1"/>
  <c r="S181" i="1"/>
  <c r="G181" i="1"/>
  <c r="F181" i="1"/>
  <c r="Q181" i="1"/>
  <c r="D181" i="1"/>
  <c r="M181" i="1"/>
  <c r="N181" i="1" s="1"/>
  <c r="R109" i="1"/>
  <c r="Q109" i="1"/>
  <c r="D109" i="1"/>
  <c r="R139" i="1"/>
  <c r="F139" i="1"/>
  <c r="S139" i="1"/>
  <c r="Q139" i="1"/>
  <c r="D139" i="1"/>
  <c r="M165" i="1"/>
  <c r="N165" i="1" s="1"/>
  <c r="R195" i="1"/>
  <c r="F195" i="1"/>
  <c r="G195" i="1"/>
  <c r="S195" i="1"/>
  <c r="D195" i="1"/>
  <c r="M195" i="1"/>
  <c r="N195" i="1" s="1"/>
  <c r="S84" i="1"/>
  <c r="G84" i="1"/>
  <c r="R84" i="1"/>
  <c r="F84" i="1"/>
  <c r="D112" i="1"/>
  <c r="R112" i="1"/>
  <c r="R118" i="1"/>
  <c r="S121" i="1"/>
  <c r="F121" i="1"/>
  <c r="R121" i="1"/>
  <c r="Q124" i="1"/>
  <c r="D130" i="1"/>
  <c r="S130" i="1"/>
  <c r="R133" i="1"/>
  <c r="Q140" i="1"/>
  <c r="R152" i="1"/>
  <c r="F152" i="1"/>
  <c r="Q152" i="1"/>
  <c r="F109" i="1"/>
  <c r="Q110" i="1"/>
  <c r="S112" i="1"/>
  <c r="R127" i="1"/>
  <c r="F127" i="1"/>
  <c r="Q127" i="1"/>
  <c r="D127" i="1"/>
  <c r="S127" i="1"/>
  <c r="R137" i="1"/>
  <c r="F137" i="1"/>
  <c r="Q137" i="1"/>
  <c r="G139" i="1"/>
  <c r="Q163" i="1"/>
  <c r="M163" i="1"/>
  <c r="N163" i="1" s="1"/>
  <c r="R163" i="1"/>
  <c r="P169" i="1"/>
  <c r="D169" i="1"/>
  <c r="F169" i="1"/>
  <c r="M169" i="1"/>
  <c r="N169" i="1" s="1"/>
  <c r="R170" i="1"/>
  <c r="G170" i="1"/>
  <c r="Q170" i="1"/>
  <c r="S177" i="1"/>
  <c r="G177" i="1"/>
  <c r="Q177" i="1"/>
  <c r="M177" i="1"/>
  <c r="N177" i="1" s="1"/>
  <c r="P178" i="1"/>
  <c r="M178" i="1"/>
  <c r="N178" i="1" s="1"/>
  <c r="G178" i="1"/>
  <c r="S178" i="1"/>
  <c r="R178" i="1"/>
  <c r="G179" i="1"/>
  <c r="S179" i="1"/>
  <c r="F179" i="1"/>
  <c r="Q179" i="1"/>
  <c r="D179" i="1"/>
  <c r="P179" i="1"/>
  <c r="P225" i="1"/>
  <c r="D225" i="1"/>
  <c r="K225" i="1"/>
  <c r="G225" i="1"/>
  <c r="Q225" i="1"/>
  <c r="N225" i="1"/>
  <c r="M225" i="1"/>
  <c r="L225" i="1"/>
  <c r="I225" i="1"/>
  <c r="S225" i="1"/>
  <c r="R225" i="1"/>
  <c r="O225" i="1"/>
  <c r="Q97" i="1"/>
  <c r="P102" i="1"/>
  <c r="AH76" i="2" s="1"/>
  <c r="G109" i="1"/>
  <c r="F112" i="1"/>
  <c r="F130" i="1"/>
  <c r="Q134" i="1"/>
  <c r="S148" i="1"/>
  <c r="G148" i="1"/>
  <c r="R148" i="1"/>
  <c r="P157" i="1"/>
  <c r="D157" i="1"/>
  <c r="Q157" i="1"/>
  <c r="S157" i="1"/>
  <c r="S163" i="1"/>
  <c r="S170" i="1"/>
  <c r="Q162" i="1"/>
  <c r="G162" i="1"/>
  <c r="P162" i="1"/>
  <c r="P168" i="1"/>
  <c r="Q168" i="1"/>
  <c r="S185" i="1"/>
  <c r="G185" i="1"/>
  <c r="P185" i="1"/>
  <c r="D185" i="1"/>
  <c r="R185" i="1"/>
  <c r="Q185" i="1"/>
  <c r="M185" i="1"/>
  <c r="N185" i="1" s="1"/>
  <c r="M188" i="1"/>
  <c r="N188" i="1" s="1"/>
  <c r="Q188" i="1"/>
  <c r="P188" i="1"/>
  <c r="R115" i="1"/>
  <c r="F115" i="1"/>
  <c r="R162" i="1"/>
  <c r="R168" i="1"/>
  <c r="Q194" i="1"/>
  <c r="R194" i="1"/>
  <c r="P194" i="1"/>
  <c r="M194" i="1"/>
  <c r="N194" i="1" s="1"/>
  <c r="M203" i="1"/>
  <c r="N203" i="1" s="1"/>
  <c r="L231" i="1"/>
  <c r="I231" i="1"/>
  <c r="Q231" i="1"/>
  <c r="O231" i="1"/>
  <c r="N231" i="1"/>
  <c r="M231" i="1"/>
  <c r="K231" i="1"/>
  <c r="G231" i="1"/>
  <c r="S231" i="1"/>
  <c r="R231" i="1"/>
  <c r="P231" i="1"/>
  <c r="Q144" i="1"/>
  <c r="D144" i="1"/>
  <c r="Q150" i="1"/>
  <c r="S150" i="1"/>
  <c r="F150" i="1"/>
  <c r="P153" i="1"/>
  <c r="R156" i="1"/>
  <c r="P156" i="1"/>
  <c r="D162" i="1"/>
  <c r="S162" i="1"/>
  <c r="S165" i="1"/>
  <c r="G165" i="1"/>
  <c r="R165" i="1"/>
  <c r="P165" i="1"/>
  <c r="D168" i="1"/>
  <c r="S168" i="1"/>
  <c r="D188" i="1"/>
  <c r="R235" i="1"/>
  <c r="F235" i="1"/>
  <c r="K235" i="1"/>
  <c r="G235" i="1"/>
  <c r="O235" i="1"/>
  <c r="M235" i="1"/>
  <c r="L235" i="1"/>
  <c r="I235" i="1"/>
  <c r="D235" i="1"/>
  <c r="P235" i="1"/>
  <c r="N235" i="1"/>
  <c r="M3" i="2"/>
  <c r="N3" i="2" s="1"/>
  <c r="O3" i="2" s="1"/>
  <c r="P3" i="2" s="1"/>
  <c r="Q3" i="2" s="1"/>
  <c r="R3" i="2" s="1"/>
  <c r="S3" i="2" s="1"/>
  <c r="T3" i="2" s="1"/>
  <c r="U3" i="2" s="1"/>
  <c r="V3" i="2" s="1"/>
  <c r="W3" i="2" s="1"/>
  <c r="X3" i="2" s="1"/>
  <c r="Y3" i="2" s="1"/>
  <c r="Z3" i="2" s="1"/>
  <c r="AA3" i="2" s="1"/>
  <c r="I250" i="1"/>
  <c r="G250" i="1"/>
  <c r="Q250" i="1"/>
  <c r="D250" i="1"/>
  <c r="P250" i="1"/>
  <c r="R250" i="1"/>
  <c r="O250" i="1"/>
  <c r="N250" i="1"/>
  <c r="M250" i="1"/>
  <c r="L250" i="1"/>
  <c r="K250" i="1"/>
  <c r="S172" i="1"/>
  <c r="G172" i="1"/>
  <c r="R172" i="1"/>
  <c r="F172" i="1"/>
  <c r="P172" i="1"/>
  <c r="Q183" i="1"/>
  <c r="S183" i="1"/>
  <c r="F183" i="1"/>
  <c r="P183" i="1"/>
  <c r="Q197" i="1"/>
  <c r="P197" i="1"/>
  <c r="I209" i="1"/>
  <c r="R209" i="1"/>
  <c r="F209" i="1"/>
  <c r="L209" i="1"/>
  <c r="K209" i="1"/>
  <c r="G209" i="1"/>
  <c r="Q242" i="1"/>
  <c r="P242" i="1"/>
  <c r="D242" i="1"/>
  <c r="K242" i="1"/>
  <c r="G242" i="1"/>
  <c r="R242" i="1"/>
  <c r="O242" i="1"/>
  <c r="N242" i="1"/>
  <c r="M242" i="1"/>
  <c r="L242" i="1"/>
  <c r="I242" i="1"/>
  <c r="Q206" i="1"/>
  <c r="P206" i="1"/>
  <c r="D206" i="1"/>
  <c r="M206" i="1"/>
  <c r="K206" i="1"/>
  <c r="I206" i="1"/>
  <c r="G206" i="1"/>
  <c r="S221" i="1"/>
  <c r="G221" i="1"/>
  <c r="R221" i="1"/>
  <c r="F221" i="1"/>
  <c r="N221" i="1"/>
  <c r="L221" i="1"/>
  <c r="K221" i="1"/>
  <c r="I221" i="1"/>
  <c r="F250" i="1"/>
  <c r="K212" i="1"/>
  <c r="P212" i="1"/>
  <c r="M212" i="1"/>
  <c r="N212" i="1"/>
  <c r="I212" i="1"/>
  <c r="G212" i="1"/>
  <c r="F212" i="1"/>
  <c r="D221" i="1"/>
  <c r="F242" i="1"/>
  <c r="D145" i="1"/>
  <c r="R155" i="1"/>
  <c r="F155" i="1"/>
  <c r="G183" i="1"/>
  <c r="F197" i="1"/>
  <c r="F206" i="1"/>
  <c r="I257" i="1"/>
  <c r="S257" i="1"/>
  <c r="G257" i="1"/>
  <c r="N257" i="1"/>
  <c r="K257" i="1"/>
  <c r="R257" i="1"/>
  <c r="I4" i="2"/>
  <c r="S207" i="1"/>
  <c r="G207" i="1"/>
  <c r="O207" i="1"/>
  <c r="N219" i="1"/>
  <c r="M222" i="1"/>
  <c r="P222" i="1"/>
  <c r="L222" i="1"/>
  <c r="K222" i="1"/>
  <c r="R222" i="1"/>
  <c r="L229" i="1"/>
  <c r="M229" i="1"/>
  <c r="I229" i="1"/>
  <c r="Q229" i="1"/>
  <c r="S204" i="1"/>
  <c r="G204" i="1"/>
  <c r="Q204" i="1"/>
  <c r="P207" i="1"/>
  <c r="P213" i="1"/>
  <c r="D213" i="1"/>
  <c r="G213" i="1"/>
  <c r="Q213" i="1"/>
  <c r="O219" i="1"/>
  <c r="S222" i="1"/>
  <c r="R229" i="1"/>
  <c r="D257" i="1"/>
  <c r="M198" i="1"/>
  <c r="N198" i="1" s="1"/>
  <c r="P198" i="1"/>
  <c r="P201" i="1"/>
  <c r="D201" i="1"/>
  <c r="S201" i="1"/>
  <c r="F201" i="1"/>
  <c r="R201" i="1"/>
  <c r="R204" i="1"/>
  <c r="D207" i="1"/>
  <c r="Q207" i="1"/>
  <c r="K208" i="1"/>
  <c r="R213" i="1"/>
  <c r="M214" i="1"/>
  <c r="S216" i="1"/>
  <c r="G216" i="1"/>
  <c r="Q216" i="1"/>
  <c r="D216" i="1"/>
  <c r="N216" i="1"/>
  <c r="R216" i="1"/>
  <c r="P219" i="1"/>
  <c r="D222" i="1"/>
  <c r="D229" i="1"/>
  <c r="S229" i="1"/>
  <c r="S252" i="1"/>
  <c r="G252" i="1"/>
  <c r="R252" i="1"/>
  <c r="F252" i="1"/>
  <c r="I252" i="1"/>
  <c r="D252" i="1"/>
  <c r="Q252" i="1"/>
  <c r="L253" i="1"/>
  <c r="K253" i="1"/>
  <c r="R253" i="1"/>
  <c r="D253" i="1"/>
  <c r="O253" i="1"/>
  <c r="N253" i="1"/>
  <c r="P260" i="1"/>
  <c r="Q198" i="1"/>
  <c r="D204" i="1"/>
  <c r="R207" i="1"/>
  <c r="M208" i="1"/>
  <c r="S213" i="1"/>
  <c r="O214" i="1"/>
  <c r="D219" i="1"/>
  <c r="Q219" i="1"/>
  <c r="K220" i="1"/>
  <c r="R223" i="1"/>
  <c r="F223" i="1"/>
  <c r="G223" i="1"/>
  <c r="S223" i="1"/>
  <c r="P223" i="1"/>
  <c r="K233" i="1"/>
  <c r="S233" i="1"/>
  <c r="G233" i="1"/>
  <c r="P233" i="1"/>
  <c r="K234" i="1"/>
  <c r="S245" i="1"/>
  <c r="G245" i="1"/>
  <c r="Q245" i="1"/>
  <c r="D245" i="1"/>
  <c r="P245" i="1"/>
  <c r="R245" i="1"/>
  <c r="S254" i="1"/>
  <c r="G254" i="1"/>
  <c r="Q254" i="1"/>
  <c r="P254" i="1"/>
  <c r="D254" i="1"/>
  <c r="M254" i="1"/>
  <c r="I254" i="1"/>
  <c r="L255" i="1"/>
  <c r="K255" i="1"/>
  <c r="I255" i="1"/>
  <c r="F255" i="1"/>
  <c r="R255" i="1"/>
  <c r="F257" i="1"/>
  <c r="Q260" i="1"/>
  <c r="M171" i="1"/>
  <c r="N171" i="1" s="1"/>
  <c r="D174" i="1"/>
  <c r="P174" i="1"/>
  <c r="M184" i="1"/>
  <c r="N184" i="1" s="1"/>
  <c r="P184" i="1"/>
  <c r="R187" i="1"/>
  <c r="F187" i="1"/>
  <c r="G187" i="1"/>
  <c r="P187" i="1"/>
  <c r="Q187" i="1"/>
  <c r="D198" i="1"/>
  <c r="R198" i="1"/>
  <c r="P202" i="1"/>
  <c r="M202" i="1"/>
  <c r="N202" i="1" s="1"/>
  <c r="Q202" i="1"/>
  <c r="L205" i="1"/>
  <c r="G205" i="1"/>
  <c r="P205" i="1"/>
  <c r="F207" i="1"/>
  <c r="F213" i="1"/>
  <c r="L217" i="1"/>
  <c r="K217" i="1"/>
  <c r="P217" i="1"/>
  <c r="R219" i="1"/>
  <c r="F222" i="1"/>
  <c r="Q223" i="1"/>
  <c r="F229" i="1"/>
  <c r="Q233" i="1"/>
  <c r="P237" i="1"/>
  <c r="D237" i="1"/>
  <c r="L237" i="1"/>
  <c r="I237" i="1"/>
  <c r="R237" i="1"/>
  <c r="L241" i="1"/>
  <c r="K241" i="1"/>
  <c r="Q241" i="1"/>
  <c r="N241" i="1"/>
  <c r="M241" i="1"/>
  <c r="S241" i="1"/>
  <c r="P249" i="1"/>
  <c r="D249" i="1"/>
  <c r="O249" i="1"/>
  <c r="L249" i="1"/>
  <c r="I249" i="1"/>
  <c r="S249" i="1"/>
  <c r="S255" i="1"/>
  <c r="P182" i="1"/>
  <c r="S193" i="1"/>
  <c r="F193" i="1"/>
  <c r="Q193" i="1"/>
  <c r="F204" i="1"/>
  <c r="O208" i="1"/>
  <c r="P208" i="1"/>
  <c r="L208" i="1"/>
  <c r="Q208" i="1"/>
  <c r="I214" i="1"/>
  <c r="Q214" i="1"/>
  <c r="D214" i="1"/>
  <c r="N214" i="1"/>
  <c r="R214" i="1"/>
  <c r="F219" i="1"/>
  <c r="S219" i="1"/>
  <c r="G222" i="1"/>
  <c r="G229" i="1"/>
  <c r="M260" i="1"/>
  <c r="L260" i="1"/>
  <c r="K260" i="1"/>
  <c r="R260" i="1"/>
  <c r="O260" i="1"/>
  <c r="N260" i="1"/>
  <c r="O220" i="1"/>
  <c r="Q220" i="1"/>
  <c r="D220" i="1"/>
  <c r="M220" i="1"/>
  <c r="L220" i="1"/>
  <c r="S220" i="1"/>
  <c r="I222" i="1"/>
  <c r="M234" i="1"/>
  <c r="Q234" i="1"/>
  <c r="D234" i="1"/>
  <c r="N234" i="1"/>
  <c r="L234" i="1"/>
  <c r="S234" i="1"/>
  <c r="M257" i="1"/>
  <c r="D260" i="1"/>
  <c r="N230" i="1"/>
  <c r="O238" i="1"/>
  <c r="S240" i="1"/>
  <c r="G240" i="1"/>
  <c r="R240" i="1"/>
  <c r="F240" i="1"/>
  <c r="P240" i="1"/>
  <c r="O243" i="1"/>
  <c r="N218" i="1"/>
  <c r="O226" i="1"/>
  <c r="S228" i="1"/>
  <c r="G228" i="1"/>
  <c r="O228" i="1"/>
  <c r="O230" i="1"/>
  <c r="N232" i="1"/>
  <c r="O236" i="1"/>
  <c r="P238" i="1"/>
  <c r="Q240" i="1"/>
  <c r="P243" i="1"/>
  <c r="O248" i="1"/>
  <c r="S259" i="1"/>
  <c r="G259" i="1"/>
  <c r="R259" i="1"/>
  <c r="F259" i="1"/>
  <c r="Q259" i="1"/>
  <c r="P259" i="1"/>
  <c r="S192" i="1"/>
  <c r="G192" i="1"/>
  <c r="O210" i="1"/>
  <c r="R218" i="1"/>
  <c r="R226" i="1"/>
  <c r="R228" i="1"/>
  <c r="F230" i="1"/>
  <c r="S230" i="1"/>
  <c r="R232" i="1"/>
  <c r="R236" i="1"/>
  <c r="F238" i="1"/>
  <c r="S238" i="1"/>
  <c r="F243" i="1"/>
  <c r="S243" i="1"/>
  <c r="M246" i="1"/>
  <c r="L246" i="1"/>
  <c r="P246" i="1"/>
  <c r="R248" i="1"/>
  <c r="N244" i="1"/>
  <c r="N256" i="1"/>
  <c r="L258" i="1"/>
  <c r="M258" i="1"/>
  <c r="N258" i="1"/>
  <c r="AH136" i="2" l="1"/>
  <c r="AH132" i="2"/>
  <c r="AH128" i="2"/>
  <c r="AH126" i="2"/>
  <c r="AH158" i="2"/>
  <c r="AH163" i="2"/>
  <c r="AH168" i="2"/>
  <c r="AH156" i="2"/>
  <c r="AH164" i="2"/>
  <c r="AH148" i="2"/>
  <c r="AH173" i="2"/>
  <c r="AH150" i="2"/>
  <c r="D10" i="1"/>
  <c r="AH166" i="2"/>
  <c r="AH134" i="2"/>
  <c r="AH149" i="2"/>
  <c r="AH176" i="2"/>
  <c r="AH138" i="2"/>
  <c r="AH133" i="2"/>
  <c r="AH154" i="2"/>
  <c r="AH162" i="2"/>
  <c r="AH137" i="2"/>
  <c r="AH143" i="2"/>
  <c r="AH172" i="2"/>
  <c r="AH130" i="2"/>
  <c r="AH140" i="2"/>
  <c r="AH159" i="2"/>
  <c r="AH147" i="2"/>
  <c r="AH145" i="2"/>
  <c r="AH175" i="2"/>
  <c r="AH157" i="2"/>
  <c r="AH170" i="2"/>
  <c r="AH169" i="2"/>
  <c r="I10" i="1"/>
  <c r="AH144" i="2"/>
  <c r="AH129" i="2"/>
  <c r="AH165" i="2"/>
  <c r="AH131" i="2"/>
  <c r="AH152" i="2"/>
  <c r="AH141" i="2"/>
  <c r="I17" i="1"/>
  <c r="I15" i="1"/>
  <c r="AH155" i="2"/>
  <c r="D17" i="1"/>
  <c r="AH146" i="2"/>
  <c r="B2" i="3"/>
  <c r="AH139" i="2"/>
  <c r="I14" i="1"/>
  <c r="AH174" i="2"/>
  <c r="AH167" i="2"/>
  <c r="AH151" i="2"/>
  <c r="I18" i="1"/>
  <c r="E5" i="1"/>
  <c r="AH135" i="2"/>
  <c r="AH153" i="2"/>
  <c r="AH142" i="2"/>
  <c r="AH161" i="2"/>
  <c r="AH171" i="2"/>
  <c r="AH160" i="2"/>
  <c r="B29" i="1"/>
  <c r="AH127" i="2"/>
  <c r="F18" i="1"/>
  <c r="G18" i="1"/>
  <c r="J10" i="1"/>
  <c r="D5" i="1"/>
  <c r="D16" i="1"/>
  <c r="G10" i="1"/>
  <c r="F29" i="1"/>
  <c r="I16" i="1"/>
  <c r="E18" i="1"/>
  <c r="M10" i="1"/>
  <c r="N10" i="1"/>
  <c r="D14" i="1"/>
  <c r="D15" i="1"/>
  <c r="F10" i="1"/>
  <c r="C10" i="1"/>
  <c r="D18" i="1"/>
  <c r="D24" i="1"/>
  <c r="I24" i="1"/>
  <c r="G29" i="1"/>
  <c r="B5" i="1"/>
  <c r="C5" i="1"/>
  <c r="I104" i="1" l="1"/>
  <c r="K104" i="1"/>
  <c r="I66" i="1"/>
  <c r="I204" i="1"/>
  <c r="K204" i="1"/>
  <c r="K199" i="1"/>
  <c r="K154" i="1"/>
  <c r="K125" i="1"/>
  <c r="K98" i="1"/>
  <c r="I47" i="1"/>
  <c r="K126" i="1"/>
  <c r="K112" i="1"/>
  <c r="K60" i="1"/>
  <c r="K177" i="1"/>
  <c r="I60" i="1"/>
  <c r="K106" i="1"/>
  <c r="I186" i="1"/>
  <c r="K62" i="1"/>
  <c r="K88" i="1"/>
  <c r="I169" i="1"/>
  <c r="I152" i="1"/>
  <c r="I185" i="1"/>
  <c r="I189" i="1"/>
  <c r="K105" i="1"/>
  <c r="I84" i="1"/>
  <c r="K46" i="1"/>
  <c r="I164" i="1"/>
  <c r="K185" i="1"/>
  <c r="I156" i="1"/>
  <c r="K64" i="1"/>
  <c r="K149" i="1"/>
  <c r="I133" i="1"/>
  <c r="K41" i="1"/>
  <c r="I159" i="1"/>
  <c r="I122" i="1"/>
  <c r="I38" i="1"/>
  <c r="I35" i="1"/>
  <c r="I155" i="1"/>
  <c r="K193" i="1"/>
  <c r="I188" i="1"/>
  <c r="I135" i="1"/>
  <c r="K55" i="1"/>
  <c r="I48" i="1"/>
  <c r="K84" i="1"/>
  <c r="B6" i="3"/>
  <c r="B7" i="3" s="1"/>
  <c r="I40" i="1"/>
  <c r="I158" i="1"/>
  <c r="I163" i="1"/>
  <c r="I31" i="1"/>
  <c r="I86" i="1"/>
  <c r="I52" i="1"/>
  <c r="K122" i="1"/>
  <c r="I160" i="1"/>
  <c r="I143" i="1"/>
  <c r="I117" i="1"/>
  <c r="I181" i="1"/>
  <c r="I116" i="1"/>
  <c r="K158" i="1"/>
  <c r="K186" i="1"/>
  <c r="K61" i="1"/>
  <c r="K161" i="1"/>
  <c r="K53" i="1"/>
  <c r="K166" i="1"/>
  <c r="K160" i="1"/>
  <c r="K42" i="1"/>
  <c r="K38" i="1"/>
  <c r="I78" i="1"/>
  <c r="I50" i="1"/>
  <c r="K145" i="1"/>
  <c r="I32" i="1"/>
  <c r="K130" i="1"/>
  <c r="I49" i="1"/>
  <c r="I167" i="1"/>
  <c r="I55" i="1"/>
  <c r="I184" i="1"/>
  <c r="K143" i="1"/>
  <c r="K70" i="1"/>
  <c r="K172" i="1"/>
  <c r="K164" i="1"/>
  <c r="K147" i="1"/>
  <c r="K202" i="1"/>
  <c r="B9" i="3"/>
  <c r="L104" i="1" s="1"/>
  <c r="K81" i="1"/>
  <c r="I154" i="1"/>
  <c r="I79" i="1"/>
  <c r="K118" i="1"/>
  <c r="I130" i="1"/>
  <c r="I111" i="1"/>
  <c r="K162" i="1"/>
  <c r="K182" i="1"/>
  <c r="I178" i="1"/>
  <c r="I106" i="1"/>
  <c r="I63" i="1"/>
  <c r="K116" i="1"/>
  <c r="I51" i="1"/>
  <c r="I149" i="1"/>
  <c r="K56" i="1"/>
  <c r="I193" i="1"/>
  <c r="K157" i="1"/>
  <c r="I103" i="1"/>
  <c r="I54" i="1"/>
  <c r="K108" i="1"/>
  <c r="I53" i="1"/>
  <c r="K133" i="1"/>
  <c r="I182" i="1"/>
  <c r="I101" i="1"/>
  <c r="K32" i="1"/>
  <c r="I198" i="1"/>
  <c r="I192" i="1"/>
  <c r="I107" i="1"/>
  <c r="I67" i="1"/>
  <c r="K165" i="1"/>
  <c r="I113" i="1"/>
  <c r="I65" i="1"/>
  <c r="K82" i="1"/>
  <c r="K192" i="1"/>
  <c r="I147" i="1"/>
  <c r="K87" i="1"/>
  <c r="I119" i="1"/>
  <c r="I95" i="1"/>
  <c r="I83" i="1"/>
  <c r="K184" i="1"/>
  <c r="K174" i="1"/>
  <c r="I91" i="1"/>
  <c r="I179" i="1"/>
  <c r="K31" i="1"/>
  <c r="I175" i="1"/>
  <c r="K134" i="1"/>
  <c r="K85" i="1"/>
  <c r="K195" i="1"/>
  <c r="K144" i="1"/>
  <c r="I195" i="1"/>
  <c r="K156" i="1"/>
  <c r="K50" i="1"/>
  <c r="K129" i="1"/>
  <c r="I39" i="1"/>
  <c r="K135" i="1"/>
  <c r="K141" i="1"/>
  <c r="I108" i="1"/>
  <c r="I57" i="1"/>
  <c r="K179" i="1"/>
  <c r="K173" i="1"/>
  <c r="K35" i="1"/>
  <c r="I33" i="1"/>
  <c r="I96" i="1"/>
  <c r="I162" i="1"/>
  <c r="K183" i="1"/>
  <c r="K44" i="1"/>
  <c r="I36" i="1"/>
  <c r="K36" i="1"/>
  <c r="I124" i="1"/>
  <c r="I77" i="1"/>
  <c r="I85" i="1"/>
  <c r="I68" i="1"/>
  <c r="K54" i="1"/>
  <c r="K115" i="1"/>
  <c r="I89" i="1"/>
  <c r="K159" i="1"/>
  <c r="I41" i="1"/>
  <c r="K150" i="1"/>
  <c r="I92" i="1"/>
  <c r="I153" i="1"/>
  <c r="K119" i="1"/>
  <c r="K95" i="1"/>
  <c r="K198" i="1"/>
  <c r="I191" i="1"/>
  <c r="K197" i="1"/>
  <c r="I87" i="1"/>
  <c r="K113" i="1"/>
  <c r="K76" i="1"/>
  <c r="K45" i="1"/>
  <c r="I183" i="1"/>
  <c r="K80" i="1"/>
  <c r="K79" i="1"/>
  <c r="I105" i="1"/>
  <c r="K200" i="1"/>
  <c r="I199" i="1"/>
  <c r="K175" i="1"/>
  <c r="K94" i="1"/>
  <c r="I44" i="1"/>
  <c r="I137" i="1"/>
  <c r="I177" i="1"/>
  <c r="K99" i="1"/>
  <c r="I157" i="1"/>
  <c r="K59" i="1"/>
  <c r="K176" i="1"/>
  <c r="H18" i="1"/>
  <c r="I151" i="1"/>
  <c r="I201" i="1"/>
  <c r="I42" i="1"/>
  <c r="I126" i="1"/>
  <c r="K163" i="1"/>
  <c r="K52" i="1"/>
  <c r="K93" i="1"/>
  <c r="K67" i="1"/>
  <c r="K194" i="1"/>
  <c r="I75" i="1"/>
  <c r="I128" i="1"/>
  <c r="I127" i="1"/>
  <c r="K86" i="1"/>
  <c r="K39" i="1"/>
  <c r="I134" i="1"/>
  <c r="K58" i="1"/>
  <c r="K49" i="1"/>
  <c r="K121" i="1"/>
  <c r="K89" i="1"/>
  <c r="K101" i="1"/>
  <c r="I76" i="1"/>
  <c r="I70" i="1"/>
  <c r="I121" i="1"/>
  <c r="K178" i="1"/>
  <c r="I168" i="1"/>
  <c r="K65" i="1"/>
  <c r="I176" i="1"/>
  <c r="I97" i="1"/>
  <c r="I100" i="1"/>
  <c r="I88" i="1"/>
  <c r="K190" i="1"/>
  <c r="K201" i="1"/>
  <c r="K203" i="1"/>
  <c r="K181" i="1"/>
  <c r="K128" i="1"/>
  <c r="I136" i="1"/>
  <c r="I138" i="1"/>
  <c r="I166" i="1"/>
  <c r="K138" i="1"/>
  <c r="I123" i="1"/>
  <c r="I132" i="1"/>
  <c r="K40" i="1"/>
  <c r="K66" i="1"/>
  <c r="K78" i="1"/>
  <c r="K48" i="1"/>
  <c r="K167" i="1"/>
  <c r="K117" i="1"/>
  <c r="I37" i="1"/>
  <c r="I43" i="1"/>
  <c r="K114" i="1"/>
  <c r="K77" i="1"/>
  <c r="I187" i="1"/>
  <c r="I144" i="1"/>
  <c r="K74" i="1"/>
  <c r="K107" i="1"/>
  <c r="A1" i="1"/>
  <c r="I172" i="1"/>
  <c r="K171" i="1"/>
  <c r="I45" i="1"/>
  <c r="K110" i="1"/>
  <c r="I197" i="1"/>
  <c r="K153" i="1"/>
  <c r="K111" i="1"/>
  <c r="I170" i="1"/>
  <c r="K73" i="1"/>
  <c r="I98" i="1"/>
  <c r="I64" i="1"/>
  <c r="K146" i="1"/>
  <c r="K188" i="1"/>
  <c r="I125" i="1"/>
  <c r="I61" i="1"/>
  <c r="K140" i="1"/>
  <c r="I90" i="1"/>
  <c r="K142" i="1"/>
  <c r="I194" i="1"/>
  <c r="K168" i="1"/>
  <c r="I146" i="1"/>
  <c r="K91" i="1"/>
  <c r="K47" i="1"/>
  <c r="I161" i="1"/>
  <c r="I58" i="1"/>
  <c r="I165" i="1"/>
  <c r="K63" i="1"/>
  <c r="I59" i="1"/>
  <c r="I34" i="1"/>
  <c r="K148" i="1"/>
  <c r="K103" i="1"/>
  <c r="I80" i="1"/>
  <c r="I131" i="1"/>
  <c r="K123" i="1"/>
  <c r="I74" i="1"/>
  <c r="I109" i="1"/>
  <c r="K109" i="1"/>
  <c r="K137" i="1"/>
  <c r="I115" i="1"/>
  <c r="K131" i="1"/>
  <c r="K100" i="1"/>
  <c r="I174" i="1"/>
  <c r="K180" i="1"/>
  <c r="K191" i="1"/>
  <c r="K92" i="1"/>
  <c r="I112" i="1"/>
  <c r="I141" i="1"/>
  <c r="I69" i="1"/>
  <c r="K132" i="1"/>
  <c r="K170" i="1"/>
  <c r="I72" i="1"/>
  <c r="K96" i="1"/>
  <c r="K72" i="1"/>
  <c r="I171" i="1"/>
  <c r="I202" i="1"/>
  <c r="K151" i="1"/>
  <c r="K189" i="1"/>
  <c r="I71" i="1"/>
  <c r="K75" i="1"/>
  <c r="I173" i="1"/>
  <c r="K102" i="1"/>
  <c r="K97" i="1"/>
  <c r="K57" i="1"/>
  <c r="K124" i="1"/>
  <c r="I73" i="1"/>
  <c r="K90" i="1"/>
  <c r="I94" i="1"/>
  <c r="I82" i="1"/>
  <c r="I99" i="1"/>
  <c r="I129" i="1"/>
  <c r="I62" i="1"/>
  <c r="K83" i="1"/>
  <c r="K68" i="1"/>
  <c r="K127" i="1"/>
  <c r="I120" i="1"/>
  <c r="K71" i="1"/>
  <c r="K37" i="1"/>
  <c r="K169" i="1"/>
  <c r="I102" i="1"/>
  <c r="I139" i="1"/>
  <c r="K33" i="1"/>
  <c r="I46" i="1"/>
  <c r="K34" i="1"/>
  <c r="K139" i="1"/>
  <c r="I110" i="1"/>
  <c r="I140" i="1"/>
  <c r="K152" i="1"/>
  <c r="I145" i="1"/>
  <c r="I150" i="1"/>
  <c r="I180" i="1"/>
  <c r="K187" i="1"/>
  <c r="I200" i="1"/>
  <c r="K51" i="1"/>
  <c r="K136" i="1"/>
  <c r="K43" i="1"/>
  <c r="K155" i="1"/>
  <c r="I196" i="1"/>
  <c r="I203" i="1"/>
  <c r="I56" i="1"/>
  <c r="I142" i="1"/>
  <c r="I190" i="1"/>
  <c r="K69" i="1"/>
  <c r="I93" i="1"/>
  <c r="K120" i="1"/>
  <c r="I81" i="1"/>
  <c r="I114" i="1"/>
  <c r="K196" i="1"/>
  <c r="I118" i="1"/>
  <c r="I148" i="1"/>
  <c r="B10" i="1"/>
  <c r="M104" i="1" l="1"/>
  <c r="N104" i="1" s="1"/>
  <c r="O104" i="1"/>
  <c r="L198" i="1"/>
  <c r="O198" i="1" s="1"/>
  <c r="L204" i="1"/>
  <c r="L171" i="1"/>
  <c r="O171" i="1" s="1"/>
  <c r="L111" i="1"/>
  <c r="M111" i="1" s="1"/>
  <c r="N111" i="1" s="1"/>
  <c r="L135" i="1"/>
  <c r="O135" i="1" s="1"/>
  <c r="L185" i="1"/>
  <c r="O185" i="1" s="1"/>
  <c r="L108" i="1"/>
  <c r="M108" i="1" s="1"/>
  <c r="N108" i="1" s="1"/>
  <c r="L203" i="1"/>
  <c r="O203" i="1" s="1"/>
  <c r="L180" i="1"/>
  <c r="O180" i="1" s="1"/>
  <c r="L182" i="1"/>
  <c r="O182" i="1" s="1"/>
  <c r="L81" i="1"/>
  <c r="M81" i="1" s="1"/>
  <c r="N81" i="1" s="1"/>
  <c r="L122" i="1"/>
  <c r="O122" i="1" s="1"/>
  <c r="L126" i="1"/>
  <c r="M126" i="1" s="1"/>
  <c r="N126" i="1" s="1"/>
  <c r="L49" i="1"/>
  <c r="M49" i="1" s="1"/>
  <c r="N49" i="1" s="1"/>
  <c r="L136" i="1"/>
  <c r="O136" i="1" s="1"/>
  <c r="L157" i="1"/>
  <c r="O157" i="1" s="1"/>
  <c r="L172" i="1"/>
  <c r="O172" i="1" s="1"/>
  <c r="L71" i="1"/>
  <c r="O71" i="1" s="1"/>
  <c r="L181" i="1"/>
  <c r="O181" i="1" s="1"/>
  <c r="L75" i="1"/>
  <c r="O75" i="1" s="1"/>
  <c r="L106" i="1"/>
  <c r="O106" i="1" s="1"/>
  <c r="L190" i="1"/>
  <c r="O190" i="1" s="1"/>
  <c r="L38" i="1"/>
  <c r="O38" i="1" s="1"/>
  <c r="L77" i="1"/>
  <c r="O77" i="1" s="1"/>
  <c r="L40" i="1"/>
  <c r="M40" i="1" s="1"/>
  <c r="N40" i="1" s="1"/>
  <c r="L183" i="1"/>
  <c r="O183" i="1" s="1"/>
  <c r="L82" i="1"/>
  <c r="O82" i="1" s="1"/>
  <c r="L96" i="1"/>
  <c r="O96" i="1" s="1"/>
  <c r="L113" i="1"/>
  <c r="O113" i="1" s="1"/>
  <c r="L169" i="1"/>
  <c r="O169" i="1" s="1"/>
  <c r="L168" i="1"/>
  <c r="O168" i="1" s="1"/>
  <c r="L58" i="1"/>
  <c r="M58" i="1" s="1"/>
  <c r="N58" i="1" s="1"/>
  <c r="L83" i="1"/>
  <c r="M83" i="1" s="1"/>
  <c r="N83" i="1" s="1"/>
  <c r="L99" i="1"/>
  <c r="M99" i="1" s="1"/>
  <c r="N99" i="1" s="1"/>
  <c r="L187" i="1"/>
  <c r="O187" i="1" s="1"/>
  <c r="L78" i="1"/>
  <c r="O78" i="1" s="1"/>
  <c r="L145" i="1"/>
  <c r="M145" i="1" s="1"/>
  <c r="N145" i="1" s="1"/>
  <c r="L32" i="1"/>
  <c r="M32" i="1" s="1"/>
  <c r="N32" i="1" s="1"/>
  <c r="L60" i="1"/>
  <c r="O60" i="1" s="1"/>
  <c r="L101" i="1"/>
  <c r="M101" i="1" s="1"/>
  <c r="N101" i="1" s="1"/>
  <c r="L51" i="1"/>
  <c r="M51" i="1" s="1"/>
  <c r="N51" i="1" s="1"/>
  <c r="L68" i="1"/>
  <c r="O68" i="1" s="1"/>
  <c r="L95" i="1"/>
  <c r="M95" i="1" s="1"/>
  <c r="N95" i="1" s="1"/>
  <c r="L43" i="1"/>
  <c r="O43" i="1" s="1"/>
  <c r="L55" i="1"/>
  <c r="M55" i="1" s="1"/>
  <c r="N55" i="1" s="1"/>
  <c r="L66" i="1"/>
  <c r="O66" i="1" s="1"/>
  <c r="L153" i="1"/>
  <c r="O153" i="1" s="1"/>
  <c r="L125" i="1"/>
  <c r="O125" i="1" s="1"/>
  <c r="L193" i="1"/>
  <c r="O193" i="1" s="1"/>
  <c r="L41" i="1"/>
  <c r="O41" i="1" s="1"/>
  <c r="L131" i="1"/>
  <c r="M131" i="1" s="1"/>
  <c r="N131" i="1" s="1"/>
  <c r="L31" i="1"/>
  <c r="O31" i="1" s="1"/>
  <c r="L175" i="1"/>
  <c r="O175" i="1" s="1"/>
  <c r="L59" i="1"/>
  <c r="O59" i="1" s="1"/>
  <c r="L151" i="1"/>
  <c r="O151" i="1" s="1"/>
  <c r="L134" i="1"/>
  <c r="O134" i="1" s="1"/>
  <c r="L67" i="1"/>
  <c r="O67" i="1" s="1"/>
  <c r="L110" i="1"/>
  <c r="M110" i="1" s="1"/>
  <c r="N110" i="1" s="1"/>
  <c r="L36" i="1"/>
  <c r="M36" i="1" s="1"/>
  <c r="N36" i="1" s="1"/>
  <c r="L158" i="1"/>
  <c r="O158" i="1" s="1"/>
  <c r="L200" i="1"/>
  <c r="O200" i="1" s="1"/>
  <c r="L63" i="1"/>
  <c r="L91" i="1"/>
  <c r="M91" i="1" s="1"/>
  <c r="N91" i="1" s="1"/>
  <c r="L86" i="1"/>
  <c r="M86" i="1" s="1"/>
  <c r="N86" i="1" s="1"/>
  <c r="L124" i="1"/>
  <c r="O124" i="1" s="1"/>
  <c r="L119" i="1"/>
  <c r="O119" i="1" s="1"/>
  <c r="L50" i="1"/>
  <c r="M50" i="1" s="1"/>
  <c r="N50" i="1" s="1"/>
  <c r="L160" i="1"/>
  <c r="O160" i="1" s="1"/>
  <c r="L130" i="1"/>
  <c r="O130" i="1" s="1"/>
  <c r="L159" i="1"/>
  <c r="O159" i="1" s="1"/>
  <c r="L80" i="1"/>
  <c r="M80" i="1" s="1"/>
  <c r="N80" i="1" s="1"/>
  <c r="L84" i="1"/>
  <c r="O84" i="1" s="1"/>
  <c r="L138" i="1"/>
  <c r="O138" i="1" s="1"/>
  <c r="L188" i="1"/>
  <c r="O188" i="1" s="1"/>
  <c r="L201" i="1"/>
  <c r="O201" i="1" s="1"/>
  <c r="L146" i="1"/>
  <c r="O146" i="1" s="1"/>
  <c r="L34" i="1"/>
  <c r="O34" i="1" s="1"/>
  <c r="L62" i="1"/>
  <c r="O62" i="1" s="1"/>
  <c r="L79" i="1"/>
  <c r="M79" i="1" s="1"/>
  <c r="N79" i="1" s="1"/>
  <c r="L89" i="1"/>
  <c r="M89" i="1" s="1"/>
  <c r="N89" i="1" s="1"/>
  <c r="L48" i="1"/>
  <c r="M48" i="1" s="1"/>
  <c r="N48" i="1" s="1"/>
  <c r="L42" i="1"/>
  <c r="M42" i="1" s="1"/>
  <c r="N42" i="1" s="1"/>
  <c r="L117" i="1"/>
  <c r="O117" i="1" s="1"/>
  <c r="L147" i="1"/>
  <c r="M147" i="1" s="1"/>
  <c r="N147" i="1" s="1"/>
  <c r="L92" i="1"/>
  <c r="M92" i="1" s="1"/>
  <c r="N92" i="1" s="1"/>
  <c r="L152" i="1"/>
  <c r="O152" i="1" s="1"/>
  <c r="L148" i="1"/>
  <c r="O148" i="1" s="1"/>
  <c r="L184" i="1"/>
  <c r="O184" i="1" s="1"/>
  <c r="L35" i="1"/>
  <c r="O35" i="1" s="1"/>
  <c r="L162" i="1"/>
  <c r="O162" i="1" s="1"/>
  <c r="L47" i="1"/>
  <c r="M47" i="1" s="1"/>
  <c r="N47" i="1" s="1"/>
  <c r="L120" i="1"/>
  <c r="O120" i="1" s="1"/>
  <c r="L64" i="1"/>
  <c r="O64" i="1" s="1"/>
  <c r="L139" i="1"/>
  <c r="M139" i="1" s="1"/>
  <c r="N139" i="1" s="1"/>
  <c r="L178" i="1"/>
  <c r="O178" i="1" s="1"/>
  <c r="L53" i="1"/>
  <c r="M53" i="1" s="1"/>
  <c r="N53" i="1" s="1"/>
  <c r="L174" i="1"/>
  <c r="O174" i="1" s="1"/>
  <c r="L76" i="1"/>
  <c r="M76" i="1" s="1"/>
  <c r="N76" i="1" s="1"/>
  <c r="L161" i="1"/>
  <c r="O161" i="1" s="1"/>
  <c r="L202" i="1"/>
  <c r="O202" i="1" s="1"/>
  <c r="L132" i="1"/>
  <c r="O132" i="1" s="1"/>
  <c r="L127" i="1"/>
  <c r="M127" i="1" s="1"/>
  <c r="N127" i="1" s="1"/>
  <c r="L163" i="1"/>
  <c r="O163" i="1" s="1"/>
  <c r="L39" i="1"/>
  <c r="O39" i="1" s="1"/>
  <c r="L103" i="1"/>
  <c r="M103" i="1" s="1"/>
  <c r="N103" i="1" s="1"/>
  <c r="L164" i="1"/>
  <c r="O164" i="1" s="1"/>
  <c r="L109" i="1"/>
  <c r="M109" i="1" s="1"/>
  <c r="N109" i="1" s="1"/>
  <c r="L195" i="1"/>
  <c r="O195" i="1" s="1"/>
  <c r="L141" i="1"/>
  <c r="M141" i="1" s="1"/>
  <c r="N141" i="1" s="1"/>
  <c r="L167" i="1"/>
  <c r="O167" i="1" s="1"/>
  <c r="L70" i="1"/>
  <c r="M70" i="1" s="1"/>
  <c r="N70" i="1" s="1"/>
  <c r="L65" i="1"/>
  <c r="M65" i="1" s="1"/>
  <c r="N65" i="1" s="1"/>
  <c r="L115" i="1"/>
  <c r="M115" i="1" s="1"/>
  <c r="N115" i="1" s="1"/>
  <c r="L118" i="1"/>
  <c r="M118" i="1" s="1"/>
  <c r="N118" i="1" s="1"/>
  <c r="L72" i="1"/>
  <c r="M72" i="1" s="1"/>
  <c r="N72" i="1" s="1"/>
  <c r="L97" i="1"/>
  <c r="M97" i="1" s="1"/>
  <c r="N97" i="1" s="1"/>
  <c r="L73" i="1"/>
  <c r="O73" i="1" s="1"/>
  <c r="L56" i="1"/>
  <c r="O56" i="1" s="1"/>
  <c r="L98" i="1"/>
  <c r="M98" i="1" s="1"/>
  <c r="N98" i="1" s="1"/>
  <c r="L142" i="1"/>
  <c r="O142" i="1" s="1"/>
  <c r="L112" i="1"/>
  <c r="O112" i="1" s="1"/>
  <c r="L85" i="1"/>
  <c r="M85" i="1" s="1"/>
  <c r="N85" i="1" s="1"/>
  <c r="L133" i="1"/>
  <c r="M133" i="1" s="1"/>
  <c r="N133" i="1" s="1"/>
  <c r="L199" i="1"/>
  <c r="O199" i="1" s="1"/>
  <c r="L74" i="1"/>
  <c r="M74" i="1" s="1"/>
  <c r="N74" i="1" s="1"/>
  <c r="L114" i="1"/>
  <c r="O114" i="1" s="1"/>
  <c r="L46" i="1"/>
  <c r="M46" i="1" s="1"/>
  <c r="N46" i="1" s="1"/>
  <c r="L186" i="1"/>
  <c r="O186" i="1" s="1"/>
  <c r="L173" i="1"/>
  <c r="O173" i="1" s="1"/>
  <c r="L54" i="1"/>
  <c r="O54" i="1" s="1"/>
  <c r="L87" i="1"/>
  <c r="M87" i="1" s="1"/>
  <c r="N87" i="1" s="1"/>
  <c r="L88" i="1"/>
  <c r="M88" i="1" s="1"/>
  <c r="N88" i="1" s="1"/>
  <c r="L143" i="1"/>
  <c r="O143" i="1" s="1"/>
  <c r="L196" i="1"/>
  <c r="O196" i="1" s="1"/>
  <c r="L137" i="1"/>
  <c r="M137" i="1" s="1"/>
  <c r="N137" i="1" s="1"/>
  <c r="L116" i="1"/>
  <c r="O116" i="1" s="1"/>
  <c r="L140" i="1"/>
  <c r="O140" i="1" s="1"/>
  <c r="L179" i="1"/>
  <c r="O179" i="1" s="1"/>
  <c r="L144" i="1"/>
  <c r="M144" i="1" s="1"/>
  <c r="N144" i="1" s="1"/>
  <c r="L170" i="1"/>
  <c r="O170" i="1" s="1"/>
  <c r="L100" i="1"/>
  <c r="O100" i="1" s="1"/>
  <c r="L154" i="1"/>
  <c r="O154" i="1" s="1"/>
  <c r="L156" i="1"/>
  <c r="O156" i="1" s="1"/>
  <c r="L177" i="1"/>
  <c r="O177" i="1" s="1"/>
  <c r="L129" i="1"/>
  <c r="O129" i="1" s="1"/>
  <c r="L128" i="1"/>
  <c r="M128" i="1" s="1"/>
  <c r="N128" i="1" s="1"/>
  <c r="L45" i="1"/>
  <c r="O45" i="1" s="1"/>
  <c r="L121" i="1"/>
  <c r="M121" i="1" s="1"/>
  <c r="N121" i="1" s="1"/>
  <c r="L69" i="1"/>
  <c r="O69" i="1" s="1"/>
  <c r="L176" i="1"/>
  <c r="O176" i="1" s="1"/>
  <c r="L165" i="1"/>
  <c r="O165" i="1" s="1"/>
  <c r="L155" i="1"/>
  <c r="O155" i="1" s="1"/>
  <c r="L149" i="1"/>
  <c r="O149" i="1" s="1"/>
  <c r="L192" i="1"/>
  <c r="O192" i="1" s="1"/>
  <c r="L102" i="1"/>
  <c r="O102" i="1" s="1"/>
  <c r="L90" i="1"/>
  <c r="O90" i="1" s="1"/>
  <c r="L194" i="1"/>
  <c r="O194" i="1" s="1"/>
  <c r="L33" i="1"/>
  <c r="M33" i="1" s="1"/>
  <c r="N33" i="1" s="1"/>
  <c r="L52" i="1"/>
  <c r="M52" i="1" s="1"/>
  <c r="N52" i="1" s="1"/>
  <c r="L189" i="1"/>
  <c r="O189" i="1" s="1"/>
  <c r="L44" i="1"/>
  <c r="O44" i="1" s="1"/>
  <c r="L166" i="1"/>
  <c r="O166" i="1" s="1"/>
  <c r="L37" i="1"/>
  <c r="M37" i="1" s="1"/>
  <c r="N37" i="1" s="1"/>
  <c r="L107" i="1"/>
  <c r="M107" i="1" s="1"/>
  <c r="N107" i="1" s="1"/>
  <c r="L94" i="1"/>
  <c r="O94" i="1" s="1"/>
  <c r="L105" i="1"/>
  <c r="M105" i="1" s="1"/>
  <c r="N105" i="1" s="1"/>
  <c r="L93" i="1"/>
  <c r="O93" i="1" s="1"/>
  <c r="L57" i="1"/>
  <c r="M57" i="1" s="1"/>
  <c r="N57" i="1" s="1"/>
  <c r="L61" i="1"/>
  <c r="O61" i="1" s="1"/>
  <c r="L191" i="1"/>
  <c r="O191" i="1" s="1"/>
  <c r="L197" i="1"/>
  <c r="O197" i="1" s="1"/>
  <c r="L123" i="1"/>
  <c r="M123" i="1" s="1"/>
  <c r="N123" i="1" s="1"/>
  <c r="L150" i="1"/>
  <c r="O150" i="1" s="1"/>
  <c r="K29" i="1"/>
  <c r="I29" i="1"/>
  <c r="M63" i="1"/>
  <c r="N63" i="1" s="1"/>
  <c r="O63" i="1"/>
  <c r="M106" i="1"/>
  <c r="N106" i="1" s="1"/>
  <c r="M96" i="1" l="1"/>
  <c r="N96" i="1" s="1"/>
  <c r="M136" i="1"/>
  <c r="N136" i="1" s="1"/>
  <c r="M135" i="1"/>
  <c r="N135" i="1" s="1"/>
  <c r="O111" i="1"/>
  <c r="O131" i="1"/>
  <c r="M66" i="1"/>
  <c r="N66" i="1" s="1"/>
  <c r="M43" i="1"/>
  <c r="N43" i="1" s="1"/>
  <c r="M75" i="1"/>
  <c r="N75" i="1" s="1"/>
  <c r="M130" i="1"/>
  <c r="N130" i="1" s="1"/>
  <c r="O108" i="1"/>
  <c r="M64" i="1"/>
  <c r="N64" i="1" s="1"/>
  <c r="O144" i="1"/>
  <c r="O47" i="1"/>
  <c r="M102" i="1"/>
  <c r="N102" i="1" s="1"/>
  <c r="M59" i="1"/>
  <c r="N59" i="1" s="1"/>
  <c r="O72" i="1"/>
  <c r="M38" i="1"/>
  <c r="N38" i="1" s="1"/>
  <c r="O204" i="1"/>
  <c r="M204" i="1"/>
  <c r="N204" i="1" s="1"/>
  <c r="O49" i="1"/>
  <c r="O81" i="1"/>
  <c r="O126" i="1"/>
  <c r="M122" i="1"/>
  <c r="N122" i="1" s="1"/>
  <c r="O92" i="1"/>
  <c r="O36" i="1"/>
  <c r="M117" i="1"/>
  <c r="N117" i="1" s="1"/>
  <c r="M78" i="1"/>
  <c r="N78" i="1" s="1"/>
  <c r="O105" i="1"/>
  <c r="O145" i="1"/>
  <c r="O147" i="1"/>
  <c r="M56" i="1"/>
  <c r="N56" i="1" s="1"/>
  <c r="M62" i="1"/>
  <c r="N62" i="1" s="1"/>
  <c r="M60" i="1"/>
  <c r="N60" i="1" s="1"/>
  <c r="O33" i="1"/>
  <c r="O37" i="1"/>
  <c r="M100" i="1"/>
  <c r="N100" i="1" s="1"/>
  <c r="O40" i="1"/>
  <c r="M125" i="1"/>
  <c r="N125" i="1" s="1"/>
  <c r="O98" i="1"/>
  <c r="O79" i="1"/>
  <c r="M77" i="1"/>
  <c r="N77" i="1" s="1"/>
  <c r="M114" i="1"/>
  <c r="N114" i="1" s="1"/>
  <c r="M151" i="1"/>
  <c r="N151" i="1" s="1"/>
  <c r="O127" i="1"/>
  <c r="O91" i="1"/>
  <c r="O58" i="1"/>
  <c r="O101" i="1"/>
  <c r="O139" i="1"/>
  <c r="O70" i="1"/>
  <c r="O80" i="1"/>
  <c r="O83" i="1"/>
  <c r="M146" i="1"/>
  <c r="N146" i="1" s="1"/>
  <c r="M34" i="1"/>
  <c r="N34" i="1" s="1"/>
  <c r="O32" i="1"/>
  <c r="M116" i="1"/>
  <c r="N116" i="1" s="1"/>
  <c r="M94" i="1"/>
  <c r="N94" i="1" s="1"/>
  <c r="O51" i="1"/>
  <c r="O53" i="1"/>
  <c r="M71" i="1"/>
  <c r="N71" i="1" s="1"/>
  <c r="M67" i="1"/>
  <c r="N67" i="1" s="1"/>
  <c r="M143" i="1"/>
  <c r="N143" i="1" s="1"/>
  <c r="M150" i="1"/>
  <c r="N150" i="1" s="1"/>
  <c r="M132" i="1"/>
  <c r="N132" i="1" s="1"/>
  <c r="M69" i="1"/>
  <c r="N69" i="1" s="1"/>
  <c r="M73" i="1"/>
  <c r="N73" i="1" s="1"/>
  <c r="O74" i="1"/>
  <c r="O141" i="1"/>
  <c r="M31" i="1"/>
  <c r="P31" i="1" s="1"/>
  <c r="AH5" i="2" s="1"/>
  <c r="O88" i="1"/>
  <c r="M113" i="1"/>
  <c r="N113" i="1" s="1"/>
  <c r="O50" i="1"/>
  <c r="O55" i="1"/>
  <c r="O87" i="1"/>
  <c r="M90" i="1"/>
  <c r="N90" i="1" s="1"/>
  <c r="O109" i="1"/>
  <c r="M45" i="1"/>
  <c r="N45" i="1" s="1"/>
  <c r="M120" i="1"/>
  <c r="N120" i="1" s="1"/>
  <c r="O97" i="1"/>
  <c r="O123" i="1"/>
  <c r="O133" i="1"/>
  <c r="O107" i="1"/>
  <c r="O121" i="1"/>
  <c r="M82" i="1"/>
  <c r="N82" i="1" s="1"/>
  <c r="M41" i="1"/>
  <c r="N41" i="1" s="1"/>
  <c r="O103" i="1"/>
  <c r="O115" i="1"/>
  <c r="O99" i="1"/>
  <c r="O48" i="1"/>
  <c r="M44" i="1"/>
  <c r="N44" i="1" s="1"/>
  <c r="M124" i="1"/>
  <c r="N124" i="1" s="1"/>
  <c r="O57" i="1"/>
  <c r="O86" i="1"/>
  <c r="M149" i="1"/>
  <c r="N149" i="1" s="1"/>
  <c r="M61" i="1"/>
  <c r="N61" i="1" s="1"/>
  <c r="O110" i="1"/>
  <c r="M35" i="1"/>
  <c r="N35" i="1" s="1"/>
  <c r="M119" i="1"/>
  <c r="N119" i="1" s="1"/>
  <c r="O95" i="1"/>
  <c r="M112" i="1"/>
  <c r="N112" i="1" s="1"/>
  <c r="M134" i="1"/>
  <c r="N134" i="1" s="1"/>
  <c r="M140" i="1"/>
  <c r="N140" i="1" s="1"/>
  <c r="M39" i="1"/>
  <c r="N39" i="1" s="1"/>
  <c r="M138" i="1"/>
  <c r="N138" i="1" s="1"/>
  <c r="M129" i="1"/>
  <c r="N129" i="1" s="1"/>
  <c r="M68" i="1"/>
  <c r="N68" i="1" s="1"/>
  <c r="O128" i="1"/>
  <c r="O85" i="1"/>
  <c r="O42" i="1"/>
  <c r="O118" i="1"/>
  <c r="M142" i="1"/>
  <c r="N142" i="1" s="1"/>
  <c r="M84" i="1"/>
  <c r="N84" i="1" s="1"/>
  <c r="O89" i="1"/>
  <c r="O65" i="1"/>
  <c r="M54" i="1"/>
  <c r="N54" i="1" s="1"/>
  <c r="O46" i="1"/>
  <c r="M148" i="1"/>
  <c r="N148" i="1" s="1"/>
  <c r="O137" i="1"/>
  <c r="O52" i="1"/>
  <c r="O76" i="1"/>
  <c r="M93" i="1"/>
  <c r="N93" i="1" s="1"/>
  <c r="P89" i="1"/>
  <c r="AH63" i="2" s="1"/>
  <c r="P63" i="1"/>
  <c r="AH37" i="2" s="1"/>
  <c r="P108" i="1"/>
  <c r="AH82" i="2" s="1"/>
  <c r="P87" i="1"/>
  <c r="AH61" i="2" s="1"/>
  <c r="P115" i="1"/>
  <c r="P55" i="1"/>
  <c r="AH29" i="2" s="1"/>
  <c r="P40" i="1"/>
  <c r="AH14" i="2" s="1"/>
  <c r="P139" i="1"/>
  <c r="P65" i="1"/>
  <c r="AH39" i="2" s="1"/>
  <c r="P75" i="1"/>
  <c r="AH49" i="2" s="1"/>
  <c r="P50" i="1"/>
  <c r="AH24" i="2" s="1"/>
  <c r="P46" i="1"/>
  <c r="AH20" i="2" s="1"/>
  <c r="P141" i="1"/>
  <c r="P98" i="1"/>
  <c r="AH72" i="2" s="1"/>
  <c r="P76" i="1"/>
  <c r="AH50" i="2" s="1"/>
  <c r="P53" i="1"/>
  <c r="AH27" i="2" s="1"/>
  <c r="P137" i="1"/>
  <c r="P123" i="1"/>
  <c r="P33" i="1"/>
  <c r="AH7" i="2" s="1"/>
  <c r="P32" i="1"/>
  <c r="AH6" i="2" s="1"/>
  <c r="P121" i="1"/>
  <c r="P110" i="1"/>
  <c r="P111" i="1"/>
  <c r="P109" i="1"/>
  <c r="AH83" i="2" s="1"/>
  <c r="P49" i="1"/>
  <c r="AH23" i="2" s="1"/>
  <c r="P79" i="1"/>
  <c r="AH53" i="2" s="1"/>
  <c r="P80" i="1"/>
  <c r="AH54" i="2" s="1"/>
  <c r="P86" i="1"/>
  <c r="AH60" i="2" s="1"/>
  <c r="P105" i="1"/>
  <c r="P97" i="1"/>
  <c r="AH71" i="2" s="1"/>
  <c r="P145" i="1"/>
  <c r="P99" i="1"/>
  <c r="AH73" i="2" s="1"/>
  <c r="P107" i="1"/>
  <c r="P144" i="1"/>
  <c r="P118" i="1"/>
  <c r="P136" i="1"/>
  <c r="P37" i="1"/>
  <c r="AH11" i="2" s="1"/>
  <c r="P133" i="1"/>
  <c r="P85" i="1"/>
  <c r="AH59" i="2" s="1"/>
  <c r="P92" i="1"/>
  <c r="AH66" i="2" s="1"/>
  <c r="P58" i="1"/>
  <c r="AH32" i="2" s="1"/>
  <c r="P48" i="1"/>
  <c r="AH22" i="2" s="1"/>
  <c r="P47" i="1"/>
  <c r="AH21" i="2" s="1"/>
  <c r="P38" i="1"/>
  <c r="AH12" i="2" s="1"/>
  <c r="P96" i="1"/>
  <c r="AH70" i="2" s="1"/>
  <c r="P42" i="1"/>
  <c r="AH16" i="2" s="1"/>
  <c r="P128" i="1"/>
  <c r="P36" i="1"/>
  <c r="AH10" i="2" s="1"/>
  <c r="P70" i="1"/>
  <c r="AH44" i="2" s="1"/>
  <c r="P52" i="1"/>
  <c r="AH26" i="2" s="1"/>
  <c r="P88" i="1"/>
  <c r="AH62" i="2" s="1"/>
  <c r="P126" i="1"/>
  <c r="P57" i="1"/>
  <c r="AH31" i="2" s="1"/>
  <c r="P101" i="1"/>
  <c r="AH75" i="2" s="1"/>
  <c r="P106" i="1"/>
  <c r="P72" i="1"/>
  <c r="AH46" i="2" s="1"/>
  <c r="P91" i="1"/>
  <c r="AH65" i="2" s="1"/>
  <c r="P74" i="1"/>
  <c r="AH48" i="2" s="1"/>
  <c r="P51" i="1"/>
  <c r="AH25" i="2" s="1"/>
  <c r="P95" i="1"/>
  <c r="AH69" i="2" s="1"/>
  <c r="P103" i="1"/>
  <c r="AH77" i="2" s="1"/>
  <c r="P83" i="1"/>
  <c r="AH57" i="2" s="1"/>
  <c r="P81" i="1"/>
  <c r="AH55" i="2" s="1"/>
  <c r="P127" i="1"/>
  <c r="P135" i="1" l="1"/>
  <c r="P62" i="1"/>
  <c r="AH36" i="2" s="1"/>
  <c r="AH81" i="2"/>
  <c r="AH84" i="2"/>
  <c r="P122" i="1"/>
  <c r="AH96" i="2" s="1"/>
  <c r="AH100" i="2"/>
  <c r="AH97" i="2"/>
  <c r="P130" i="1"/>
  <c r="AH104" i="2" s="1"/>
  <c r="AH101" i="2"/>
  <c r="AH79" i="2"/>
  <c r="AH78" i="2"/>
  <c r="P66" i="1"/>
  <c r="AH40" i="2" s="1"/>
  <c r="P43" i="1"/>
  <c r="AH17" i="2" s="1"/>
  <c r="P59" i="1"/>
  <c r="AH33" i="2" s="1"/>
  <c r="P60" i="1"/>
  <c r="AH34" i="2" s="1"/>
  <c r="P204" i="1"/>
  <c r="P64" i="1"/>
  <c r="AH38" i="2" s="1"/>
  <c r="P117" i="1"/>
  <c r="AH91" i="2" s="1"/>
  <c r="P78" i="1"/>
  <c r="AH52" i="2" s="1"/>
  <c r="P56" i="1"/>
  <c r="AH30" i="2" s="1"/>
  <c r="P116" i="1"/>
  <c r="AH90" i="2" s="1"/>
  <c r="P100" i="1"/>
  <c r="AH74" i="2" s="1"/>
  <c r="P125" i="1"/>
  <c r="AH99" i="2" s="1"/>
  <c r="P77" i="1"/>
  <c r="AH51" i="2" s="1"/>
  <c r="P151" i="1"/>
  <c r="AH125" i="2" s="1"/>
  <c r="P114" i="1"/>
  <c r="AH88" i="2" s="1"/>
  <c r="P146" i="1"/>
  <c r="AH119" i="2" s="1"/>
  <c r="P34" i="1"/>
  <c r="AH8" i="2" s="1"/>
  <c r="P82" i="1"/>
  <c r="AH56" i="2" s="1"/>
  <c r="P39" i="1"/>
  <c r="AH13" i="2" s="1"/>
  <c r="P132" i="1"/>
  <c r="AH105" i="2" s="1"/>
  <c r="P41" i="1"/>
  <c r="AH15" i="2" s="1"/>
  <c r="P69" i="1"/>
  <c r="AH43" i="2" s="1"/>
  <c r="P94" i="1"/>
  <c r="AH68" i="2" s="1"/>
  <c r="P71" i="1"/>
  <c r="AH45" i="2" s="1"/>
  <c r="P67" i="1"/>
  <c r="AH41" i="2" s="1"/>
  <c r="P45" i="1"/>
  <c r="AH19" i="2" s="1"/>
  <c r="N31" i="1"/>
  <c r="P150" i="1"/>
  <c r="AH124" i="2" s="1"/>
  <c r="P113" i="1"/>
  <c r="AH87" i="2" s="1"/>
  <c r="P140" i="1"/>
  <c r="AH113" i="2" s="1"/>
  <c r="P44" i="1"/>
  <c r="AH18" i="2" s="1"/>
  <c r="P93" i="1"/>
  <c r="AH67" i="2" s="1"/>
  <c r="P73" i="1"/>
  <c r="AH47" i="2" s="1"/>
  <c r="P134" i="1"/>
  <c r="AH108" i="2" s="1"/>
  <c r="P120" i="1"/>
  <c r="AH94" i="2" s="1"/>
  <c r="P143" i="1"/>
  <c r="AH117" i="2" s="1"/>
  <c r="P90" i="1"/>
  <c r="AH64" i="2" s="1"/>
  <c r="P124" i="1"/>
  <c r="AH98" i="2" s="1"/>
  <c r="P138" i="1"/>
  <c r="AH112" i="2" s="1"/>
  <c r="P142" i="1"/>
  <c r="AH116" i="2" s="1"/>
  <c r="P35" i="1"/>
  <c r="AH9" i="2" s="1"/>
  <c r="P84" i="1"/>
  <c r="AH58" i="2" s="1"/>
  <c r="P68" i="1"/>
  <c r="AH42" i="2" s="1"/>
  <c r="M29" i="1"/>
  <c r="P129" i="1"/>
  <c r="AH103" i="2" s="1"/>
  <c r="P61" i="1"/>
  <c r="AH35" i="2" s="1"/>
  <c r="P119" i="1"/>
  <c r="AH93" i="2" s="1"/>
  <c r="P112" i="1"/>
  <c r="P54" i="1"/>
  <c r="AH28" i="2" s="1"/>
  <c r="AH110" i="2"/>
  <c r="O29" i="1"/>
  <c r="P148" i="1"/>
  <c r="AH118" i="2"/>
  <c r="AH111" i="2"/>
  <c r="AH109" i="2"/>
  <c r="AH115" i="2"/>
  <c r="AH107" i="2"/>
  <c r="AH80" i="2"/>
  <c r="AH102" i="2" l="1"/>
  <c r="AH86" i="2"/>
  <c r="AH85" i="2"/>
  <c r="AH89" i="2"/>
  <c r="AH178" i="2"/>
  <c r="AH177" i="2"/>
  <c r="AH92" i="2"/>
  <c r="AH95" i="2"/>
  <c r="AH123" i="2"/>
  <c r="G17" i="1"/>
  <c r="AH114" i="2"/>
  <c r="AH120" i="2"/>
  <c r="E17" i="1"/>
  <c r="F17" i="1"/>
  <c r="AH106" i="2"/>
  <c r="F15" i="1"/>
  <c r="G15" i="1"/>
  <c r="AH122" i="2"/>
  <c r="E15" i="1"/>
  <c r="D23" i="1"/>
  <c r="F16" i="1"/>
  <c r="D22" i="1"/>
  <c r="F14" i="1"/>
  <c r="E14" i="1"/>
  <c r="G14" i="1"/>
  <c r="E16" i="1"/>
  <c r="G24" i="1"/>
  <c r="F24" i="1"/>
  <c r="G16" i="1"/>
  <c r="E24" i="1"/>
  <c r="AH121" i="2"/>
  <c r="H17" i="1" l="1"/>
  <c r="H15" i="1"/>
  <c r="H14" i="1"/>
  <c r="H16" i="1"/>
  <c r="H24" i="1"/>
</calcChain>
</file>

<file path=xl/sharedStrings.xml><?xml version="1.0" encoding="utf-8"?>
<sst xmlns="http://schemas.openxmlformats.org/spreadsheetml/2006/main" count="1126" uniqueCount="270">
  <si>
    <t>عدد المناديب</t>
  </si>
  <si>
    <t>إجمالي المناديب</t>
  </si>
  <si>
    <t>على الكفالة</t>
  </si>
  <si>
    <t>فري لانسر</t>
  </si>
  <si>
    <t>يوزرات</t>
  </si>
  <si>
    <t>توزيع المناديب العاملين على المشاريع والجهات</t>
  </si>
  <si>
    <t>الإجمالي</t>
  </si>
  <si>
    <t>امازون</t>
  </si>
  <si>
    <t>كيتا</t>
  </si>
  <si>
    <t>هنجرستيشن</t>
  </si>
  <si>
    <t>نينجا</t>
  </si>
  <si>
    <t>كفالة</t>
  </si>
  <si>
    <t>ملخص التحقيق حسب المشرف والمشروع</t>
  </si>
  <si>
    <t>المشرف</t>
  </si>
  <si>
    <t>المشروع</t>
  </si>
  <si>
    <t>حقق</t>
  </si>
  <si>
    <t>قريب</t>
  </si>
  <si>
    <t>بعيد</t>
  </si>
  <si>
    <t>نسبة التحقيق</t>
  </si>
  <si>
    <t>شحنات امازون</t>
  </si>
  <si>
    <t>محمود خطاب</t>
  </si>
  <si>
    <t>خالد عباس</t>
  </si>
  <si>
    <t>عبدالرحمن رحومة</t>
  </si>
  <si>
    <t>ترك العمل</t>
  </si>
  <si>
    <t>اجازه</t>
  </si>
  <si>
    <t>تفاصيل المناديب</t>
  </si>
  <si>
    <t>رقم الإقامة</t>
  </si>
  <si>
    <t>الاسم</t>
  </si>
  <si>
    <t>م</t>
  </si>
  <si>
    <t>الجهة</t>
  </si>
  <si>
    <t>إجمالي الطلبات</t>
  </si>
  <si>
    <t>طلبات اليوم</t>
  </si>
  <si>
    <t>تاريخ البدء</t>
  </si>
  <si>
    <t>أيام الغياب</t>
  </si>
  <si>
    <t>أيام الاحتساب</t>
  </si>
  <si>
    <t>هدفه</t>
  </si>
  <si>
    <t>% من الهدف</t>
  </si>
  <si>
    <t>المتوقع للشهر</t>
  </si>
  <si>
    <t>التقييم</t>
  </si>
  <si>
    <t>ملاحظات</t>
  </si>
  <si>
    <t>الإدخال اليومي للطلبات</t>
  </si>
  <si>
    <t>كل يوم اكتب طلبات كل مندوب في عمود تاريخ اليوم. اليوم اللي فيه طلبات بيتحسب يوم عمل، واليوم الفاضي أو صفر بيتحسب غياب ويتلوّن أحمر (تقدر تضيف Note على الخلية بسبب الغياب). اللي مش محقق اكتب سبب في عمود الملاحظات (بيتلوّن أحمر لو فاضي). امازون: اكتب الشحنات في عمود الشحنات.</t>
  </si>
  <si>
    <t>الحالة / الجهة</t>
  </si>
  <si>
    <t>تاريخ البدء (لو بعد أول الشهر)</t>
  </si>
  <si>
    <t>أيام غياب أول الشهر (لحد الرصيد)</t>
  </si>
  <si>
    <t>ملاحظات (سبب عدم التحقيق)</t>
  </si>
  <si>
    <t>إجمالي الشهر</t>
  </si>
  <si>
    <t>مشروع آخر اشتغل فيه</t>
  </si>
  <si>
    <t>طلباته هناك (إجمالي الشهر)</t>
  </si>
  <si>
    <t>الحالة</t>
  </si>
  <si>
    <t>إجمالي الشحنات (امازون)</t>
  </si>
  <si>
    <t>التقييم الحالي</t>
  </si>
  <si>
    <t>إجمالي اليوم</t>
  </si>
  <si>
    <t>Robin Mia</t>
  </si>
  <si>
    <t>خطاب</t>
  </si>
  <si>
    <t>يعمل</t>
  </si>
  <si>
    <t>AHMARE ALI ASLAM</t>
  </si>
  <si>
    <t>حسن احمد حسين جمال الدين</t>
  </si>
  <si>
    <t>خالد</t>
  </si>
  <si>
    <t>Babar Ali</t>
  </si>
  <si>
    <t>Md ELMAZED</t>
  </si>
  <si>
    <t>MOHAMMED BAKRE</t>
  </si>
  <si>
    <t>قمر الحسن</t>
  </si>
  <si>
    <t>مصطفى محمود احمد</t>
  </si>
  <si>
    <t>RAFI MD IBRAHIM</t>
  </si>
  <si>
    <t>SABUJ SK</t>
  </si>
  <si>
    <t>هريدوى تشاندرا</t>
  </si>
  <si>
    <t>KHAYRUL ISLAM</t>
  </si>
  <si>
    <t>BELAL HOSEN</t>
  </si>
  <si>
    <t>زاكير اوسين</t>
  </si>
  <si>
    <t>SHOHAN ALI</t>
  </si>
  <si>
    <t>Md TAREQ Islam</t>
  </si>
  <si>
    <t>MD Yousuf Hossain Masum</t>
  </si>
  <si>
    <t>GOMAA</t>
  </si>
  <si>
    <t>MAHMOUDE KHALEFA</t>
  </si>
  <si>
    <t>abdelhamid</t>
  </si>
  <si>
    <t>محمد نبوي</t>
  </si>
  <si>
    <t>HASINUR ISLAM BADON</t>
  </si>
  <si>
    <t>شميم مياه</t>
  </si>
  <si>
    <t>MD BARKAT ULLAH</t>
  </si>
  <si>
    <t>MD ZAHIDUL ISLAM</t>
  </si>
  <si>
    <t>Laden Sekh</t>
  </si>
  <si>
    <t>MD rakibul shikder</t>
  </si>
  <si>
    <t>مريض ولم يستطع استكمال العمل</t>
  </si>
  <si>
    <t>MERAZOL ISLAME</t>
  </si>
  <si>
    <t>MURSAD SK</t>
  </si>
  <si>
    <t>محمد عزت سالم</t>
  </si>
  <si>
    <t>احمد مصطفي محمد</t>
  </si>
  <si>
    <t>MAHMUDUL HASSAN</t>
  </si>
  <si>
    <t>JAHANGIR aLAM</t>
  </si>
  <si>
    <t>اسلام محمود السيد</t>
  </si>
  <si>
    <t>محمد شاه بران</t>
  </si>
  <si>
    <t>مد رقيب الاسلام</t>
  </si>
  <si>
    <t>عبدالحميد جمال شعبان</t>
  </si>
  <si>
    <t>MD Sajid AHMED</t>
  </si>
  <si>
    <t>HASAN AHMADE MOUSTAF</t>
  </si>
  <si>
    <t>MOHAMMED ABDALLHA</t>
  </si>
  <si>
    <t>محمد ذاك حسين</t>
  </si>
  <si>
    <t>MEHEDI HASAN SABBIR</t>
  </si>
  <si>
    <t>احمد محمود أحمد زيدان</t>
  </si>
  <si>
    <t>صلاح الدين</t>
  </si>
  <si>
    <t>محمد أحمد فوزى أبوعجور</t>
  </si>
  <si>
    <t>MAHMOUDE ABO GARARA</t>
  </si>
  <si>
    <t>Jahidul Islam</t>
  </si>
  <si>
    <t>TANVEER SHAFI</t>
  </si>
  <si>
    <t>معين الدين رنا</t>
  </si>
  <si>
    <t>Rayhan Ahmed Ahmed</t>
  </si>
  <si>
    <t>mohammed anuar mia</t>
  </si>
  <si>
    <t>أسناد ضعيف</t>
  </si>
  <si>
    <t>MD SHRABON</t>
  </si>
  <si>
    <t>محمد مهدي حسن</t>
  </si>
  <si>
    <t>SAJADE ALZAMANE</t>
  </si>
  <si>
    <t>محمد حلمى احمد</t>
  </si>
  <si>
    <t>md badal hossain</t>
  </si>
  <si>
    <t>HASAN ALI ELSHAMY</t>
  </si>
  <si>
    <t>Md Rostum ali</t>
  </si>
  <si>
    <t>مصطفي محمود صادق</t>
  </si>
  <si>
    <t>MOHAMMED KAMAL</t>
  </si>
  <si>
    <t>تم توجية المندوب وتم انذارو</t>
  </si>
  <si>
    <t>MD RONY HOSEN</t>
  </si>
  <si>
    <t>عبدالظاهر سيد</t>
  </si>
  <si>
    <t>ريدوي مياه</t>
  </si>
  <si>
    <t>MD SHEMUL HOSSAIN</t>
  </si>
  <si>
    <t>اسلام حلمي</t>
  </si>
  <si>
    <t>اشرف عبدالمجيد</t>
  </si>
  <si>
    <t>فارس وائل</t>
  </si>
  <si>
    <t>جمال حسين</t>
  </si>
  <si>
    <t>محمد عويس محمد</t>
  </si>
  <si>
    <t>فخر الاسلام</t>
  </si>
  <si>
    <t>معين دين حنيف</t>
  </si>
  <si>
    <t>mohammad ali rojan ali</t>
  </si>
  <si>
    <t>حسام احمد السيد علام</t>
  </si>
  <si>
    <t>نور محمد عبد اللطيف الشريف</t>
  </si>
  <si>
    <t>لا يعمل</t>
  </si>
  <si>
    <t>محمد شكيب عابدين شبانه</t>
  </si>
  <si>
    <t>MOHSAN FAREED JAVID</t>
  </si>
  <si>
    <t>هنقر كفالة</t>
  </si>
  <si>
    <t>NURE - - HASANUZZAMAN</t>
  </si>
  <si>
    <t>ABUL HASAN - - SEIKH</t>
  </si>
  <si>
    <t>MANSUR MIAH</t>
  </si>
  <si>
    <t>MIRZA EKBAL - - HOSSAIN</t>
  </si>
  <si>
    <t>احمد رميح محمد رميح</t>
  </si>
  <si>
    <t>محمد حمدى محمد عبد الرحمن</t>
  </si>
  <si>
    <t>حادث ولم يستطع العمل</t>
  </si>
  <si>
    <t>MD ALAMGIR</t>
  </si>
  <si>
    <t>SHAKLEN MOHAMMAD HANIF</t>
  </si>
  <si>
    <t>NURUL ISLAM</t>
  </si>
  <si>
    <t>ZIYARUL RAHAMAN</t>
  </si>
  <si>
    <t>MD ASLAM - - SEIKH</t>
  </si>
  <si>
    <t>تم التحدث مع المندوب وتم انذارو وجاري توجيه</t>
  </si>
  <si>
    <t>zeeshn akram muhammad</t>
  </si>
  <si>
    <t>KASHIM UDDIN</t>
  </si>
  <si>
    <t>MUHAMMAD UMAR GUJJAR</t>
  </si>
  <si>
    <t>MUHAMMAD AJMAL</t>
  </si>
  <si>
    <t>Muhammad Rizwan</t>
  </si>
  <si>
    <t>محمد حسنى رشاد عبدالله</t>
  </si>
  <si>
    <t>RAHAMATTULLA - - SEIKH</t>
  </si>
  <si>
    <t>شوقي عنتر محمد أبوحمد</t>
  </si>
  <si>
    <t>محمد عبدالجابر شعبان</t>
  </si>
  <si>
    <t>محمد حمدان السمان احمد</t>
  </si>
  <si>
    <t>BIJOY CHAND ALAM CHAND</t>
  </si>
  <si>
    <t>محمد رميح محمد رميح</t>
  </si>
  <si>
    <t>SARIFUL - - ISLAM</t>
  </si>
  <si>
    <t>INJAMAM UL HOQUE</t>
  </si>
  <si>
    <t>موسسة سعد</t>
  </si>
  <si>
    <t>حر سيارة المندوب</t>
  </si>
  <si>
    <t>MD NIJAM UDDIN SHEIKH</t>
  </si>
  <si>
    <t>MOHAMMAD ABUL KALAM</t>
  </si>
  <si>
    <t>مهدى حسن</t>
  </si>
  <si>
    <t>موسسة ماهر</t>
  </si>
  <si>
    <t>محمد ظافر الله محمد</t>
  </si>
  <si>
    <t>MD ANOWAR HOSSEN</t>
  </si>
  <si>
    <t>شريف ميا</t>
  </si>
  <si>
    <t>مد جاميدار ميا</t>
  </si>
  <si>
    <t>حبيب الرحمن</t>
  </si>
  <si>
    <t>عريف ميا</t>
  </si>
  <si>
    <t>جهاد</t>
  </si>
  <si>
    <t>بنجير رحمن</t>
  </si>
  <si>
    <t>مد علاء الدين</t>
  </si>
  <si>
    <t>الامين ميا</t>
  </si>
  <si>
    <t>حضرت علي</t>
  </si>
  <si>
    <t>SHEHZAD ALI NIAZ ALI</t>
  </si>
  <si>
    <t>عارف الاسلام</t>
  </si>
  <si>
    <t>محمد دانشن</t>
  </si>
  <si>
    <t>مسعود رنا</t>
  </si>
  <si>
    <t>محمد حسن احمد عوض</t>
  </si>
  <si>
    <t>إسلام سرور</t>
  </si>
  <si>
    <t>عريف الرحمن</t>
  </si>
  <si>
    <t>امازون يعمل بعد الدوام في كيتا / وليس ثابت</t>
  </si>
  <si>
    <t>علاء جابر</t>
  </si>
  <si>
    <t>ABDUR RAHMAN</t>
  </si>
  <si>
    <t>AFAQ AHMED MUHAMMAD SAFDAR</t>
  </si>
  <si>
    <t>ANTOR MIA MD ABDUL HELIM</t>
  </si>
  <si>
    <t>FAIZAN ALI MUHAMMAD NAZIR AHMAD</t>
  </si>
  <si>
    <t>HAMID ALI ARSHAD MEHMOOD</t>
  </si>
  <si>
    <t>HAMMAD ALI MUHAMMAD BOOTA</t>
  </si>
  <si>
    <t>HASSAN ALI WARIS ALI</t>
  </si>
  <si>
    <t>MD ABIR HASAN</t>
  </si>
  <si>
    <t>MD ANAMUL MD MAJNU</t>
  </si>
  <si>
    <t>MD ARSHED ALI</t>
  </si>
  <si>
    <t>MD EMON HOSSAIN</t>
  </si>
  <si>
    <t>MD IMRAN HOSEN</t>
  </si>
  <si>
    <t>MD JAHANGIR ALAM</t>
  </si>
  <si>
    <t>MD MAHMUDULLAH HASAN EMON</t>
  </si>
  <si>
    <t>MUHAMMAD ANAS RAZA ASGHAR ALI</t>
  </si>
  <si>
    <t>MUHAMMAD ARSLAN EJAZ AHMED</t>
  </si>
  <si>
    <t>NAGAR SK</t>
  </si>
  <si>
    <t>QASIR SHABBIR SHABBIR AHMED</t>
  </si>
  <si>
    <t>SHAHZAD AHMAD IRSHAD ULLAH</t>
  </si>
  <si>
    <t>SHAHZAD ALI SHABBIR AHMED</t>
  </si>
  <si>
    <t>ابراهيم ابوالقاسم احمد قاسم</t>
  </si>
  <si>
    <t>احمد جمال انور امام</t>
  </si>
  <si>
    <t>احمد حماده احمد الطاهرى</t>
  </si>
  <si>
    <t>احمد عبدالعظيم محمد عبدالسيد</t>
  </si>
  <si>
    <t>احمد مجدى حسنى يوسف</t>
  </si>
  <si>
    <t>السيد على حسن دياب</t>
  </si>
  <si>
    <t>حسن صبحى عبد الفتاح زيدان</t>
  </si>
  <si>
    <t>حسين حسن عرفات شعفه</t>
  </si>
  <si>
    <t>فايز عبدالهادى عبدالفتاح الشرقاوى</t>
  </si>
  <si>
    <t>محمد ابراهيم محمد الميداني</t>
  </si>
  <si>
    <t>محمد السيد محمد عبد اللطيف</t>
  </si>
  <si>
    <t>محمد سعيد عبد الهادى هلال</t>
  </si>
  <si>
    <t>محمد سعيد محمود النحاس</t>
  </si>
  <si>
    <t>محمود السيد محمد عطيه</t>
  </si>
  <si>
    <t>محمود سعد محمود مرعى</t>
  </si>
  <si>
    <t>مصطفى علاء الدين محمد عطيه</t>
  </si>
  <si>
    <t>MD OHID SHEIKH</t>
  </si>
  <si>
    <t>RAMIM ISLAM MUNNA</t>
  </si>
  <si>
    <t>Shofikul Islam Shipon</t>
  </si>
  <si>
    <t>محمد روبين شيخ</t>
  </si>
  <si>
    <t>محمد ريزول جنات مران</t>
  </si>
  <si>
    <t>MUHAMMAD IKRAM BASHIR</t>
  </si>
  <si>
    <t>Musadaq Hussain</t>
  </si>
  <si>
    <t>ALI BASYOUNI</t>
  </si>
  <si>
    <t>AMEER HAMZA MEHMOOD</t>
  </si>
  <si>
    <t>MD ARIF</t>
  </si>
  <si>
    <t>Mohamed Mansy</t>
  </si>
  <si>
    <t>Shehab Abdelhamid</t>
  </si>
  <si>
    <t>سامح عاطف فتحى درويش</t>
  </si>
  <si>
    <t>NASIR SK KARIM SK</t>
  </si>
  <si>
    <t>إعدادات التقييم</t>
  </si>
  <si>
    <t>تاريخ التقرير (بيتحدّث لوحده لآخر يوم فيه إدخال)</t>
  </si>
  <si>
    <t>هدف الشهر (طلب)</t>
  </si>
  <si>
    <t>أيام الشهر</t>
  </si>
  <si>
    <t>الهدف اليومي (طلب)</t>
  </si>
  <si>
    <t>الأيام المنقضية</t>
  </si>
  <si>
    <t>الهدف حتى تاريخ التقرير</t>
  </si>
  <si>
    <t>حد "قريب" (نسبة من الهدف)</t>
  </si>
  <si>
    <t>بداية الشهر</t>
  </si>
  <si>
    <t>تاريخ آخر رصيد (الإجمالي الأساسي)</t>
  </si>
  <si>
    <t>طريقة التقييم: هدف كل مندوب = 15 طلب × أيام احتسابه (من أول الشهر أو من تاريخ بدايته، ناقص أيام الغياب بعذر). حقق = إجمالي الطلبات ≥ هدفه. قريب = ≥ 80% من هدفه. بعيد = أقل. "ترك العمل" بيتستبعد.</t>
  </si>
  <si>
    <t>الهدف الشهري حسب المشروع</t>
  </si>
  <si>
    <t>الهدف الشهري</t>
  </si>
  <si>
    <t>امازون: مفيش تارجت طلبات، بيتسجل عدد الشحنات بس. مشروع مش في الجدول بياخد الهدف العام (B3).</t>
  </si>
  <si>
    <t>تم نقل هنقرستيشن</t>
  </si>
  <si>
    <t>دباب الشركة</t>
  </si>
  <si>
    <t>جاري توجية المندوب وتم انذارو</t>
  </si>
  <si>
    <t>مشكلة في نت المندوب وتم حلها</t>
  </si>
  <si>
    <t>اسناد ضعيف</t>
  </si>
  <si>
    <t>اجازة في هذا اليوم</t>
  </si>
  <si>
    <t>تم انذار المندوب</t>
  </si>
  <si>
    <t>حادث ولم يستطع استكمال</t>
  </si>
  <si>
    <t>بدء العمل من يوم 8 اكتوبر</t>
  </si>
  <si>
    <t>بدء العمل من يوم 11 اكتوبر  واصابة في القدم قصرت علي اداء المندوب يومين</t>
  </si>
  <si>
    <t>بدء العمل يوم 13 اكتوبر</t>
  </si>
  <si>
    <t>بدء العمل يوم 14 اكتوبر</t>
  </si>
  <si>
    <t>توقف المندوب عن العمل وعايز خروج نهائي</t>
  </si>
  <si>
    <t>بدء العمل يوم 15 اكتوبر</t>
  </si>
  <si>
    <t xml:space="preserve">كيتا </t>
  </si>
  <si>
    <t>MD ABU BAKAR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</si>
</sst>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quot; مندوب&quot;"/>
    <numFmt numFmtId="165" formatCode="dd/mm/yyyy"/>
    <numFmt numFmtId="166" formatCode="dd/mm"/>
    <numFmt numFmtId="167" formatCode="0.0"/>
  </numFmts>
  <fonts count="25" x14ac:knownFonts="1">
    <font>
      <sz val="11"/>
      <color theme="1"/>
      <name val="Calibri"/>
      <family val="2"/>
      <charset val="1"/>
    </font>
    <font>
      <b/>
      <sz val="18"/>
      <color rgb="FF1F4E78"/>
      <name val="Arial"/>
      <family val="2"/>
    </font>
    <font>
      <sz val="11"/>
      <color rgb="FF555555"/>
      <name val="Arial"/>
      <family val="2"/>
    </font>
    <font>
      <b/>
      <sz val="13"/>
      <color rgb="FF1F4E78"/>
      <name val="Arial"/>
      <family val="2"/>
    </font>
    <font>
      <b/>
      <sz val="11"/>
      <color rgb="FFFFFFFF"/>
      <name val="Arial"/>
      <family val="2"/>
    </font>
    <font>
      <b/>
      <u/>
      <sz val="12"/>
      <color rgb="FFFFFFFF"/>
      <name val="Arial"/>
      <family val="2"/>
    </font>
    <font>
      <b/>
      <sz val="16"/>
      <color rgb="FF1F4E78"/>
      <name val="Arial"/>
      <family val="2"/>
    </font>
    <font>
      <b/>
      <sz val="11"/>
      <color rgb="FF1F4E78"/>
      <name val="Arial"/>
      <family val="2"/>
    </font>
    <font>
      <b/>
      <sz val="12"/>
      <name val="Arial"/>
      <family val="2"/>
    </font>
    <font>
      <b/>
      <sz val="11"/>
      <name val="Arial"/>
      <family val="2"/>
    </font>
    <font>
      <sz val="11"/>
      <name val="Arial"/>
      <family val="2"/>
    </font>
    <font>
      <b/>
      <sz val="11"/>
      <color rgb="FF006100"/>
      <name val="Arial"/>
      <family val="2"/>
    </font>
    <font>
      <b/>
      <sz val="11"/>
      <color rgb="FF9C5700"/>
      <name val="Arial"/>
      <family val="2"/>
    </font>
    <font>
      <b/>
      <sz val="11"/>
      <color rgb="FF9C0006"/>
      <name val="Arial"/>
      <family val="2"/>
    </font>
    <font>
      <i/>
      <sz val="10"/>
      <color rgb="FF555555"/>
      <name val="Arial"/>
      <family val="2"/>
    </font>
    <font>
      <sz val="10.5"/>
      <name val="Arial"/>
      <family val="2"/>
    </font>
    <font>
      <b/>
      <sz val="10.5"/>
      <name val="Arial"/>
      <family val="2"/>
    </font>
    <font>
      <sz val="10.5"/>
      <color rgb="FF0000FF"/>
      <name val="Arial"/>
      <family val="2"/>
    </font>
    <font>
      <b/>
      <sz val="10"/>
      <name val="Arial"/>
      <family val="2"/>
    </font>
    <font>
      <b/>
      <sz val="14"/>
      <name val="Arial"/>
      <family val="2"/>
    </font>
    <font>
      <b/>
      <sz val="11"/>
      <color rgb="FF000000"/>
      <name val="Arial"/>
      <family val="2"/>
    </font>
    <font>
      <b/>
      <sz val="11"/>
      <color rgb="FF0000FF"/>
      <name val="Arial"/>
      <family val="2"/>
    </font>
    <font>
      <i/>
      <sz val="10"/>
      <name val="Arial"/>
      <family val="2"/>
    </font>
    <font>
      <b/>
      <sz val="12"/>
      <color rgb="FF1F4E78"/>
      <name val="Arial"/>
      <family val="2"/>
    </font>
    <font>
      <sz val="11"/>
      <color rgb="FF0000FF"/>
      <name val="Arial"/>
      <family val="2"/>
    </font>
  </fonts>
  <fills count="10">
    <fill>
      <patternFill patternType="none"/>
    </fill>
    <fill>
      <patternFill patternType="gray125"/>
    </fill>
    <fill>
      <patternFill patternType="solid">
        <fgColor rgb="FF1F4E78"/>
        <bgColor rgb="FF003366"/>
      </patternFill>
    </fill>
    <fill>
      <patternFill patternType="solid">
        <fgColor rgb="FF548235"/>
        <bgColor rgb="FF595959"/>
      </patternFill>
    </fill>
    <fill>
      <patternFill patternType="solid">
        <fgColor rgb="FFF2F5FA"/>
        <bgColor rgb="FFEDEDED"/>
      </patternFill>
    </fill>
    <fill>
      <patternFill patternType="solid">
        <fgColor rgb="FFD9E1F2"/>
        <bgColor rgb="FFE2EFDA"/>
      </patternFill>
    </fill>
    <fill>
      <patternFill patternType="solid">
        <fgColor rgb="FFC55A11"/>
        <bgColor rgb="FF9C5700"/>
      </patternFill>
    </fill>
    <fill>
      <patternFill patternType="solid">
        <fgColor rgb="FF7F6000"/>
        <bgColor rgb="FF9C5700"/>
      </patternFill>
    </fill>
    <fill>
      <patternFill patternType="solid">
        <fgColor rgb="FF595959"/>
        <bgColor rgb="FF555555"/>
      </patternFill>
    </fill>
    <fill>
      <patternFill patternType="solid">
        <fgColor rgb="FFFFF9D6"/>
        <bgColor rgb="FFF2F5FA"/>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57">
    <xf numFmtId="0" fontId="0" fillId="0" borderId="0" xfId="0"/>
    <xf numFmtId="0" fontId="9" fillId="5"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3" fontId="6" fillId="4" borderId="1" xfId="0" applyNumberFormat="1" applyFont="1" applyFill="1" applyBorder="1" applyAlignment="1">
      <alignment horizontal="center" vertical="center" wrapText="1"/>
    </xf>
    <xf numFmtId="0" fontId="7" fillId="5" borderId="1" xfId="0" applyFont="1" applyFill="1" applyBorder="1" applyAlignment="1">
      <alignment horizontal="center" vertical="center" wrapText="1"/>
    </xf>
    <xf numFmtId="0" fontId="8" fillId="4" borderId="1" xfId="0" applyFont="1" applyFill="1" applyBorder="1" applyAlignment="1">
      <alignment horizontal="center" vertical="center" wrapText="1"/>
    </xf>
    <xf numFmtId="0" fontId="9" fillId="0" borderId="1" xfId="0" applyFont="1" applyBorder="1" applyAlignment="1">
      <alignment horizontal="center" vertical="center" wrapText="1"/>
    </xf>
    <xf numFmtId="0" fontId="10"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3" fillId="0" borderId="1" xfId="0" applyFont="1" applyBorder="1" applyAlignment="1">
      <alignment horizontal="center" vertical="center" wrapText="1"/>
    </xf>
    <xf numFmtId="9" fontId="10" fillId="0" borderId="1" xfId="0" applyNumberFormat="1" applyFont="1" applyBorder="1" applyAlignment="1">
      <alignment horizontal="center" vertical="center" wrapText="1"/>
    </xf>
    <xf numFmtId="9" fontId="9" fillId="5" borderId="1" xfId="0" applyNumberFormat="1" applyFont="1" applyFill="1" applyBorder="1" applyAlignment="1">
      <alignment horizontal="center" vertical="center" wrapText="1"/>
    </xf>
    <xf numFmtId="3" fontId="7" fillId="5" borderId="1" xfId="0" applyNumberFormat="1" applyFont="1" applyFill="1" applyBorder="1" applyAlignment="1">
      <alignment horizontal="center" vertical="center" wrapText="1"/>
    </xf>
    <xf numFmtId="164" fontId="7" fillId="5" borderId="1" xfId="0" applyNumberFormat="1" applyFont="1" applyFill="1" applyBorder="1" applyAlignment="1">
      <alignment horizontal="center" vertical="center" wrapText="1"/>
    </xf>
    <xf numFmtId="1" fontId="15" fillId="0" borderId="0" xfId="0" applyNumberFormat="1" applyFont="1" applyAlignment="1">
      <alignment horizontal="center" vertical="center" wrapText="1"/>
    </xf>
    <xf numFmtId="0" fontId="15" fillId="0" borderId="0" xfId="0" applyFont="1" applyAlignment="1">
      <alignment horizontal="right" vertical="center" wrapText="1"/>
    </xf>
    <xf numFmtId="0" fontId="15" fillId="0" borderId="0" xfId="0" applyFont="1" applyAlignment="1">
      <alignment horizontal="center" vertical="center" wrapText="1"/>
    </xf>
    <xf numFmtId="3" fontId="16" fillId="0" borderId="0" xfId="0" applyNumberFormat="1" applyFont="1" applyAlignment="1">
      <alignment horizontal="center" vertical="center" wrapText="1"/>
    </xf>
    <xf numFmtId="3" fontId="15" fillId="0" borderId="0" xfId="0" applyNumberFormat="1" applyFont="1" applyAlignment="1">
      <alignment horizontal="center" vertical="center" wrapText="1"/>
    </xf>
    <xf numFmtId="165" fontId="15" fillId="0" borderId="0" xfId="0" applyNumberFormat="1" applyFont="1" applyAlignment="1">
      <alignment horizontal="center" vertical="center" wrapText="1"/>
    </xf>
    <xf numFmtId="9" fontId="15" fillId="0" borderId="0" xfId="0" applyNumberFormat="1" applyFont="1" applyAlignment="1">
      <alignment horizontal="center" vertical="center" wrapText="1"/>
    </xf>
    <xf numFmtId="0" fontId="16" fillId="0" borderId="0" xfId="0" applyFont="1" applyAlignment="1">
      <alignment horizontal="center" vertical="center" wrapText="1"/>
    </xf>
    <xf numFmtId="0" fontId="4" fillId="6" borderId="1" xfId="0" applyFont="1" applyFill="1" applyBorder="1" applyAlignment="1">
      <alignment horizontal="center" vertical="center" wrapText="1"/>
    </xf>
    <xf numFmtId="0" fontId="4" fillId="7" borderId="1" xfId="0" applyFont="1" applyFill="1" applyBorder="1" applyAlignment="1">
      <alignment horizontal="center" vertical="center" wrapText="1"/>
    </xf>
    <xf numFmtId="166" fontId="4" fillId="2" borderId="1" xfId="0" applyNumberFormat="1" applyFont="1" applyFill="1" applyBorder="1" applyAlignment="1">
      <alignment horizontal="center" vertical="center" wrapText="1"/>
    </xf>
    <xf numFmtId="0" fontId="4" fillId="8" borderId="1" xfId="0" applyFont="1" applyFill="1" applyBorder="1" applyAlignment="1">
      <alignment horizontal="center" vertical="center" wrapText="1"/>
    </xf>
    <xf numFmtId="0" fontId="0" fillId="5" borderId="1" xfId="0" applyFill="1" applyBorder="1"/>
    <xf numFmtId="0" fontId="9" fillId="5" borderId="1" xfId="0" applyFont="1" applyFill="1" applyBorder="1"/>
    <xf numFmtId="1" fontId="17" fillId="0" borderId="1" xfId="0" applyNumberFormat="1" applyFont="1" applyBorder="1" applyAlignment="1">
      <alignment horizontal="center" vertical="center" wrapText="1"/>
    </xf>
    <xf numFmtId="0" fontId="17" fillId="0" borderId="1" xfId="0" applyFont="1" applyBorder="1" applyAlignment="1">
      <alignment horizontal="right" vertical="center" wrapText="1"/>
    </xf>
    <xf numFmtId="0" fontId="17" fillId="0" borderId="1" xfId="0" applyFont="1" applyBorder="1" applyAlignment="1">
      <alignment horizontal="center" vertical="center" wrapText="1"/>
    </xf>
    <xf numFmtId="0" fontId="18" fillId="0" borderId="1" xfId="0" applyFont="1" applyBorder="1" applyAlignment="1">
      <alignment horizontal="center" vertical="center" wrapText="1"/>
    </xf>
    <xf numFmtId="165" fontId="17" fillId="9" borderId="1" xfId="0" applyNumberFormat="1" applyFont="1" applyFill="1" applyBorder="1" applyAlignment="1">
      <alignment horizontal="center" vertical="center" wrapText="1"/>
    </xf>
    <xf numFmtId="0" fontId="17" fillId="9" borderId="1" xfId="0" applyFont="1" applyFill="1" applyBorder="1" applyAlignment="1">
      <alignment horizontal="center" vertical="center" wrapText="1"/>
    </xf>
    <xf numFmtId="3" fontId="16" fillId="0" borderId="1" xfId="0" applyNumberFormat="1" applyFont="1" applyBorder="1" applyAlignment="1">
      <alignment horizontal="center" vertical="center" wrapText="1"/>
    </xf>
    <xf numFmtId="0" fontId="16" fillId="0" borderId="1" xfId="0" applyFont="1" applyBorder="1" applyAlignment="1">
      <alignment horizontal="center" vertical="center" wrapText="1"/>
    </xf>
    <xf numFmtId="0" fontId="19" fillId="0" borderId="0" xfId="0" applyFont="1"/>
    <xf numFmtId="0" fontId="9" fillId="0" borderId="1" xfId="0" applyFont="1" applyBorder="1" applyAlignment="1">
      <alignment horizontal="right" vertical="center" wrapText="1"/>
    </xf>
    <xf numFmtId="165" fontId="20" fillId="0" borderId="1" xfId="0" applyNumberFormat="1" applyFont="1" applyBorder="1" applyAlignment="1">
      <alignment horizontal="center" vertical="center" wrapText="1"/>
    </xf>
    <xf numFmtId="1" fontId="21" fillId="9" borderId="1" xfId="0" applyNumberFormat="1" applyFont="1" applyFill="1" applyBorder="1" applyAlignment="1">
      <alignment horizontal="center" vertical="center" wrapText="1"/>
    </xf>
    <xf numFmtId="167" fontId="20" fillId="0" borderId="1" xfId="0" applyNumberFormat="1" applyFont="1" applyBorder="1" applyAlignment="1">
      <alignment horizontal="center" vertical="center" wrapText="1"/>
    </xf>
    <xf numFmtId="1" fontId="20" fillId="0" borderId="1" xfId="0" applyNumberFormat="1" applyFont="1" applyBorder="1" applyAlignment="1">
      <alignment horizontal="center" vertical="center" wrapText="1"/>
    </xf>
    <xf numFmtId="9" fontId="21" fillId="9" borderId="1" xfId="0" applyNumberFormat="1" applyFont="1" applyFill="1" applyBorder="1" applyAlignment="1">
      <alignment horizontal="center" vertical="center" wrapText="1"/>
    </xf>
    <xf numFmtId="165" fontId="21" fillId="9" borderId="1" xfId="0" applyNumberFormat="1" applyFont="1" applyFill="1" applyBorder="1" applyAlignment="1">
      <alignment horizontal="center" vertical="center" wrapText="1"/>
    </xf>
    <xf numFmtId="0" fontId="23" fillId="0" borderId="0" xfId="0" applyFont="1"/>
    <xf numFmtId="0" fontId="20" fillId="0" borderId="1" xfId="0" applyFont="1" applyBorder="1" applyAlignment="1">
      <alignment horizontal="center" vertical="center" wrapText="1"/>
    </xf>
    <xf numFmtId="0" fontId="24" fillId="9" borderId="1" xfId="0" applyFont="1" applyFill="1" applyBorder="1" applyAlignment="1">
      <alignment horizontal="center" vertical="center" wrapText="1"/>
    </xf>
    <xf numFmtId="0" fontId="1" fillId="0" borderId="0" xfId="0" applyFont="1" applyAlignment="1">
      <alignment horizontal="center" vertical="center" wrapText="1"/>
    </xf>
    <xf numFmtId="0" fontId="2" fillId="0" borderId="0" xfId="0" applyFont="1" applyAlignment="1">
      <alignment horizontal="center" vertical="center" wrapText="1"/>
    </xf>
    <xf numFmtId="0" fontId="3" fillId="0" borderId="0" xfId="0" applyFont="1" applyAlignment="1">
      <alignment horizontal="right" vertical="center"/>
    </xf>
    <xf numFmtId="0" fontId="5" fillId="3" borderId="0" xfId="0" applyFont="1" applyFill="1" applyAlignment="1">
      <alignment horizontal="center" vertical="center" wrapText="1"/>
    </xf>
    <xf numFmtId="0" fontId="14" fillId="0" borderId="0" xfId="0" applyFont="1" applyAlignment="1">
      <alignment horizontal="right" vertical="center" wrapText="1"/>
    </xf>
    <xf numFmtId="0" fontId="4" fillId="2" borderId="1" xfId="0" applyFont="1" applyFill="1" applyBorder="1" applyAlignment="1">
      <alignment horizontal="center" vertical="center" wrapText="1"/>
    </xf>
    <xf numFmtId="0" fontId="6" fillId="0" borderId="0" xfId="0" applyFont="1" applyAlignment="1">
      <alignment horizontal="center" vertical="center" wrapText="1"/>
    </xf>
    <xf numFmtId="0" fontId="9" fillId="5" borderId="1" xfId="0" applyFont="1" applyFill="1" applyBorder="1" applyAlignment="1">
      <alignment horizontal="center" vertical="center" wrapText="1"/>
    </xf>
    <xf numFmtId="0" fontId="22" fillId="0" borderId="0" xfId="0" applyFont="1" applyAlignment="1">
      <alignment horizontal="right" vertical="center" wrapText="1"/>
    </xf>
  </cellXfs>
  <cellStyles count="1">
    <cellStyle name="Normal" xfId="0" builtinId="0"/>
  </cellStyles>
  <dxfs count="12">
    <dxf>
      <font>
        <b/>
        <color rgb="FF9C5700"/>
      </font>
    </dxf>
    <dxf>
      <font>
        <b/>
        <color rgb="FF9C0006"/>
      </font>
    </dxf>
    <dxf>
      <font>
        <b/>
        <color rgb="FF006100"/>
      </font>
    </dxf>
    <dxf>
      <fill>
        <patternFill>
          <bgColor rgb="FFFFC7CE"/>
        </patternFill>
      </fill>
    </dxf>
    <dxf>
      <fill>
        <patternFill>
          <bgColor rgb="FFFFC7CE"/>
        </patternFill>
      </fill>
    </dxf>
    <dxf>
      <fill>
        <patternFill>
          <bgColor rgb="FFE2EFDA"/>
        </patternFill>
      </fill>
    </dxf>
    <dxf>
      <font>
        <b/>
        <color rgb="FF555555"/>
      </font>
      <fill>
        <patternFill>
          <bgColor rgb="FFEDEDED"/>
        </patternFill>
      </fill>
    </dxf>
    <dxf>
      <font>
        <b/>
        <color rgb="FF9C0006"/>
      </font>
      <fill>
        <patternFill>
          <bgColor rgb="FFFFC7CE"/>
        </patternFill>
      </fill>
    </dxf>
    <dxf>
      <font>
        <b/>
        <color rgb="FF9C5700"/>
      </font>
      <fill>
        <patternFill>
          <bgColor rgb="FFFFEB9C"/>
        </patternFill>
      </fill>
    </dxf>
    <dxf>
      <font>
        <b/>
        <color rgb="FF006100"/>
      </font>
      <fill>
        <patternFill>
          <bgColor rgb="FFC6EFCE"/>
        </patternFill>
      </fill>
    </dxf>
    <dxf>
      <fill>
        <patternFill>
          <bgColor rgb="FFF2F5FA"/>
        </patternFill>
      </fill>
    </dxf>
    <dxf>
      <border diagonalUp="0" diagonalDown="0">
        <left style="thin">
          <color rgb="FFBFBFBF"/>
        </left>
        <right style="thin">
          <color rgb="FFBFBFBF"/>
        </right>
        <top style="thin">
          <color rgb="FFBFBFBF"/>
        </top>
        <bottom style="thin">
          <color rgb="FFBFBFBF"/>
        </bottom>
      </border>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6100"/>
      <rgbColor rgb="FF000080"/>
      <rgbColor rgb="FF7F6000"/>
      <rgbColor rgb="FF800080"/>
      <rgbColor rgb="FF008080"/>
      <rgbColor rgb="FFBFBFBF"/>
      <rgbColor rgb="FF808080"/>
      <rgbColor rgb="FF9999FF"/>
      <rgbColor rgb="FF993366"/>
      <rgbColor rgb="FFFFF9D6"/>
      <rgbColor rgb="FFE2EFDA"/>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F2F5FA"/>
      <rgbColor rgb="FFC6EFCE"/>
      <rgbColor rgb="FFFFEB9C"/>
      <rgbColor rgb="FFEDEDED"/>
      <rgbColor rgb="FFFF99CC"/>
      <rgbColor rgb="FFCC99FF"/>
      <rgbColor rgb="FFFFC7CE"/>
      <rgbColor rgb="FF3366FF"/>
      <rgbColor rgb="FF33CCCC"/>
      <rgbColor rgb="FF99CC00"/>
      <rgbColor rgb="FFFFCC00"/>
      <rgbColor rgb="FFFF9900"/>
      <rgbColor rgb="FFC55A11"/>
      <rgbColor rgb="FF595959"/>
      <rgbColor rgb="FF969696"/>
      <rgbColor rgb="FF003366"/>
      <rgbColor rgb="FF548235"/>
      <rgbColor rgb="FF003300"/>
      <rgbColor rgb="FF333300"/>
      <rgbColor rgb="FF9C5700"/>
      <rgbColor rgb="FF993366"/>
      <rgbColor rgb="FF1F4E78"/>
      <rgbColor rgb="FF555555"/>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S260"/>
  <sheetViews>
    <sheetView showGridLines="0" rightToLeft="1" tabSelected="1" zoomScaleNormal="100" workbookViewId="0">
      <selection activeCell="J17" sqref="J17"/>
    </sheetView>
  </sheetViews>
  <sheetFormatPr defaultColWidth="8.6640625" defaultRowHeight="14.4" x14ac:dyDescent="0.3"/>
  <cols>
    <col min="1" max="1" width="14" customWidth="1"/>
    <col min="2" max="2" width="30" customWidth="1"/>
    <col min="3" max="3" width="14" customWidth="1"/>
    <col min="4" max="5" width="12" customWidth="1"/>
    <col min="6" max="6" width="13" customWidth="1"/>
    <col min="7" max="7" width="12" customWidth="1"/>
    <col min="8" max="8" width="13" customWidth="1"/>
    <col min="9" max="9" width="11" customWidth="1"/>
    <col min="10" max="10" width="12" customWidth="1"/>
    <col min="11" max="14" width="11" customWidth="1"/>
    <col min="15" max="15" width="12" customWidth="1"/>
    <col min="16" max="16" width="20" customWidth="1"/>
    <col min="17" max="17" width="40" customWidth="1"/>
    <col min="18" max="18" width="6" hidden="1" customWidth="1"/>
    <col min="19" max="19" width="8" hidden="1" customWidth="1"/>
  </cols>
  <sheetData>
    <row r="1" spans="1:17" ht="33.75" customHeight="1" x14ac:dyDescent="0.3">
      <c r="A1" s="48" t="str">
        <f>"تقرير تحقيق المناديب – حتى "&amp;TEXT(الإعدادات!$B$2,"dd/mm/yyyy")</f>
        <v>تقرير تحقيق المناديب – حتى 17/10/2026</v>
      </c>
      <c r="B1" s="48"/>
      <c r="C1" s="48"/>
      <c r="D1" s="48"/>
      <c r="E1" s="48"/>
      <c r="F1" s="48"/>
      <c r="G1" s="48"/>
      <c r="H1" s="48"/>
      <c r="I1" s="48"/>
      <c r="J1" s="48"/>
      <c r="K1" s="48"/>
      <c r="L1" s="48"/>
      <c r="M1" s="48"/>
      <c r="N1" s="48"/>
      <c r="O1" s="48"/>
      <c r="P1" s="48"/>
      <c r="Q1" s="48"/>
    </row>
    <row r="2" spans="1:17" x14ac:dyDescent="0.3">
      <c r="A2" s="49" t="str">
        <f>"التارجت الشهري: هنجرستيشن "&amp;الإعدادات!$B$19&amp;" – كيتا "&amp;الإعدادات!$B$20&amp;" – نينجا "&amp;الإعدادات!$B$21&amp;" طلب  |  الهدف اليومي = التارجت ÷ "&amp;الإعدادات!$B$4&amp;"  |  الهدف = اليومي × أيام الاحتساب (أيام فيها طلبات)"</f>
        <v>التارجت الشهري: هنجرستيشن 450 – كيتا 450 – نينجا 360 طلب  |  الهدف اليومي = التارجت ÷ 30  |  الهدف = اليومي × أيام الاحتساب (أيام فيها طلبات)</v>
      </c>
      <c r="B2" s="49"/>
      <c r="C2" s="49"/>
      <c r="D2" s="49"/>
      <c r="E2" s="49"/>
      <c r="F2" s="49"/>
      <c r="G2" s="49"/>
      <c r="H2" s="49"/>
      <c r="I2" s="49"/>
      <c r="J2" s="49"/>
      <c r="K2" s="49"/>
      <c r="L2" s="49"/>
      <c r="M2" s="49"/>
      <c r="N2" s="49"/>
      <c r="O2" s="49"/>
      <c r="P2" s="49"/>
      <c r="Q2" s="49"/>
    </row>
    <row r="3" spans="1:17" ht="16.8" x14ac:dyDescent="0.3">
      <c r="A3" s="50" t="s">
        <v>0</v>
      </c>
      <c r="B3" s="50"/>
      <c r="C3" s="50"/>
      <c r="D3" s="50"/>
      <c r="E3" s="50"/>
      <c r="F3" s="50"/>
      <c r="G3" s="50"/>
      <c r="H3" s="50"/>
      <c r="I3" s="50"/>
      <c r="J3" s="50"/>
      <c r="K3" s="50"/>
      <c r="L3" s="50"/>
      <c r="M3" s="50"/>
      <c r="N3" s="50"/>
      <c r="O3" s="50"/>
      <c r="P3" s="50"/>
      <c r="Q3" s="50"/>
    </row>
    <row r="4" spans="1:17" ht="30" customHeight="1" x14ac:dyDescent="0.3">
      <c r="B4" s="2" t="s">
        <v>1</v>
      </c>
      <c r="C4" s="2" t="s">
        <v>2</v>
      </c>
      <c r="D4" s="2" t="s">
        <v>3</v>
      </c>
      <c r="E4" s="2" t="s">
        <v>4</v>
      </c>
      <c r="L4" s="51" t="str">
        <f>HYPERLINK("#'الإدخال اليومي'!A"&amp;(5+COUNTA('الإدخال اليومي'!$B$5:$B$234)),"➕ إضافة مندوب جديد (اضغط هنا)")</f>
        <v>➕ إضافة مندوب جديد (اضغط هنا)</v>
      </c>
      <c r="M4" s="51"/>
      <c r="N4" s="51"/>
      <c r="O4" s="51"/>
    </row>
    <row r="5" spans="1:17" ht="33.75" customHeight="1" x14ac:dyDescent="0.3">
      <c r="B5" s="3">
        <f>SUMIFS($R$31:$R$260,$S$31:$S$260,"يعمل")</f>
        <v>167</v>
      </c>
      <c r="C5" s="3">
        <f>SUMIFS($R$31:$R$260,$E$31:$E$260,"كفالة",$S$31:$S$260,"يعمل")</f>
        <v>98</v>
      </c>
      <c r="D5" s="3">
        <f>SUMIFS($R$31:$R$260,$E$31:$E$260,"فري لانسر",$S$31:$S$260,"يعمل")</f>
        <v>56</v>
      </c>
      <c r="E5" s="3">
        <f>SUMIFS($R$31:$R$260,$E$31:$E$260,"يوزرات",$S$31:$S$260,"يعمل")</f>
        <v>13</v>
      </c>
      <c r="L5" s="51"/>
      <c r="M5" s="51"/>
      <c r="N5" s="51"/>
      <c r="O5" s="51"/>
    </row>
    <row r="7" spans="1:17" ht="16.8" x14ac:dyDescent="0.3">
      <c r="A7" s="50" t="s">
        <v>5</v>
      </c>
      <c r="B7" s="50"/>
      <c r="C7" s="50"/>
      <c r="D7" s="50"/>
      <c r="E7" s="50"/>
      <c r="F7" s="50"/>
      <c r="G7" s="50"/>
      <c r="H7" s="50"/>
      <c r="I7" s="50"/>
      <c r="J7" s="50"/>
      <c r="K7" s="50"/>
      <c r="L7" s="50"/>
      <c r="M7" s="50"/>
      <c r="N7" s="50"/>
      <c r="O7" s="50"/>
      <c r="P7" s="50"/>
      <c r="Q7" s="50"/>
    </row>
    <row r="8" spans="1:17" ht="15" customHeight="1" x14ac:dyDescent="0.3">
      <c r="B8" s="53" t="s">
        <v>6</v>
      </c>
      <c r="C8" s="53" t="s">
        <v>7</v>
      </c>
      <c r="D8" s="53"/>
      <c r="E8" s="53"/>
      <c r="F8" s="53" t="s">
        <v>8</v>
      </c>
      <c r="G8" s="53"/>
      <c r="H8" s="53"/>
      <c r="I8" s="53" t="s">
        <v>9</v>
      </c>
      <c r="J8" s="53"/>
      <c r="K8" s="53"/>
      <c r="L8" s="53" t="s">
        <v>10</v>
      </c>
      <c r="M8" s="53"/>
      <c r="N8" s="53"/>
    </row>
    <row r="9" spans="1:17" x14ac:dyDescent="0.3">
      <c r="B9" s="53"/>
      <c r="C9" s="4" t="s">
        <v>11</v>
      </c>
      <c r="D9" s="4" t="s">
        <v>3</v>
      </c>
      <c r="E9" s="4" t="s">
        <v>4</v>
      </c>
      <c r="F9" s="4" t="s">
        <v>11</v>
      </c>
      <c r="G9" s="4" t="s">
        <v>3</v>
      </c>
      <c r="H9" s="4" t="s">
        <v>4</v>
      </c>
      <c r="I9" s="4" t="s">
        <v>11</v>
      </c>
      <c r="J9" s="4" t="s">
        <v>3</v>
      </c>
      <c r="K9" s="4" t="s">
        <v>4</v>
      </c>
      <c r="L9" s="4" t="s">
        <v>11</v>
      </c>
      <c r="M9" s="4" t="s">
        <v>3</v>
      </c>
      <c r="N9" s="4" t="s">
        <v>4</v>
      </c>
    </row>
    <row r="10" spans="1:17" ht="15.6" x14ac:dyDescent="0.3">
      <c r="B10" s="5">
        <f>SUM(C10:N10)</f>
        <v>167</v>
      </c>
      <c r="C10" s="6">
        <f>SUMIFS($R$31:$R$260,$C$31:$C$260,"امازون",$E$31:$E$260,"كفالة",$S$31:$S$260,"يعمل")</f>
        <v>48</v>
      </c>
      <c r="D10" s="6">
        <f>SUMIFS($R$31:$R$260,$C$31:$C$260,"امازون",$E$31:$E$260,"فري لانسر",$S$31:$S$260,"يعمل")</f>
        <v>2</v>
      </c>
      <c r="E10" s="6">
        <f>SUMIFS($R$31:$R$260,$C$31:$C$260,"امازون",$E$31:$E$260,"يوزرات",$S$31:$S$260,"يعمل")</f>
        <v>0</v>
      </c>
      <c r="F10" s="6">
        <f>SUMIFS($R$31:$R$260,$C$31:$C$260,"كيتا",$E$31:$E$260,"كفالة",$S$31:$S$260,"يعمل")</f>
        <v>28</v>
      </c>
      <c r="G10" s="6">
        <f>SUMIFS($R$31:$R$260,$C$31:$C$260,"كيتا",$E$31:$E$260,"فري لانسر",$S$31:$S$260,"يعمل")</f>
        <v>46</v>
      </c>
      <c r="H10" s="6">
        <f>SUMIFS($R$31:$R$260,$C$31:$C$260,"كيتا",$E$31:$E$260,"يوزرات",$S$31:$S$260,"يعمل")</f>
        <v>0</v>
      </c>
      <c r="I10" s="6">
        <f>SUMIFS($R$31:$R$260,$C$31:$C$260,"هنجرستيشن",$E$31:$E$260,"كفالة",$S$31:$S$260,"يعمل")</f>
        <v>22</v>
      </c>
      <c r="J10" s="6">
        <f>SUMIFS($R$31:$R$260,$C$31:$C$260,"هنجرستيشن",$E$31:$E$260,"فري لانسر",$S$31:$S$260,"يعمل")</f>
        <v>4</v>
      </c>
      <c r="K10" s="6">
        <f>SUMIFS($R$31:$R$260,$C$31:$C$260,"هنجرستيشن",$E$31:$E$260,"يوزرات",$S$31:$S$260,"يعمل")</f>
        <v>0</v>
      </c>
      <c r="L10" s="6">
        <f>SUMIFS($R$31:$R$260,$C$31:$C$260,"نينجا",$E$31:$E$260,"كفالة",$S$31:$S$260,"يعمل")</f>
        <v>0</v>
      </c>
      <c r="M10" s="6">
        <f>SUMIFS($R$31:$R$260,$C$31:$C$260,"نينجا",$E$31:$E$260,"فري لانسر",$S$31:$S$260,"يعمل")</f>
        <v>4</v>
      </c>
      <c r="N10" s="6">
        <f>SUMIFS($R$31:$R$260,$C$31:$C$260,"نينجا",$E$31:$E$260,"يوزرات",$S$31:$S$260,"يعمل")</f>
        <v>13</v>
      </c>
    </row>
    <row r="12" spans="1:17" ht="16.8" x14ac:dyDescent="0.3">
      <c r="A12" s="50" t="s">
        <v>12</v>
      </c>
      <c r="B12" s="50"/>
      <c r="C12" s="50"/>
      <c r="D12" s="50"/>
      <c r="E12" s="50"/>
      <c r="F12" s="50"/>
      <c r="G12" s="50"/>
      <c r="H12" s="50"/>
      <c r="I12" s="50"/>
      <c r="J12" s="50"/>
      <c r="K12" s="50"/>
      <c r="L12" s="50"/>
      <c r="M12" s="50"/>
      <c r="N12" s="50"/>
      <c r="O12" s="50"/>
      <c r="P12" s="50"/>
      <c r="Q12" s="50"/>
    </row>
    <row r="13" spans="1:17" ht="25.5" customHeight="1" x14ac:dyDescent="0.3">
      <c r="B13" s="2" t="s">
        <v>13</v>
      </c>
      <c r="C13" s="2" t="s">
        <v>14</v>
      </c>
      <c r="D13" s="2" t="s">
        <v>0</v>
      </c>
      <c r="E13" s="2" t="s">
        <v>15</v>
      </c>
      <c r="F13" s="2" t="s">
        <v>16</v>
      </c>
      <c r="G13" s="2" t="s">
        <v>17</v>
      </c>
      <c r="H13" s="2" t="s">
        <v>18</v>
      </c>
      <c r="I13" s="2" t="s">
        <v>19</v>
      </c>
    </row>
    <row r="14" spans="1:17" x14ac:dyDescent="0.3">
      <c r="B14" s="7" t="s">
        <v>20</v>
      </c>
      <c r="C14" s="6" t="s">
        <v>9</v>
      </c>
      <c r="D14" s="7">
        <f>IF(AND($B14="",$C14=""),"",SUMIFS($R$31:$R$260,$H$31:$H$260,IF($B14="","*",$B14),$C$31:$C$260,IF($C14="","*",$C14),$S$31:$S$260,"يعمل"))</f>
        <v>26</v>
      </c>
      <c r="E14" s="8">
        <f>IF(AND($B14="",$C14=""),"",SUMIFS($R$31:$R$260,$H$31:$H$260,IF($B14="","*",$B14),$C$31:$C$260,IF($C14="","*",$C14),$P$31:$P$260,"حقق"))</f>
        <v>14</v>
      </c>
      <c r="F14" s="9">
        <f>IF(AND($B14="",$C14=""),"",SUMIFS($R$31:$R$260,$H$31:$H$260,IF($B14="","*",$B14),$C$31:$C$260,IF($C14="","*",$C14),$P$31:$P$260,"قريب"))</f>
        <v>4</v>
      </c>
      <c r="G14" s="10">
        <f>IF(AND($B14="",$C14=""),"",SUMIFS($R$31:$R$260,$H$31:$H$260,IF($B14="","*",$B14),$C$31:$C$260,IF($C14="","*",$C14),$P$31:$P$260,"بعيد"))</f>
        <v>8</v>
      </c>
      <c r="H14" s="11">
        <f t="shared" ref="H14:H21" si="0">IF(AND($B14="",$C14=""),"",IF(E14+F14+G14=0,0,E14/(E14+F14+G14)))</f>
        <v>0.53846153846153844</v>
      </c>
      <c r="I14" s="7">
        <f>IF(AND($B14="",$C14=""),"",SUMIFS($G$31:$G$260,$H$31:$H$260,IF($B14="","*",$B14),$C$31:$C$260,IF($C14="","*",$C14),$R$31:$R$260,1))</f>
        <v>0</v>
      </c>
    </row>
    <row r="15" spans="1:17" x14ac:dyDescent="0.3">
      <c r="B15" s="7" t="s">
        <v>20</v>
      </c>
      <c r="C15" s="6" t="s">
        <v>8</v>
      </c>
      <c r="D15" s="7">
        <f>IF(AND($B15="",$C15=""),"",SUMIFS($R$31:$R$260,$H$31:$H$260,IF($B15="","*",$B15),$C$31:$C$260,IF($C15="","*",$C15),$S$31:$S$260,"يعمل"))</f>
        <v>26</v>
      </c>
      <c r="E15" s="8">
        <f>IF(AND($B15="",$C15=""),"",SUMIFS($R$31:$R$260,$H$31:$H$260,IF($B15="","*",$B15),$C$31:$C$260,IF($C15="","*",$C15),$P$31:$P$260,"حقق"))</f>
        <v>23</v>
      </c>
      <c r="F15" s="9">
        <f>IF(AND($B15="",$C15=""),"",SUMIFS($R$31:$R$260,$H$31:$H$260,IF($B15="","*",$B15),$C$31:$C$260,IF($C15="","*",$C15),$P$31:$P$260,"قريب"))</f>
        <v>2</v>
      </c>
      <c r="G15" s="10">
        <f>IF(AND($B15="",$C15=""),"",SUMIFS($R$31:$R$260,$H$31:$H$260,IF($B15="","*",$B15),$C$31:$C$260,IF($C15="","*",$C15),$P$31:$P$260,"بعيد"))</f>
        <v>1</v>
      </c>
      <c r="H15" s="11">
        <f t="shared" si="0"/>
        <v>0.88461538461538458</v>
      </c>
      <c r="I15" s="7">
        <f>IF(AND($B15="",$C15=""),"",SUMIFS($G$31:$G$260,$H$31:$H$260,IF($B15="","*",$B15),$C$31:$C$260,IF($C15="","*",$C15),$R$31:$R$260,1))</f>
        <v>0</v>
      </c>
    </row>
    <row r="16" spans="1:17" x14ac:dyDescent="0.3">
      <c r="B16" s="7" t="s">
        <v>21</v>
      </c>
      <c r="C16" s="6" t="s">
        <v>8</v>
      </c>
      <c r="D16" s="7">
        <f>IF(AND($B16="",$C16=""),"",SUMIFS($R$31:$R$260,$H$31:$H$260,IF($B16="","*",$B16),$C$31:$C$260,IF($C16="","*",$C16),$S$31:$S$260,"يعمل"))</f>
        <v>47</v>
      </c>
      <c r="E16" s="8">
        <f>IF(AND($B16="",$C16=""),"",SUMIFS($R$31:$R$260,$H$31:$H$260,IF($B16="","*",$B16),$C$31:$C$260,IF($C16="","*",$C16),$P$31:$P$260,"حقق"))</f>
        <v>32</v>
      </c>
      <c r="F16" s="9">
        <f>IF(AND($B16="",$C16=""),"",SUMIFS($R$31:$R$260,$H$31:$H$260,IF($B16="","*",$B16),$C$31:$C$260,IF($C16="","*",$C16),$P$31:$P$260,"قريب"))</f>
        <v>6</v>
      </c>
      <c r="G16" s="10">
        <f>IF(AND($B16="",$C16=""),"",SUMIFS($R$31:$R$260,$H$31:$H$260,IF($B16="","*",$B16),$C$31:$C$260,IF($C16="","*",$C16),$P$31:$P$260,"بعيد"))</f>
        <v>9</v>
      </c>
      <c r="H16" s="11">
        <f t="shared" si="0"/>
        <v>0.68085106382978722</v>
      </c>
      <c r="I16" s="7">
        <f>IF(AND($B16="",$C16=""),"",SUMIFS($G$31:$G$260,$H$31:$H$260,IF($B16="","*",$B16),$C$31:$C$260,IF($C16="","*",$C16),$R$31:$R$260,1))</f>
        <v>0</v>
      </c>
    </row>
    <row r="17" spans="1:19" x14ac:dyDescent="0.3">
      <c r="B17" s="7" t="s">
        <v>21</v>
      </c>
      <c r="C17" s="6" t="s">
        <v>10</v>
      </c>
      <c r="D17" s="7">
        <f>IF(AND($B17="",$C17=""),"",SUMIFS($R$31:$R$260,$H$31:$H$260,IF($B17="","*",$B17),$C$31:$C$260,IF($C17="","*",$C17),$S$31:$S$260,"يعمل"))</f>
        <v>17</v>
      </c>
      <c r="E17" s="8">
        <f>IF(AND($B17="",$C17=""),"",SUMIFS($R$31:$R$260,$H$31:$H$260,IF($B17="","*",$B17),$C$31:$C$260,IF($C17="","*",$C17),$P$31:$P$260,"حقق"))</f>
        <v>5</v>
      </c>
      <c r="F17" s="9">
        <f>IF(AND($B17="",$C17=""),"",SUMIFS($R$31:$R$260,$H$31:$H$260,IF($B17="","*",$B17),$C$31:$C$260,IF($C17="","*",$C17),$P$31:$P$260,"قريب"))</f>
        <v>3</v>
      </c>
      <c r="G17" s="10">
        <f>IF(AND($B17="",$C17=""),"",SUMIFS($R$31:$R$260,$H$31:$H$260,IF($B17="","*",$B17),$C$31:$C$260,IF($C17="","*",$C17),$P$31:$P$260,"بعيد"))</f>
        <v>9</v>
      </c>
      <c r="H17" s="11">
        <f t="shared" si="0"/>
        <v>0.29411764705882354</v>
      </c>
      <c r="I17" s="7">
        <f>IF(AND($B17="",$C17=""),"",SUMIFS($G$31:$G$260,$H$31:$H$260,IF($B17="","*",$B17),$C$31:$C$260,IF($C17="","*",$C17),$R$31:$R$260,1))</f>
        <v>0</v>
      </c>
    </row>
    <row r="18" spans="1:19" x14ac:dyDescent="0.3">
      <c r="B18" s="7" t="s">
        <v>22</v>
      </c>
      <c r="C18" s="6" t="s">
        <v>7</v>
      </c>
      <c r="D18" s="7">
        <f>IF(AND($B18="",$C18=""),"",SUMIFS($R$31:$R$260,$H$31:$H$260,IF($B18="","*",$B18),$C$31:$C$260,IF($C18="","*",$C18),$S$31:$S$260,"يعمل"))</f>
        <v>50</v>
      </c>
      <c r="E18" s="8">
        <f>IF(AND($B18="",$C18=""),"",SUMIFS($R$31:$R$260,$H$31:$H$260,IF($B18="","*",$B18),$C$31:$C$260,IF($C18="","*",$C18),$P$31:$P$260,"حقق"))</f>
        <v>0</v>
      </c>
      <c r="F18" s="9">
        <f>IF(AND($B18="",$C18=""),"",SUMIFS($R$31:$R$260,$H$31:$H$260,IF($B18="","*",$B18),$C$31:$C$260,IF($C18="","*",$C18),$P$31:$P$260,"قريب"))</f>
        <v>0</v>
      </c>
      <c r="G18" s="10">
        <f>IF(AND($B18="",$C18=""),"",SUMIFS($R$31:$R$260,$H$31:$H$260,IF($B18="","*",$B18),$C$31:$C$260,IF($C18="","*",$C18),$P$31:$P$260,"بعيد"))</f>
        <v>0</v>
      </c>
      <c r="H18" s="11">
        <f t="shared" si="0"/>
        <v>0</v>
      </c>
      <c r="I18" s="7">
        <f>IF(AND($B18="",$C18=""),"",SUMIFS($G$31:$G$260,$H$31:$H$260,IF($B18="","*",$B18),$C$31:$C$260,IF($C18="","*",$C18),$R$31:$R$260,1))</f>
        <v>0</v>
      </c>
    </row>
    <row r="19" spans="1:19" x14ac:dyDescent="0.3">
      <c r="B19" s="7"/>
      <c r="C19" s="6"/>
      <c r="D19" s="7" t="str">
        <f>IF(AND($B19="",$C19=""),"",SUMIFS($R$31:$R$260,$H$31:$H$260,IF($B19="","*",$B19),$C$31:$C$260,IF($C19="","*",$C19),$S$31:$S$260,"يعمل"))</f>
        <v/>
      </c>
      <c r="E19" s="8" t="str">
        <f>IF(AND($B19="",$C19=""),"",SUMIFS($R$31:$R$260,$H$31:$H$260,IF($B19="","*",$B19),$C$31:$C$260,IF($C19="","*",$C19),$P$31:$P$260,"حقق"))</f>
        <v/>
      </c>
      <c r="F19" s="9" t="str">
        <f>IF(AND($B19="",$C19=""),"",SUMIFS($R$31:$R$260,$H$31:$H$260,IF($B19="","*",$B19),$C$31:$C$260,IF($C19="","*",$C19),$P$31:$P$260,"قريب"))</f>
        <v/>
      </c>
      <c r="G19" s="10" t="str">
        <f>IF(AND($B19="",$C19=""),"",SUMIFS($R$31:$R$260,$H$31:$H$260,IF($B19="","*",$B19),$C$31:$C$260,IF($C19="","*",$C19),$P$31:$P$260,"بعيد"))</f>
        <v/>
      </c>
      <c r="H19" s="11" t="str">
        <f t="shared" si="0"/>
        <v/>
      </c>
      <c r="I19" s="7" t="str">
        <f>IF(AND($B19="",$C19=""),"",SUMIFS($G$31:$G$260,$H$31:$H$260,IF($B19="","*",$B19),$C$31:$C$260,IF($C19="","*",$C19),$R$31:$R$260,1))</f>
        <v/>
      </c>
    </row>
    <row r="20" spans="1:19" x14ac:dyDescent="0.3">
      <c r="B20" s="7"/>
      <c r="C20" s="6"/>
      <c r="D20" s="7" t="str">
        <f>IF(AND($B20="",$C20=""),"",SUMIFS($R$31:$R$260,$H$31:$H$260,IF($B20="","*",$B20),$C$31:$C$260,IF($C20="","*",$C20),$S$31:$S$260,"يعمل"))</f>
        <v/>
      </c>
      <c r="E20" s="8" t="str">
        <f>IF(AND($B20="",$C20=""),"",SUMIFS($R$31:$R$260,$H$31:$H$260,IF($B20="","*",$B20),$C$31:$C$260,IF($C20="","*",$C20),$P$31:$P$260,"حقق"))</f>
        <v/>
      </c>
      <c r="F20" s="9" t="str">
        <f>IF(AND($B20="",$C20=""),"",SUMIFS($R$31:$R$260,$H$31:$H$260,IF($B20="","*",$B20),$C$31:$C$260,IF($C20="","*",$C20),$P$31:$P$260,"قريب"))</f>
        <v/>
      </c>
      <c r="G20" s="10" t="str">
        <f>IF(AND($B20="",$C20=""),"",SUMIFS($R$31:$R$260,$H$31:$H$260,IF($B20="","*",$B20),$C$31:$C$260,IF($C20="","*",$C20),$P$31:$P$260,"بعيد"))</f>
        <v/>
      </c>
      <c r="H20" s="11" t="str">
        <f t="shared" si="0"/>
        <v/>
      </c>
      <c r="I20" s="7" t="str">
        <f>IF(AND($B20="",$C20=""),"",SUMIFS($G$31:$G$260,$H$31:$H$260,IF($B20="","*",$B20),$C$31:$C$260,IF($C20="","*",$C20),$R$31:$R$260,1))</f>
        <v/>
      </c>
    </row>
    <row r="21" spans="1:19" x14ac:dyDescent="0.3">
      <c r="B21" s="7"/>
      <c r="C21" s="6"/>
      <c r="D21" s="7" t="str">
        <f>IF(AND($B21="",$C21=""),"",SUMIFS($R$31:$R$260,$H$31:$H$260,IF($B21="","*",$B21),$C$31:$C$260,IF($C21="","*",$C21),$S$31:$S$260,"يعمل"))</f>
        <v/>
      </c>
      <c r="E21" s="8" t="str">
        <f>IF(AND($B21="",$C21=""),"",SUMIFS($R$31:$R$260,$H$31:$H$260,IF($B21="","*",$B21),$C$31:$C$260,IF($C21="","*",$C21),$P$31:$P$260,"حقق"))</f>
        <v/>
      </c>
      <c r="F21" s="9" t="str">
        <f>IF(AND($B21="",$C21=""),"",SUMIFS($R$31:$R$260,$H$31:$H$260,IF($B21="","*",$B21),$C$31:$C$260,IF($C21="","*",$C21),$P$31:$P$260,"قريب"))</f>
        <v/>
      </c>
      <c r="G21" s="10" t="str">
        <f>IF(AND($B21="",$C21=""),"",SUMIFS($R$31:$R$260,$H$31:$H$260,IF($B21="","*",$B21),$C$31:$C$260,IF($C21="","*",$C21),$P$31:$P$260,"بعيد"))</f>
        <v/>
      </c>
      <c r="H21" s="11" t="str">
        <f t="shared" si="0"/>
        <v/>
      </c>
      <c r="I21" s="7" t="str">
        <f>IF(AND($B21="",$C21=""),"",SUMIFS($G$31:$G$260,$H$31:$H$260,IF($B21="","*",$B21),$C$31:$C$260,IF($C21="","*",$C21),$R$31:$R$260,1))</f>
        <v/>
      </c>
    </row>
    <row r="22" spans="1:19" x14ac:dyDescent="0.3">
      <c r="B22" s="7"/>
      <c r="C22" s="6" t="s">
        <v>23</v>
      </c>
      <c r="D22" s="7">
        <f>SUMIFS($R$31:$R$260,$P$31:$P$260,"مستبعد (ترك العمل)")</f>
        <v>3</v>
      </c>
      <c r="E22" s="7"/>
      <c r="F22" s="7"/>
      <c r="G22" s="7"/>
      <c r="H22" s="11"/>
      <c r="I22" s="7"/>
    </row>
    <row r="23" spans="1:19" x14ac:dyDescent="0.3">
      <c r="B23" s="7"/>
      <c r="C23" s="6" t="s">
        <v>24</v>
      </c>
      <c r="D23" s="7">
        <f>SUMIFS($R$31:$R$260,$P$31:$P$260,"مستبعد (اجازة)")</f>
        <v>4</v>
      </c>
      <c r="E23" s="7"/>
      <c r="F23" s="7"/>
      <c r="G23" s="7"/>
      <c r="H23" s="11"/>
      <c r="I23" s="7"/>
    </row>
    <row r="24" spans="1:19" x14ac:dyDescent="0.3">
      <c r="B24" s="1"/>
      <c r="C24" s="1" t="s">
        <v>6</v>
      </c>
      <c r="D24" s="1">
        <f>SUMIFS($R$31:$R$260,$S$31:$S$260,"يعمل")</f>
        <v>167</v>
      </c>
      <c r="E24" s="1">
        <f>SUMIFS($R$31:$R$260,$P$31:$P$260,"حقق")</f>
        <v>74</v>
      </c>
      <c r="F24" s="1">
        <f>SUMIFS($R$31:$R$260,$P$31:$P$260,"قريب")</f>
        <v>15</v>
      </c>
      <c r="G24" s="1">
        <f>SUMIFS($R$31:$R$260,$P$31:$P$260,"بعيد")</f>
        <v>28</v>
      </c>
      <c r="H24" s="12">
        <f>IF(E24+F24+G24=0,0,E24/(E24+F24+G24))</f>
        <v>0.63247863247863245</v>
      </c>
      <c r="I24" s="1">
        <f>SUBTOTAL(109,$G$31:$G$260)</f>
        <v>0</v>
      </c>
    </row>
    <row r="26" spans="1:19" ht="30" customHeight="1" x14ac:dyDescent="0.3">
      <c r="A26" s="52" t="str">
        <f>"حقق: وصل لهدفه — قريب: من "&amp;TEXT(الإعدادات!$B$8,"0%")&amp;" لأقل من هدفه — بعيد: أقل. اليوم اللي فيه طلبات = يوم احتساب، واليوم اللي مفيهوش طلبات = غياب. الجداول دي بتتغير مع الفلتر. اكتب اسم المشرف/المشروع في الجدول اللي فوق لو عايز صف جديد."</f>
        <v>حقق: وصل لهدفه — قريب: من 80% لأقل من هدفه — بعيد: أقل. اليوم اللي فيه طلبات = يوم احتساب، واليوم اللي مفيهوش طلبات = غياب. الجداول دي بتتغير مع الفلتر. اكتب اسم المشرف/المشروع في الجدول اللي فوق لو عايز صف جديد.</v>
      </c>
      <c r="B26" s="52"/>
      <c r="C26" s="52"/>
      <c r="D26" s="52"/>
      <c r="E26" s="52"/>
      <c r="F26" s="52"/>
      <c r="G26" s="52"/>
      <c r="H26" s="52"/>
      <c r="I26" s="52"/>
      <c r="J26" s="52"/>
      <c r="K26" s="52"/>
      <c r="L26" s="52"/>
      <c r="M26" s="52"/>
      <c r="N26" s="52"/>
      <c r="O26" s="52"/>
      <c r="P26" s="52"/>
      <c r="Q26" s="52"/>
    </row>
    <row r="28" spans="1:19" ht="16.8" x14ac:dyDescent="0.3">
      <c r="A28" s="50" t="s">
        <v>25</v>
      </c>
      <c r="B28" s="50"/>
      <c r="C28" s="50"/>
      <c r="D28" s="50"/>
      <c r="E28" s="50"/>
      <c r="F28" s="50"/>
      <c r="G28" s="50"/>
      <c r="H28" s="50"/>
      <c r="I28" s="50"/>
      <c r="J28" s="50"/>
      <c r="K28" s="50"/>
      <c r="L28" s="50"/>
      <c r="M28" s="50"/>
      <c r="N28" s="50"/>
      <c r="O28" s="50"/>
      <c r="P28" s="50"/>
      <c r="Q28" s="50"/>
    </row>
    <row r="29" spans="1:19" x14ac:dyDescent="0.3">
      <c r="A29" s="13">
        <f>SUBTOTAL(102,$A$31:$A$260)</f>
        <v>162</v>
      </c>
      <c r="B29" s="14">
        <f>SUBTOTAL(109,$R$31:$R$260)</f>
        <v>0</v>
      </c>
      <c r="C29" s="4" t="s">
        <v>6</v>
      </c>
      <c r="F29" s="13">
        <f>SUBTOTAL(109,F31:F260)</f>
        <v>29722</v>
      </c>
      <c r="G29" s="13">
        <f>SUBTOTAL(109,G31:G260)</f>
        <v>0</v>
      </c>
      <c r="I29" s="13">
        <f>SUBTOTAL(109,I31:I260)</f>
        <v>1954</v>
      </c>
      <c r="K29" s="13">
        <f>SUBTOTAL(109,K31:K260)</f>
        <v>127</v>
      </c>
      <c r="M29" s="13">
        <f>SUBTOTAL(109,M31:M260)</f>
        <v>28254</v>
      </c>
      <c r="O29" s="13">
        <f>SUBTOTAL(109,O31:O260)</f>
        <v>54013</v>
      </c>
    </row>
    <row r="30" spans="1:19" ht="33.75" customHeight="1" x14ac:dyDescent="0.3">
      <c r="A30" s="2" t="s">
        <v>26</v>
      </c>
      <c r="B30" s="2" t="s">
        <v>27</v>
      </c>
      <c r="C30" s="2" t="s">
        <v>14</v>
      </c>
      <c r="D30" s="2" t="s">
        <v>28</v>
      </c>
      <c r="E30" s="2" t="s">
        <v>29</v>
      </c>
      <c r="F30" s="2" t="s">
        <v>30</v>
      </c>
      <c r="G30" s="2" t="s">
        <v>19</v>
      </c>
      <c r="H30" s="2" t="s">
        <v>13</v>
      </c>
      <c r="I30" s="2" t="s">
        <v>31</v>
      </c>
      <c r="J30" s="2" t="s">
        <v>32</v>
      </c>
      <c r="K30" s="2" t="s">
        <v>33</v>
      </c>
      <c r="L30" s="2" t="s">
        <v>34</v>
      </c>
      <c r="M30" s="2" t="s">
        <v>35</v>
      </c>
      <c r="N30" s="2" t="s">
        <v>36</v>
      </c>
      <c r="O30" s="2" t="s">
        <v>37</v>
      </c>
      <c r="P30" s="2" t="s">
        <v>38</v>
      </c>
      <c r="Q30" s="2" t="s">
        <v>39</v>
      </c>
    </row>
    <row r="31" spans="1:19" x14ac:dyDescent="0.3">
      <c r="A31" s="15">
        <f>IF('الإدخال اليومي'!$B5="","",IF('الإدخال اليومي'!A5="","",'الإدخال اليومي'!A5))</f>
        <v>2556808885</v>
      </c>
      <c r="B31" s="16" t="str">
        <f>IF('الإدخال اليومي'!$B5="","",IF('الإدخال اليومي'!B5="","",'الإدخال اليومي'!B5))</f>
        <v>Robin Mia</v>
      </c>
      <c r="C31" s="17" t="str">
        <f>IF('الإدخال اليومي'!$B5="","",IF('الإدخال اليومي'!C5="","",'الإدخال اليومي'!C5))</f>
        <v>كيتا</v>
      </c>
      <c r="D31" s="17">
        <f>IF($B31="","",1)</f>
        <v>1</v>
      </c>
      <c r="E31" s="17" t="str">
        <f>IF('الإدخال اليومي'!$B5="","",IF('الإدخال اليومي'!AD5="","",'الإدخال اليومي'!AD5))</f>
        <v>كفالة</v>
      </c>
      <c r="F31" s="18">
        <f>IF($B31="","",'الإدخال اليومي'!I5)</f>
        <v>442</v>
      </c>
      <c r="G31" s="19" t="str">
        <f>IF($B31="","",IF(N('الإدخال اليومي'!AG5)=0,"",'الإدخال اليومي'!AG5))</f>
        <v/>
      </c>
      <c r="H31" s="17" t="str">
        <f>IF('الإدخال اليومي'!$B5="","",IF('الإدخال اليومي'!AE5="","",'الإدخال اليومي'!AE5))</f>
        <v>محمود خطاب</v>
      </c>
      <c r="I31" s="17">
        <f>IF($B31="","",IFERROR(INDEX('الإدخال اليومي'!K5:AA5,MATCH(الإعدادات!$B$2,'الإدخال اليومي'!$K$3:$AA$3,0)),0))</f>
        <v>23</v>
      </c>
      <c r="J31" s="20">
        <f>IF('الإدخال اليومي'!$B5="","",IF('الإدخال اليومي'!F5="","",'الإدخال اليومي'!F5))</f>
        <v>45924</v>
      </c>
      <c r="K31" s="17">
        <f>IF($B31="","",N('الإدخال اليومي'!G5)+MAX(0,الإعدادات!$B$2-MAX(الإعدادات!$B$10+1,N(J31))+1)-SUMPRODUCT(('الإدخال اليومي'!$L5:$AA5&gt;0)*('الإدخال اليومي'!$L$3:$AA$3&gt;=MAX(الإعدادات!$B$10+1,N(J31)))*('الإدخال اليومي'!$L$3:$AA$3&lt;=الإعدادات!$B$2)))</f>
        <v>0</v>
      </c>
      <c r="L31" s="17">
        <f>IF($B31="","",MAX(0,الإعدادات!$B$10-IF(J31="",الإعدادات!$B$9,MAX(J31,الإعدادات!$B$9))+1-N('الإدخال اليومي'!G5))+SUMPRODUCT(('الإدخال اليومي'!$L5:$AA5&gt;0)*('الإدخال اليومي'!$L$3:$AA$3&gt;=MAX(الإعدادات!$B$10+1,N(J31)))*('الإدخال اليومي'!$L$3:$AA$3&lt;=الإعدادات!$B$2)))</f>
        <v>17</v>
      </c>
      <c r="M31" s="19">
        <f>IF($B31="","",IF(C31="امازون","",(IFERROR(INDEX(الإعدادات!$B$19:$B$22,MATCH(C31,الإعدادات!$A$19:$A$22,0)),الإعدادات!$B$3)/الإعدادات!$B$4)*L31))</f>
        <v>255</v>
      </c>
      <c r="N31" s="21">
        <f t="shared" ref="N31:N94" si="1">IF($B31="","",IF(OR(M31="",M31=0),"",F31/M31))</f>
        <v>1.7333333333333334</v>
      </c>
      <c r="O31" s="19">
        <f>IF($B31="","",IF(OR(C31="امازون",L31=0),"",ROUND(F31/L31*الإعدادات!$B$4,0)))</f>
        <v>780</v>
      </c>
      <c r="P31" s="22" t="str">
        <f>IF($B31="","",IF('الإدخال اليومي'!AF5="لا يعمل","مستبعد (ترك العمل)",IF('الإدخال اليومي'!AF5="اجازه","مستبعد (اجازة)",IF(C31="امازون","امازون (شحنات)",IF(L31=0,"مستبعد (لم يعمل)",IF(F31&gt;=M31,"حقق",IF(F31&gt;=M31*الإعدادات!$B$8,"قريب","بعيد")))))))</f>
        <v>حقق</v>
      </c>
      <c r="Q31" s="16" t="str">
        <f>IF($B31="","",TRIM('الإدخال اليومي'!H5&amp;IF(N('الإدخال اليومي'!AC5)&gt;0," | + "&amp;'الإدخال اليومي'!AC5&amp;" طلب من "&amp;'الإدخال اليومي'!AB5&amp;" (محسوبة في الإجمالي)","")))</f>
        <v/>
      </c>
      <c r="R31" s="17">
        <f t="shared" ref="R31:R94" si="2">IF($B31="",0,SUBTOTAL(103,B31))</f>
        <v>1</v>
      </c>
      <c r="S31" s="17" t="str">
        <f>IF($B31="","",IF('الإدخال اليومي'!AF5="","يعمل",'الإدخال اليومي'!AF5))</f>
        <v>يعمل</v>
      </c>
    </row>
    <row r="32" spans="1:19" x14ac:dyDescent="0.3">
      <c r="A32" s="15">
        <f>IF('الإدخال اليومي'!$B6="","",IF('الإدخال اليومي'!A6="","",'الإدخال اليومي'!A6))</f>
        <v>2558834244</v>
      </c>
      <c r="B32" s="16" t="str">
        <f>IF('الإدخال اليومي'!$B6="","",IF('الإدخال اليومي'!B6="","",'الإدخال اليومي'!B6))</f>
        <v>AHMARE ALI ASLAM</v>
      </c>
      <c r="C32" s="17" t="str">
        <f>IF('الإدخال اليومي'!$B6="","",IF('الإدخال اليومي'!C6="","",'الإدخال اليومي'!C6))</f>
        <v>كيتا</v>
      </c>
      <c r="D32" s="17">
        <f>IF($B32="","",2)</f>
        <v>2</v>
      </c>
      <c r="E32" s="17" t="str">
        <f>IF('الإدخال اليومي'!$B6="","",IF('الإدخال اليومي'!AD6="","",'الإدخال اليومي'!AD6))</f>
        <v>كفالة</v>
      </c>
      <c r="F32" s="18">
        <f>IF($B32="","",'الإدخال اليومي'!I6)</f>
        <v>428</v>
      </c>
      <c r="G32" s="19" t="str">
        <f>IF($B32="","",IF(N('الإدخال اليومي'!AG6)=0,"",'الإدخال اليومي'!AG6))</f>
        <v/>
      </c>
      <c r="H32" s="17" t="str">
        <f>IF('الإدخال اليومي'!$B6="","",IF('الإدخال اليومي'!AE6="","",'الإدخال اليومي'!AE6))</f>
        <v>محمود خطاب</v>
      </c>
      <c r="I32" s="17">
        <f>IF($B32="","",IFERROR(INDEX('الإدخال اليومي'!K6:AA6,MATCH(الإعدادات!$B$2,'الإدخال اليومي'!$K$3:$AA$3,0)),0))</f>
        <v>28</v>
      </c>
      <c r="J32" s="20">
        <f>IF('الإدخال اليومي'!$B6="","",IF('الإدخال اليومي'!F6="","",'الإدخال اليومي'!F6))</f>
        <v>46029</v>
      </c>
      <c r="K32" s="17">
        <f>IF($B32="","",N('الإدخال اليومي'!G6)+MAX(0,الإعدادات!$B$2-MAX(الإعدادات!$B$10+1,N(J32))+1)-SUMPRODUCT(('الإدخال اليومي'!$L6:$AA6&gt;0)*('الإدخال اليومي'!$L$3:$AA$3&gt;=MAX(الإعدادات!$B$10+1,N(J32)))*('الإدخال اليومي'!$L$3:$AA$3&lt;=الإعدادات!$B$2)))</f>
        <v>0</v>
      </c>
      <c r="L32" s="17">
        <f>IF($B32="","",MAX(0,الإعدادات!$B$10-IF(J32="",الإعدادات!$B$9,MAX(J32,الإعدادات!$B$9))+1-N('الإدخال اليومي'!G6))+SUMPRODUCT(('الإدخال اليومي'!$L6:$AA6&gt;0)*('الإدخال اليومي'!$L$3:$AA$3&gt;=MAX(الإعدادات!$B$10+1,N(J32)))*('الإدخال اليومي'!$L$3:$AA$3&lt;=الإعدادات!$B$2)))</f>
        <v>17</v>
      </c>
      <c r="M32" s="19">
        <f>IF($B32="","",IF(C32="امازون","",(IFERROR(INDEX(الإعدادات!$B$19:$B$22,MATCH(C32,الإعدادات!$A$19:$A$22,0)),الإعدادات!$B$3)/الإعدادات!$B$4)*L32))</f>
        <v>255</v>
      </c>
      <c r="N32" s="21">
        <f t="shared" si="1"/>
        <v>1.6784313725490196</v>
      </c>
      <c r="O32" s="19">
        <f>IF($B32="","",IF(OR(C32="امازون",L32=0),"",ROUND(F32/L32*الإعدادات!$B$4,0)))</f>
        <v>755</v>
      </c>
      <c r="P32" s="22" t="str">
        <f>IF($B32="","",IF('الإدخال اليومي'!AF6="لا يعمل","مستبعد (ترك العمل)",IF('الإدخال اليومي'!AF6="اجازه","مستبعد (اجازة)",IF(C32="امازون","امازون (شحنات)",IF(L32=0,"مستبعد (لم يعمل)",IF(F32&gt;=M32,"حقق",IF(F32&gt;=M32*الإعدادات!$B$8,"قريب","بعيد")))))))</f>
        <v>حقق</v>
      </c>
      <c r="Q32" s="16" t="str">
        <f>IF($B32="","",TRIM('الإدخال اليومي'!H6&amp;IF(N('الإدخال اليومي'!AC6)&gt;0," | + "&amp;'الإدخال اليومي'!AC6&amp;" طلب من "&amp;'الإدخال اليومي'!AB6&amp;" (محسوبة في الإجمالي)","")))</f>
        <v/>
      </c>
      <c r="R32" s="17">
        <f t="shared" si="2"/>
        <v>1</v>
      </c>
      <c r="S32" s="17" t="str">
        <f>IF($B32="","",IF('الإدخال اليومي'!AF6="","يعمل",'الإدخال اليومي'!AF6))</f>
        <v>يعمل</v>
      </c>
    </row>
    <row r="33" spans="1:19" x14ac:dyDescent="0.3">
      <c r="A33" s="15">
        <f>IF('الإدخال اليومي'!$B7="","",IF('الإدخال اليومي'!A7="","",'الإدخال اليومي'!A7))</f>
        <v>2636257749</v>
      </c>
      <c r="B33" s="16" t="str">
        <f>IF('الإدخال اليومي'!$B7="","",IF('الإدخال اليومي'!B7="","",'الإدخال اليومي'!B7))</f>
        <v>حسن احمد حسين جمال الدين</v>
      </c>
      <c r="C33" s="17" t="str">
        <f>IF('الإدخال اليومي'!$B7="","",IF('الإدخال اليومي'!C7="","",'الإدخال اليومي'!C7))</f>
        <v>كيتا</v>
      </c>
      <c r="D33" s="17">
        <f>IF($B33="","",3)</f>
        <v>3</v>
      </c>
      <c r="E33" s="17" t="str">
        <f>IF('الإدخال اليومي'!$B7="","",IF('الإدخال اليومي'!AD7="","",'الإدخال اليومي'!AD7))</f>
        <v>فري لانسر</v>
      </c>
      <c r="F33" s="18">
        <f>IF($B33="","",'الإدخال اليومي'!I7)</f>
        <v>417</v>
      </c>
      <c r="G33" s="19" t="str">
        <f>IF($B33="","",IF(N('الإدخال اليومي'!AG7)=0,"",'الإدخال اليومي'!AG7))</f>
        <v/>
      </c>
      <c r="H33" s="17" t="str">
        <f>IF('الإدخال اليومي'!$B7="","",IF('الإدخال اليومي'!AE7="","",'الإدخال اليومي'!AE7))</f>
        <v>خالد عباس</v>
      </c>
      <c r="I33" s="17">
        <f>IF($B33="","",IFERROR(INDEX('الإدخال اليومي'!K7:AA7,MATCH(الإعدادات!$B$2,'الإدخال اليومي'!$K$3:$AA$3,0)),0))</f>
        <v>26</v>
      </c>
      <c r="J33" s="20">
        <f>IF('الإدخال اليومي'!$B7="","",IF('الإدخال اليومي'!F7="","",'الإدخال اليومي'!F7))</f>
        <v>46250</v>
      </c>
      <c r="K33" s="17">
        <f>IF($B33="","",N('الإدخال اليومي'!G7)+MAX(0,الإعدادات!$B$2-MAX(الإعدادات!$B$10+1,N(J33))+1)-SUMPRODUCT(('الإدخال اليومي'!$L7:$AA7&gt;0)*('الإدخال اليومي'!$L$3:$AA$3&gt;=MAX(الإعدادات!$B$10+1,N(J33)))*('الإدخال اليومي'!$L$3:$AA$3&lt;=الإعدادات!$B$2)))</f>
        <v>0</v>
      </c>
      <c r="L33" s="17">
        <f>IF($B33="","",MAX(0,الإعدادات!$B$10-IF(J33="",الإعدادات!$B$9,MAX(J33,الإعدادات!$B$9))+1-N('الإدخال اليومي'!G7))+SUMPRODUCT(('الإدخال اليومي'!$L7:$AA7&gt;0)*('الإدخال اليومي'!$L$3:$AA$3&gt;=MAX(الإعدادات!$B$10+1,N(J33)))*('الإدخال اليومي'!$L$3:$AA$3&lt;=الإعدادات!$B$2)))</f>
        <v>17</v>
      </c>
      <c r="M33" s="19">
        <f>IF($B33="","",IF(C33="امازون","",(IFERROR(INDEX(الإعدادات!$B$19:$B$22,MATCH(C33,الإعدادات!$A$19:$A$22,0)),الإعدادات!$B$3)/الإعدادات!$B$4)*L33))</f>
        <v>255</v>
      </c>
      <c r="N33" s="21">
        <f t="shared" si="1"/>
        <v>1.6352941176470588</v>
      </c>
      <c r="O33" s="19">
        <f>IF($B33="","",IF(OR(C33="امازون",L33=0),"",ROUND(F33/L33*الإعدادات!$B$4,0)))</f>
        <v>736</v>
      </c>
      <c r="P33" s="22" t="str">
        <f>IF($B33="","",IF('الإدخال اليومي'!AF7="لا يعمل","مستبعد (ترك العمل)",IF('الإدخال اليومي'!AF7="اجازه","مستبعد (اجازة)",IF(C33="امازون","امازون (شحنات)",IF(L33=0,"مستبعد (لم يعمل)",IF(F33&gt;=M33,"حقق",IF(F33&gt;=M33*الإعدادات!$B$8,"قريب","بعيد")))))))</f>
        <v>حقق</v>
      </c>
      <c r="Q33" s="16" t="str">
        <f>IF($B33="","",TRIM('الإدخال اليومي'!H7&amp;IF(N('الإدخال اليومي'!AC7)&gt;0," | + "&amp;'الإدخال اليومي'!AC7&amp;" طلب من "&amp;'الإدخال اليومي'!AB7&amp;" (محسوبة في الإجمالي)","")))</f>
        <v/>
      </c>
      <c r="R33" s="17">
        <f t="shared" si="2"/>
        <v>1</v>
      </c>
      <c r="S33" s="17" t="str">
        <f>IF($B33="","",IF('الإدخال اليومي'!AF7="","يعمل",'الإدخال اليومي'!AF7))</f>
        <v>يعمل</v>
      </c>
    </row>
    <row r="34" spans="1:19" x14ac:dyDescent="0.3">
      <c r="A34" s="15">
        <f>IF('الإدخال اليومي'!$B8="","",IF('الإدخال اليومي'!A8="","",'الإدخال اليومي'!A8))</f>
        <v>2566744484</v>
      </c>
      <c r="B34" s="16" t="str">
        <f>IF('الإدخال اليومي'!$B8="","",IF('الإدخال اليومي'!B8="","",'الإدخال اليومي'!B8))</f>
        <v>Babar Ali</v>
      </c>
      <c r="C34" s="17" t="str">
        <f>IF('الإدخال اليومي'!$B8="","",IF('الإدخال اليومي'!C8="","",'الإدخال اليومي'!C8))</f>
        <v>كيتا</v>
      </c>
      <c r="D34" s="17">
        <f>IF($B34="","",4)</f>
        <v>4</v>
      </c>
      <c r="E34" s="17" t="str">
        <f>IF('الإدخال اليومي'!$B8="","",IF('الإدخال اليومي'!AD8="","",'الإدخال اليومي'!AD8))</f>
        <v>كفالة</v>
      </c>
      <c r="F34" s="18">
        <f>IF($B34="","",'الإدخال اليومي'!I8)</f>
        <v>401</v>
      </c>
      <c r="G34" s="19" t="str">
        <f>IF($B34="","",IF(N('الإدخال اليومي'!AG8)=0,"",'الإدخال اليومي'!AG8))</f>
        <v/>
      </c>
      <c r="H34" s="17" t="str">
        <f>IF('الإدخال اليومي'!$B8="","",IF('الإدخال اليومي'!AE8="","",'الإدخال اليومي'!AE8))</f>
        <v>محمود خطاب</v>
      </c>
      <c r="I34" s="17">
        <f>IF($B34="","",IFERROR(INDEX('الإدخال اليومي'!K8:AA8,MATCH(الإعدادات!$B$2,'الإدخال اليومي'!$K$3:$AA$3,0)),0))</f>
        <v>20</v>
      </c>
      <c r="J34" s="20">
        <f>IF('الإدخال اليومي'!$B8="","",IF('الإدخال اليومي'!F8="","",'الإدخال اليومي'!F8))</f>
        <v>45534</v>
      </c>
      <c r="K34" s="17">
        <f>IF($B34="","",N('الإدخال اليومي'!G8)+MAX(0,الإعدادات!$B$2-MAX(الإعدادات!$B$10+1,N(J34))+1)-SUMPRODUCT(('الإدخال اليومي'!$L8:$AA8&gt;0)*('الإدخال اليومي'!$L$3:$AA$3&gt;=MAX(الإعدادات!$B$10+1,N(J34)))*('الإدخال اليومي'!$L$3:$AA$3&lt;=الإعدادات!$B$2)))</f>
        <v>0</v>
      </c>
      <c r="L34" s="17">
        <f>IF($B34="","",MAX(0,الإعدادات!$B$10-IF(J34="",الإعدادات!$B$9,MAX(J34,الإعدادات!$B$9))+1-N('الإدخال اليومي'!G8))+SUMPRODUCT(('الإدخال اليومي'!$L8:$AA8&gt;0)*('الإدخال اليومي'!$L$3:$AA$3&gt;=MAX(الإعدادات!$B$10+1,N(J34)))*('الإدخال اليومي'!$L$3:$AA$3&lt;=الإعدادات!$B$2)))</f>
        <v>17</v>
      </c>
      <c r="M34" s="19">
        <f>IF($B34="","",IF(C34="امازون","",(IFERROR(INDEX(الإعدادات!$B$19:$B$22,MATCH(C34,الإعدادات!$A$19:$A$22,0)),الإعدادات!$B$3)/الإعدادات!$B$4)*L34))</f>
        <v>255</v>
      </c>
      <c r="N34" s="21">
        <f t="shared" si="1"/>
        <v>1.5725490196078431</v>
      </c>
      <c r="O34" s="19">
        <f>IF($B34="","",IF(OR(C34="امازون",L34=0),"",ROUND(F34/L34*الإعدادات!$B$4,0)))</f>
        <v>708</v>
      </c>
      <c r="P34" s="22" t="str">
        <f>IF($B34="","",IF('الإدخال اليومي'!AF8="لا يعمل","مستبعد (ترك العمل)",IF('الإدخال اليومي'!AF8="اجازه","مستبعد (اجازة)",IF(C34="امازون","امازون (شحنات)",IF(L34=0,"مستبعد (لم يعمل)",IF(F34&gt;=M34,"حقق",IF(F34&gt;=M34*الإعدادات!$B$8,"قريب","بعيد")))))))</f>
        <v>حقق</v>
      </c>
      <c r="Q34" s="16" t="str">
        <f>IF($B34="","",TRIM('الإدخال اليومي'!H8&amp;IF(N('الإدخال اليومي'!AC8)&gt;0," | + "&amp;'الإدخال اليومي'!AC8&amp;" طلب من "&amp;'الإدخال اليومي'!AB8&amp;" (محسوبة في الإجمالي)","")))</f>
        <v/>
      </c>
      <c r="R34" s="17">
        <f t="shared" si="2"/>
        <v>1</v>
      </c>
      <c r="S34" s="17" t="str">
        <f>IF($B34="","",IF('الإدخال اليومي'!AF8="","يعمل",'الإدخال اليومي'!AF8))</f>
        <v>يعمل</v>
      </c>
    </row>
    <row r="35" spans="1:19" x14ac:dyDescent="0.3">
      <c r="A35" s="15">
        <f>IF('الإدخال اليومي'!$B9="","",IF('الإدخال اليومي'!A9="","",'الإدخال اليومي'!A9))</f>
        <v>2556809024</v>
      </c>
      <c r="B35" s="16" t="str">
        <f>IF('الإدخال اليومي'!$B9="","",IF('الإدخال اليومي'!B9="","",'الإدخال اليومي'!B9))</f>
        <v>Md ELMAZED</v>
      </c>
      <c r="C35" s="17" t="str">
        <f>IF('الإدخال اليومي'!$B9="","",IF('الإدخال اليومي'!C9="","",'الإدخال اليومي'!C9))</f>
        <v>كيتا</v>
      </c>
      <c r="D35" s="17">
        <f>IF($B35="","",5)</f>
        <v>5</v>
      </c>
      <c r="E35" s="17" t="str">
        <f>IF('الإدخال اليومي'!$B9="","",IF('الإدخال اليومي'!AD9="","",'الإدخال اليومي'!AD9))</f>
        <v>كفالة</v>
      </c>
      <c r="F35" s="18">
        <f>IF($B35="","",'الإدخال اليومي'!I9)</f>
        <v>409</v>
      </c>
      <c r="G35" s="19" t="str">
        <f>IF($B35="","",IF(N('الإدخال اليومي'!AG9)=0,"",'الإدخال اليومي'!AG9))</f>
        <v/>
      </c>
      <c r="H35" s="17" t="str">
        <f>IF('الإدخال اليومي'!$B9="","",IF('الإدخال اليومي'!AE9="","",'الإدخال اليومي'!AE9))</f>
        <v>محمود خطاب</v>
      </c>
      <c r="I35" s="17">
        <f>IF($B35="","",IFERROR(INDEX('الإدخال اليومي'!K9:AA9,MATCH(الإعدادات!$B$2,'الإدخال اليومي'!$K$3:$AA$3,0)),0))</f>
        <v>22</v>
      </c>
      <c r="J35" s="20">
        <f>IF('الإدخال اليومي'!$B9="","",IF('الإدخال اليومي'!F9="","",'الإدخال اليومي'!F9))</f>
        <v>45924</v>
      </c>
      <c r="K35" s="17">
        <f>IF($B35="","",N('الإدخال اليومي'!G9)+MAX(0,الإعدادات!$B$2-MAX(الإعدادات!$B$10+1,N(J35))+1)-SUMPRODUCT(('الإدخال اليومي'!$L9:$AA9&gt;0)*('الإدخال اليومي'!$L$3:$AA$3&gt;=MAX(الإعدادات!$B$10+1,N(J35)))*('الإدخال اليومي'!$L$3:$AA$3&lt;=الإعدادات!$B$2)))</f>
        <v>0</v>
      </c>
      <c r="L35" s="17">
        <f>IF($B35="","",MAX(0,الإعدادات!$B$10-IF(J35="",الإعدادات!$B$9,MAX(J35,الإعدادات!$B$9))+1-N('الإدخال اليومي'!G9))+SUMPRODUCT(('الإدخال اليومي'!$L9:$AA9&gt;0)*('الإدخال اليومي'!$L$3:$AA$3&gt;=MAX(الإعدادات!$B$10+1,N(J35)))*('الإدخال اليومي'!$L$3:$AA$3&lt;=الإعدادات!$B$2)))</f>
        <v>17</v>
      </c>
      <c r="M35" s="19">
        <f>IF($B35="","",IF(C35="امازون","",(IFERROR(INDEX(الإعدادات!$B$19:$B$22,MATCH(C35,الإعدادات!$A$19:$A$22,0)),الإعدادات!$B$3)/الإعدادات!$B$4)*L35))</f>
        <v>255</v>
      </c>
      <c r="N35" s="21">
        <f t="shared" si="1"/>
        <v>1.6039215686274511</v>
      </c>
      <c r="O35" s="19">
        <f>IF($B35="","",IF(OR(C35="امازون",L35=0),"",ROUND(F35/L35*الإعدادات!$B$4,0)))</f>
        <v>722</v>
      </c>
      <c r="P35" s="22" t="str">
        <f>IF($B35="","",IF('الإدخال اليومي'!AF9="لا يعمل","مستبعد (ترك العمل)",IF('الإدخال اليومي'!AF9="اجازه","مستبعد (اجازة)",IF(C35="امازون","امازون (شحنات)",IF(L35=0,"مستبعد (لم يعمل)",IF(F35&gt;=M35,"حقق",IF(F35&gt;=M35*الإعدادات!$B$8,"قريب","بعيد")))))))</f>
        <v>حقق</v>
      </c>
      <c r="Q35" s="16" t="str">
        <f>IF($B35="","",TRIM('الإدخال اليومي'!H9&amp;IF(N('الإدخال اليومي'!AC9)&gt;0," | + "&amp;'الإدخال اليومي'!AC9&amp;" طلب من "&amp;'الإدخال اليومي'!AB9&amp;" (محسوبة في الإجمالي)","")))</f>
        <v/>
      </c>
      <c r="R35" s="17">
        <f t="shared" si="2"/>
        <v>1</v>
      </c>
      <c r="S35" s="17" t="str">
        <f>IF($B35="","",IF('الإدخال اليومي'!AF9="","يعمل",'الإدخال اليومي'!AF9))</f>
        <v>يعمل</v>
      </c>
    </row>
    <row r="36" spans="1:19" x14ac:dyDescent="0.3">
      <c r="A36" s="15">
        <f>IF('الإدخال اليومي'!$B10="","",IF('الإدخال اليومي'!A10="","",'الإدخال اليومي'!A10))</f>
        <v>2555618590</v>
      </c>
      <c r="B36" s="16" t="str">
        <f>IF('الإدخال اليومي'!$B10="","",IF('الإدخال اليومي'!B10="","",'الإدخال اليومي'!B10))</f>
        <v>MOHAMMED BAKRE</v>
      </c>
      <c r="C36" s="17" t="str">
        <f>IF('الإدخال اليومي'!$B10="","",IF('الإدخال اليومي'!C10="","",'الإدخال اليومي'!C10))</f>
        <v>كيتا</v>
      </c>
      <c r="D36" s="17">
        <f>IF($B36="","",6)</f>
        <v>6</v>
      </c>
      <c r="E36" s="17" t="str">
        <f>IF('الإدخال اليومي'!$B10="","",IF('الإدخال اليومي'!AD10="","",'الإدخال اليومي'!AD10))</f>
        <v>كفالة</v>
      </c>
      <c r="F36" s="18">
        <f>IF($B36="","",'الإدخال اليومي'!I10)</f>
        <v>397</v>
      </c>
      <c r="G36" s="19" t="str">
        <f>IF($B36="","",IF(N('الإدخال اليومي'!AG10)=0,"",'الإدخال اليومي'!AG10))</f>
        <v/>
      </c>
      <c r="H36" s="17" t="str">
        <f>IF('الإدخال اليومي'!$B10="","",IF('الإدخال اليومي'!AE10="","",'الإدخال اليومي'!AE10))</f>
        <v>محمود خطاب</v>
      </c>
      <c r="I36" s="17">
        <f>IF($B36="","",IFERROR(INDEX('الإدخال اليومي'!K10:AA10,MATCH(الإعدادات!$B$2,'الإدخال اليومي'!$K$3:$AA$3,0)),0))</f>
        <v>22</v>
      </c>
      <c r="J36" s="20">
        <f>IF('الإدخال اليومي'!$B10="","",IF('الإدخال اليومي'!F10="","",'الإدخال اليومي'!F10))</f>
        <v>45322</v>
      </c>
      <c r="K36" s="17">
        <f>IF($B36="","",N('الإدخال اليومي'!G10)+MAX(0,الإعدادات!$B$2-MAX(الإعدادات!$B$10+1,N(J36))+1)-SUMPRODUCT(('الإدخال اليومي'!$L10:$AA10&gt;0)*('الإدخال اليومي'!$L$3:$AA$3&gt;=MAX(الإعدادات!$B$10+1,N(J36)))*('الإدخال اليومي'!$L$3:$AA$3&lt;=الإعدادات!$B$2)))</f>
        <v>0</v>
      </c>
      <c r="L36" s="17">
        <f>IF($B36="","",MAX(0,الإعدادات!$B$10-IF(J36="",الإعدادات!$B$9,MAX(J36,الإعدادات!$B$9))+1-N('الإدخال اليومي'!G10))+SUMPRODUCT(('الإدخال اليومي'!$L10:$AA10&gt;0)*('الإدخال اليومي'!$L$3:$AA$3&gt;=MAX(الإعدادات!$B$10+1,N(J36)))*('الإدخال اليومي'!$L$3:$AA$3&lt;=الإعدادات!$B$2)))</f>
        <v>17</v>
      </c>
      <c r="M36" s="19">
        <f>IF($B36="","",IF(C36="امازون","",(IFERROR(INDEX(الإعدادات!$B$19:$B$22,MATCH(C36,الإعدادات!$A$19:$A$22,0)),الإعدادات!$B$3)/الإعدادات!$B$4)*L36))</f>
        <v>255</v>
      </c>
      <c r="N36" s="21">
        <f t="shared" si="1"/>
        <v>1.5568627450980392</v>
      </c>
      <c r="O36" s="19">
        <f>IF($B36="","",IF(OR(C36="امازون",L36=0),"",ROUND(F36/L36*الإعدادات!$B$4,0)))</f>
        <v>701</v>
      </c>
      <c r="P36" s="22" t="str">
        <f>IF($B36="","",IF('الإدخال اليومي'!AF10="لا يعمل","مستبعد (ترك العمل)",IF('الإدخال اليومي'!AF10="اجازه","مستبعد (اجازة)",IF(C36="امازون","امازون (شحنات)",IF(L36=0,"مستبعد (لم يعمل)",IF(F36&gt;=M36,"حقق",IF(F36&gt;=M36*الإعدادات!$B$8,"قريب","بعيد")))))))</f>
        <v>حقق</v>
      </c>
      <c r="Q36" s="16" t="str">
        <f>IF($B36="","",TRIM('الإدخال اليومي'!H10&amp;IF(N('الإدخال اليومي'!AC10)&gt;0," | + "&amp;'الإدخال اليومي'!AC10&amp;" طلب من "&amp;'الإدخال اليومي'!AB10&amp;" (محسوبة في الإجمالي)","")))</f>
        <v/>
      </c>
      <c r="R36" s="17">
        <f t="shared" si="2"/>
        <v>1</v>
      </c>
      <c r="S36" s="17" t="str">
        <f>IF($B36="","",IF('الإدخال اليومي'!AF10="","يعمل",'الإدخال اليومي'!AF10))</f>
        <v>يعمل</v>
      </c>
    </row>
    <row r="37" spans="1:19" x14ac:dyDescent="0.3">
      <c r="A37" s="15">
        <f>IF('الإدخال اليومي'!$B11="","",IF('الإدخال اليومي'!A11="","",'الإدخال اليومي'!A11))</f>
        <v>2588682613</v>
      </c>
      <c r="B37" s="16" t="str">
        <f>IF('الإدخال اليومي'!$B11="","",IF('الإدخال اليومي'!B11="","",'الإدخال اليومي'!B11))</f>
        <v>قمر الحسن</v>
      </c>
      <c r="C37" s="17" t="str">
        <f>IF('الإدخال اليومي'!$B11="","",IF('الإدخال اليومي'!C11="","",'الإدخال اليومي'!C11))</f>
        <v>كيتا</v>
      </c>
      <c r="D37" s="17">
        <f>IF($B37="","",7)</f>
        <v>7</v>
      </c>
      <c r="E37" s="17" t="str">
        <f>IF('الإدخال اليومي'!$B11="","",IF('الإدخال اليومي'!AD11="","",'الإدخال اليومي'!AD11))</f>
        <v>فري لانسر</v>
      </c>
      <c r="F37" s="18">
        <f>IF($B37="","",'الإدخال اليومي'!I11)</f>
        <v>387</v>
      </c>
      <c r="G37" s="19" t="str">
        <f>IF($B37="","",IF(N('الإدخال اليومي'!AG11)=0,"",'الإدخال اليومي'!AG11))</f>
        <v/>
      </c>
      <c r="H37" s="17" t="str">
        <f>IF('الإدخال اليومي'!$B11="","",IF('الإدخال اليومي'!AE11="","",'الإدخال اليومي'!AE11))</f>
        <v>خالد عباس</v>
      </c>
      <c r="I37" s="17">
        <f>IF($B37="","",IFERROR(INDEX('الإدخال اليومي'!K11:AA11,MATCH(الإعدادات!$B$2,'الإدخال اليومي'!$K$3:$AA$3,0)),0))</f>
        <v>17</v>
      </c>
      <c r="J37" s="20">
        <f>IF('الإدخال اليومي'!$B11="","",IF('الإدخال اليومي'!F11="","",'الإدخال اليومي'!F11))</f>
        <v>46204</v>
      </c>
      <c r="K37" s="17">
        <f>IF($B37="","",N('الإدخال اليومي'!G11)+MAX(0,الإعدادات!$B$2-MAX(الإعدادات!$B$10+1,N(J37))+1)-SUMPRODUCT(('الإدخال اليومي'!$L11:$AA11&gt;0)*('الإدخال اليومي'!$L$3:$AA$3&gt;=MAX(الإعدادات!$B$10+1,N(J37)))*('الإدخال اليومي'!$L$3:$AA$3&lt;=الإعدادات!$B$2)))</f>
        <v>0</v>
      </c>
      <c r="L37" s="17">
        <f>IF($B37="","",MAX(0,الإعدادات!$B$10-IF(J37="",الإعدادات!$B$9,MAX(J37,الإعدادات!$B$9))+1-N('الإدخال اليومي'!G11))+SUMPRODUCT(('الإدخال اليومي'!$L11:$AA11&gt;0)*('الإدخال اليومي'!$L$3:$AA$3&gt;=MAX(الإعدادات!$B$10+1,N(J37)))*('الإدخال اليومي'!$L$3:$AA$3&lt;=الإعدادات!$B$2)))</f>
        <v>17</v>
      </c>
      <c r="M37" s="19">
        <f>IF($B37="","",IF(C37="امازون","",(IFERROR(INDEX(الإعدادات!$B$19:$B$22,MATCH(C37,الإعدادات!$A$19:$A$22,0)),الإعدادات!$B$3)/الإعدادات!$B$4)*L37))</f>
        <v>255</v>
      </c>
      <c r="N37" s="21">
        <f t="shared" si="1"/>
        <v>1.5176470588235293</v>
      </c>
      <c r="O37" s="19">
        <f>IF($B37="","",IF(OR(C37="امازون",L37=0),"",ROUND(F37/L37*الإعدادات!$B$4,0)))</f>
        <v>683</v>
      </c>
      <c r="P37" s="22" t="str">
        <f>IF($B37="","",IF('الإدخال اليومي'!AF11="لا يعمل","مستبعد (ترك العمل)",IF('الإدخال اليومي'!AF11="اجازه","مستبعد (اجازة)",IF(C37="امازون","امازون (شحنات)",IF(L37=0,"مستبعد (لم يعمل)",IF(F37&gt;=M37,"حقق",IF(F37&gt;=M37*الإعدادات!$B$8,"قريب","بعيد")))))))</f>
        <v>حقق</v>
      </c>
      <c r="Q37" s="16" t="str">
        <f>IF($B37="","",TRIM('الإدخال اليومي'!H11&amp;IF(N('الإدخال اليومي'!AC11)&gt;0," | + "&amp;'الإدخال اليومي'!AC11&amp;" طلب من "&amp;'الإدخال اليومي'!AB11&amp;" (محسوبة في الإجمالي)","")))</f>
        <v/>
      </c>
      <c r="R37" s="17">
        <f t="shared" si="2"/>
        <v>1</v>
      </c>
      <c r="S37" s="17" t="str">
        <f>IF($B37="","",IF('الإدخال اليومي'!AF11="","يعمل",'الإدخال اليومي'!AF11))</f>
        <v>يعمل</v>
      </c>
    </row>
    <row r="38" spans="1:19" x14ac:dyDescent="0.3">
      <c r="A38" s="15">
        <f>IF('الإدخال اليومي'!$B12="","",IF('الإدخال اليومي'!A12="","",'الإدخال اليومي'!A12))</f>
        <v>2591742545</v>
      </c>
      <c r="B38" s="16" t="str">
        <f>IF('الإدخال اليومي'!$B12="","",IF('الإدخال اليومي'!B12="","",'الإدخال اليومي'!B12))</f>
        <v>مصطفى محمود احمد</v>
      </c>
      <c r="C38" s="17" t="str">
        <f>IF('الإدخال اليومي'!$B12="","",IF('الإدخال اليومي'!C12="","",'الإدخال اليومي'!C12))</f>
        <v>كيتا</v>
      </c>
      <c r="D38" s="17">
        <f>IF($B38="","",8)</f>
        <v>8</v>
      </c>
      <c r="E38" s="17" t="str">
        <f>IF('الإدخال اليومي'!$B12="","",IF('الإدخال اليومي'!AD12="","",'الإدخال اليومي'!AD12))</f>
        <v>فري لانسر</v>
      </c>
      <c r="F38" s="18">
        <f>IF($B38="","",'الإدخال اليومي'!I12)</f>
        <v>358</v>
      </c>
      <c r="G38" s="19" t="str">
        <f>IF($B38="","",IF(N('الإدخال اليومي'!AG12)=0,"",'الإدخال اليومي'!AG12))</f>
        <v/>
      </c>
      <c r="H38" s="17" t="str">
        <f>IF('الإدخال اليومي'!$B12="","",IF('الإدخال اليومي'!AE12="","",'الإدخال اليومي'!AE12))</f>
        <v>خالد عباس</v>
      </c>
      <c r="I38" s="17">
        <f>IF($B38="","",IFERROR(INDEX('الإدخال اليومي'!K12:AA12,MATCH(الإعدادات!$B$2,'الإدخال اليومي'!$K$3:$AA$3,0)),0))</f>
        <v>15</v>
      </c>
      <c r="J38" s="20">
        <f>IF('الإدخال اليومي'!$B12="","",IF('الإدخال اليومي'!F12="","",'الإدخال اليومي'!F12))</f>
        <v>46204</v>
      </c>
      <c r="K38" s="17">
        <f>IF($B38="","",N('الإدخال اليومي'!G12)+MAX(0,الإعدادات!$B$2-MAX(الإعدادات!$B$10+1,N(J38))+1)-SUMPRODUCT(('الإدخال اليومي'!$L12:$AA12&gt;0)*('الإدخال اليومي'!$L$3:$AA$3&gt;=MAX(الإعدادات!$B$10+1,N(J38)))*('الإدخال اليومي'!$L$3:$AA$3&lt;=الإعدادات!$B$2)))</f>
        <v>1</v>
      </c>
      <c r="L38" s="17">
        <f>IF($B38="","",MAX(0,الإعدادات!$B$10-IF(J38="",الإعدادات!$B$9,MAX(J38,الإعدادات!$B$9))+1-N('الإدخال اليومي'!G12))+SUMPRODUCT(('الإدخال اليومي'!$L12:$AA12&gt;0)*('الإدخال اليومي'!$L$3:$AA$3&gt;=MAX(الإعدادات!$B$10+1,N(J38)))*('الإدخال اليومي'!$L$3:$AA$3&lt;=الإعدادات!$B$2)))</f>
        <v>16</v>
      </c>
      <c r="M38" s="19">
        <f>IF($B38="","",IF(C38="امازون","",(IFERROR(INDEX(الإعدادات!$B$19:$B$22,MATCH(C38,الإعدادات!$A$19:$A$22,0)),الإعدادات!$B$3)/الإعدادات!$B$4)*L38))</f>
        <v>240</v>
      </c>
      <c r="N38" s="21">
        <f t="shared" si="1"/>
        <v>1.4916666666666667</v>
      </c>
      <c r="O38" s="19">
        <f>IF($B38="","",IF(OR(C38="امازون",L38=0),"",ROUND(F38/L38*الإعدادات!$B$4,0)))</f>
        <v>671</v>
      </c>
      <c r="P38" s="22" t="str">
        <f>IF($B38="","",IF('الإدخال اليومي'!AF12="لا يعمل","مستبعد (ترك العمل)",IF('الإدخال اليومي'!AF12="اجازه","مستبعد (اجازة)",IF(C38="امازون","امازون (شحنات)",IF(L38=0,"مستبعد (لم يعمل)",IF(F38&gt;=M38,"حقق",IF(F38&gt;=M38*الإعدادات!$B$8,"قريب","بعيد")))))))</f>
        <v>حقق</v>
      </c>
      <c r="Q38" s="16" t="str">
        <f>IF($B38="","",TRIM('الإدخال اليومي'!H12&amp;IF(N('الإدخال اليومي'!AC12)&gt;0," | + "&amp;'الإدخال اليومي'!AC12&amp;" طلب من "&amp;'الإدخال اليومي'!AB12&amp;" (محسوبة في الإجمالي)","")))</f>
        <v/>
      </c>
      <c r="R38" s="17">
        <f t="shared" si="2"/>
        <v>1</v>
      </c>
      <c r="S38" s="17" t="str">
        <f>IF($B38="","",IF('الإدخال اليومي'!AF12="","يعمل",'الإدخال اليومي'!AF12))</f>
        <v>يعمل</v>
      </c>
    </row>
    <row r="39" spans="1:19" x14ac:dyDescent="0.3">
      <c r="A39" s="15">
        <f>IF('الإدخال اليومي'!$B13="","",IF('الإدخال اليومي'!A13="","",'الإدخال اليومي'!A13))</f>
        <v>2586734259</v>
      </c>
      <c r="B39" s="16" t="str">
        <f>IF('الإدخال اليومي'!$B13="","",IF('الإدخال اليومي'!B13="","",'الإدخال اليومي'!B13))</f>
        <v>RAFI MD IBRAHIM</v>
      </c>
      <c r="C39" s="17" t="str">
        <f>IF('الإدخال اليومي'!$B13="","",IF('الإدخال اليومي'!C13="","",'الإدخال اليومي'!C13))</f>
        <v>كيتا</v>
      </c>
      <c r="D39" s="17">
        <f>IF($B39="","",9)</f>
        <v>9</v>
      </c>
      <c r="E39" s="17" t="str">
        <f>IF('الإدخال اليومي'!$B13="","",IF('الإدخال اليومي'!AD13="","",'الإدخال اليومي'!AD13))</f>
        <v>فري لانسر</v>
      </c>
      <c r="F39" s="18">
        <f>IF($B39="","",'الإدخال اليومي'!I13)</f>
        <v>370</v>
      </c>
      <c r="G39" s="19" t="str">
        <f>IF($B39="","",IF(N('الإدخال اليومي'!AG13)=0,"",'الإدخال اليومي'!AG13))</f>
        <v/>
      </c>
      <c r="H39" s="17" t="str">
        <f>IF('الإدخال اليومي'!$B13="","",IF('الإدخال اليومي'!AE13="","",'الإدخال اليومي'!AE13))</f>
        <v>خالد عباس</v>
      </c>
      <c r="I39" s="17">
        <f>IF($B39="","",IFERROR(INDEX('الإدخال اليومي'!K13:AA13,MATCH(الإعدادات!$B$2,'الإدخال اليومي'!$K$3:$AA$3,0)),0))</f>
        <v>15</v>
      </c>
      <c r="J39" s="20">
        <f>IF('الإدخال اليومي'!$B13="","",IF('الإدخال اليومي'!F13="","",'الإدخال اليومي'!F13))</f>
        <v>46284</v>
      </c>
      <c r="K39" s="17">
        <f>IF($B39="","",N('الإدخال اليومي'!G13)+MAX(0,الإعدادات!$B$2-MAX(الإعدادات!$B$10+1,N(J39))+1)-SUMPRODUCT(('الإدخال اليومي'!$L13:$AA13&gt;0)*('الإدخال اليومي'!$L$3:$AA$3&gt;=MAX(الإعدادات!$B$10+1,N(J39)))*('الإدخال اليومي'!$L$3:$AA$3&lt;=الإعدادات!$B$2)))</f>
        <v>0</v>
      </c>
      <c r="L39" s="17">
        <f>IF($B39="","",MAX(0,الإعدادات!$B$10-IF(J39="",الإعدادات!$B$9,MAX(J39,الإعدادات!$B$9))+1-N('الإدخال اليومي'!G13))+SUMPRODUCT(('الإدخال اليومي'!$L13:$AA13&gt;0)*('الإدخال اليومي'!$L$3:$AA$3&gt;=MAX(الإعدادات!$B$10+1,N(J39)))*('الإدخال اليومي'!$L$3:$AA$3&lt;=الإعدادات!$B$2)))</f>
        <v>17</v>
      </c>
      <c r="M39" s="19">
        <f>IF($B39="","",IF(C39="امازون","",(IFERROR(INDEX(الإعدادات!$B$19:$B$22,MATCH(C39,الإعدادات!$A$19:$A$22,0)),الإعدادات!$B$3)/الإعدادات!$B$4)*L39))</f>
        <v>255</v>
      </c>
      <c r="N39" s="21">
        <f t="shared" si="1"/>
        <v>1.4509803921568627</v>
      </c>
      <c r="O39" s="19">
        <f>IF($B39="","",IF(OR(C39="امازون",L39=0),"",ROUND(F39/L39*الإعدادات!$B$4,0)))</f>
        <v>653</v>
      </c>
      <c r="P39" s="22" t="str">
        <f>IF($B39="","",IF('الإدخال اليومي'!AF13="لا يعمل","مستبعد (ترك العمل)",IF('الإدخال اليومي'!AF13="اجازه","مستبعد (اجازة)",IF(C39="امازون","امازون (شحنات)",IF(L39=0,"مستبعد (لم يعمل)",IF(F39&gt;=M39,"حقق",IF(F39&gt;=M39*الإعدادات!$B$8,"قريب","بعيد")))))))</f>
        <v>حقق</v>
      </c>
      <c r="Q39" s="16" t="str">
        <f>IF($B39="","",TRIM('الإدخال اليومي'!H13&amp;IF(N('الإدخال اليومي'!AC13)&gt;0," | + "&amp;'الإدخال اليومي'!AC13&amp;" طلب من "&amp;'الإدخال اليومي'!AB13&amp;" (محسوبة في الإجمالي)","")))</f>
        <v/>
      </c>
      <c r="R39" s="17">
        <f t="shared" si="2"/>
        <v>1</v>
      </c>
      <c r="S39" s="17" t="str">
        <f>IF($B39="","",IF('الإدخال اليومي'!AF13="","يعمل",'الإدخال اليومي'!AF13))</f>
        <v>يعمل</v>
      </c>
    </row>
    <row r="40" spans="1:19" x14ac:dyDescent="0.3">
      <c r="A40" s="15">
        <f>IF('الإدخال اليومي'!$B14="","",IF('الإدخال اليومي'!A14="","",'الإدخال اليومي'!A14))</f>
        <v>2567991936</v>
      </c>
      <c r="B40" s="16" t="str">
        <f>IF('الإدخال اليومي'!$B14="","",IF('الإدخال اليومي'!B14="","",'الإدخال اليومي'!B14))</f>
        <v>SABUJ SK</v>
      </c>
      <c r="C40" s="17" t="str">
        <f>IF('الإدخال اليومي'!$B14="","",IF('الإدخال اليومي'!C14="","",'الإدخال اليومي'!C14))</f>
        <v>كيتا</v>
      </c>
      <c r="D40" s="17">
        <f>IF($B40="","",10)</f>
        <v>10</v>
      </c>
      <c r="E40" s="17" t="str">
        <f>IF('الإدخال اليومي'!$B14="","",IF('الإدخال اليومي'!AD14="","",'الإدخال اليومي'!AD14))</f>
        <v>كفالة</v>
      </c>
      <c r="F40" s="18">
        <f>IF($B40="","",'الإدخال اليومي'!I14)</f>
        <v>393</v>
      </c>
      <c r="G40" s="19" t="str">
        <f>IF($B40="","",IF(N('الإدخال اليومي'!AG14)=0,"",'الإدخال اليومي'!AG14))</f>
        <v/>
      </c>
      <c r="H40" s="17" t="str">
        <f>IF('الإدخال اليومي'!$B14="","",IF('الإدخال اليومي'!AE14="","",'الإدخال اليومي'!AE14))</f>
        <v>محمود خطاب</v>
      </c>
      <c r="I40" s="17">
        <f>IF($B40="","",IFERROR(INDEX('الإدخال اليومي'!K14:AA14,MATCH(الإعدادات!$B$2,'الإدخال اليومي'!$K$3:$AA$3,0)),0))</f>
        <v>26</v>
      </c>
      <c r="J40" s="20">
        <f>IF('الإدخال اليومي'!$B14="","",IF('الإدخال اليومي'!F14="","",'الإدخال اليومي'!F14))</f>
        <v>45412</v>
      </c>
      <c r="K40" s="17">
        <f>IF($B40="","",N('الإدخال اليومي'!G14)+MAX(0,الإعدادات!$B$2-MAX(الإعدادات!$B$10+1,N(J40))+1)-SUMPRODUCT(('الإدخال اليومي'!$L14:$AA14&gt;0)*('الإدخال اليومي'!$L$3:$AA$3&gt;=MAX(الإعدادات!$B$10+1,N(J40)))*('الإدخال اليومي'!$L$3:$AA$3&lt;=الإعدادات!$B$2)))</f>
        <v>0</v>
      </c>
      <c r="L40" s="17">
        <f>IF($B40="","",MAX(0,الإعدادات!$B$10-IF(J40="",الإعدادات!$B$9,MAX(J40,الإعدادات!$B$9))+1-N('الإدخال اليومي'!G14))+SUMPRODUCT(('الإدخال اليومي'!$L14:$AA14&gt;0)*('الإدخال اليومي'!$L$3:$AA$3&gt;=MAX(الإعدادات!$B$10+1,N(J40)))*('الإدخال اليومي'!$L$3:$AA$3&lt;=الإعدادات!$B$2)))</f>
        <v>17</v>
      </c>
      <c r="M40" s="19">
        <f>IF($B40="","",IF(C40="امازون","",(IFERROR(INDEX(الإعدادات!$B$19:$B$22,MATCH(C40,الإعدادات!$A$19:$A$22,0)),الإعدادات!$B$3)/الإعدادات!$B$4)*L40))</f>
        <v>255</v>
      </c>
      <c r="N40" s="21">
        <f t="shared" si="1"/>
        <v>1.5411764705882354</v>
      </c>
      <c r="O40" s="19">
        <f>IF($B40="","",IF(OR(C40="امازون",L40=0),"",ROUND(F40/L40*الإعدادات!$B$4,0)))</f>
        <v>694</v>
      </c>
      <c r="P40" s="22" t="str">
        <f>IF($B40="","",IF('الإدخال اليومي'!AF14="لا يعمل","مستبعد (ترك العمل)",IF('الإدخال اليومي'!AF14="اجازه","مستبعد (اجازة)",IF(C40="امازون","امازون (شحنات)",IF(L40=0,"مستبعد (لم يعمل)",IF(F40&gt;=M40,"حقق",IF(F40&gt;=M40*الإعدادات!$B$8,"قريب","بعيد")))))))</f>
        <v>حقق</v>
      </c>
      <c r="Q40" s="16" t="str">
        <f>IF($B40="","",TRIM('الإدخال اليومي'!H14&amp;IF(N('الإدخال اليومي'!AC14)&gt;0," | + "&amp;'الإدخال اليومي'!AC14&amp;" طلب من "&amp;'الإدخال اليومي'!AB14&amp;" (محسوبة في الإجمالي)","")))</f>
        <v/>
      </c>
      <c r="R40" s="17">
        <f t="shared" si="2"/>
        <v>1</v>
      </c>
      <c r="S40" s="17" t="str">
        <f>IF($B40="","",IF('الإدخال اليومي'!AF14="","يعمل",'الإدخال اليومي'!AF14))</f>
        <v>يعمل</v>
      </c>
    </row>
    <row r="41" spans="1:19" x14ac:dyDescent="0.3">
      <c r="A41" s="15">
        <f>IF('الإدخال اليومي'!$B15="","",IF('الإدخال اليومي'!A15="","",'الإدخال اليومي'!A15))</f>
        <v>2585711043</v>
      </c>
      <c r="B41" s="16" t="str">
        <f>IF('الإدخال اليومي'!$B15="","",IF('الإدخال اليومي'!B15="","",'الإدخال اليومي'!B15))</f>
        <v>هريدوى تشاندرا</v>
      </c>
      <c r="C41" s="17" t="str">
        <f>IF('الإدخال اليومي'!$B15="","",IF('الإدخال اليومي'!C15="","",'الإدخال اليومي'!C15))</f>
        <v>كيتا</v>
      </c>
      <c r="D41" s="17">
        <f>IF($B41="","",11)</f>
        <v>11</v>
      </c>
      <c r="E41" s="17" t="str">
        <f>IF('الإدخال اليومي'!$B15="","",IF('الإدخال اليومي'!AD15="","",'الإدخال اليومي'!AD15))</f>
        <v>فري لانسر</v>
      </c>
      <c r="F41" s="18">
        <f>IF($B41="","",'الإدخال اليومي'!I15)</f>
        <v>383</v>
      </c>
      <c r="G41" s="19" t="str">
        <f>IF($B41="","",IF(N('الإدخال اليومي'!AG15)=0,"",'الإدخال اليومي'!AG15))</f>
        <v/>
      </c>
      <c r="H41" s="17" t="str">
        <f>IF('الإدخال اليومي'!$B15="","",IF('الإدخال اليومي'!AE15="","",'الإدخال اليومي'!AE15))</f>
        <v>خالد عباس</v>
      </c>
      <c r="I41" s="17">
        <f>IF($B41="","",IFERROR(INDEX('الإدخال اليومي'!K15:AA15,MATCH(الإعدادات!$B$2,'الإدخال اليومي'!$K$3:$AA$3,0)),0))</f>
        <v>17</v>
      </c>
      <c r="J41" s="20">
        <f>IF('الإدخال اليومي'!$B15="","",IF('الإدخال اليومي'!F15="","",'الإدخال اليومي'!F15))</f>
        <v>46204</v>
      </c>
      <c r="K41" s="17">
        <f>IF($B41="","",N('الإدخال اليومي'!G15)+MAX(0,الإعدادات!$B$2-MAX(الإعدادات!$B$10+1,N(J41))+1)-SUMPRODUCT(('الإدخال اليومي'!$L15:$AA15&gt;0)*('الإدخال اليومي'!$L$3:$AA$3&gt;=MAX(الإعدادات!$B$10+1,N(J41)))*('الإدخال اليومي'!$L$3:$AA$3&lt;=الإعدادات!$B$2)))</f>
        <v>0</v>
      </c>
      <c r="L41" s="17">
        <f>IF($B41="","",MAX(0,الإعدادات!$B$10-IF(J41="",الإعدادات!$B$9,MAX(J41,الإعدادات!$B$9))+1-N('الإدخال اليومي'!G15))+SUMPRODUCT(('الإدخال اليومي'!$L15:$AA15&gt;0)*('الإدخال اليومي'!$L$3:$AA$3&gt;=MAX(الإعدادات!$B$10+1,N(J41)))*('الإدخال اليومي'!$L$3:$AA$3&lt;=الإعدادات!$B$2)))</f>
        <v>17</v>
      </c>
      <c r="M41" s="19">
        <f>IF($B41="","",IF(C41="امازون","",(IFERROR(INDEX(الإعدادات!$B$19:$B$22,MATCH(C41,الإعدادات!$A$19:$A$22,0)),الإعدادات!$B$3)/الإعدادات!$B$4)*L41))</f>
        <v>255</v>
      </c>
      <c r="N41" s="21">
        <f t="shared" si="1"/>
        <v>1.5019607843137255</v>
      </c>
      <c r="O41" s="19">
        <f>IF($B41="","",IF(OR(C41="امازون",L41=0),"",ROUND(F41/L41*الإعدادات!$B$4,0)))</f>
        <v>676</v>
      </c>
      <c r="P41" s="22" t="str">
        <f>IF($B41="","",IF('الإدخال اليومي'!AF15="لا يعمل","مستبعد (ترك العمل)",IF('الإدخال اليومي'!AF15="اجازه","مستبعد (اجازة)",IF(C41="امازون","امازون (شحنات)",IF(L41=0,"مستبعد (لم يعمل)",IF(F41&gt;=M41,"حقق",IF(F41&gt;=M41*الإعدادات!$B$8,"قريب","بعيد")))))))</f>
        <v>حقق</v>
      </c>
      <c r="Q41" s="16" t="str">
        <f>IF($B41="","",TRIM('الإدخال اليومي'!H15&amp;IF(N('الإدخال اليومي'!AC15)&gt;0," | + "&amp;'الإدخال اليومي'!AC15&amp;" طلب من "&amp;'الإدخال اليومي'!AB15&amp;" (محسوبة في الإجمالي)","")))</f>
        <v/>
      </c>
      <c r="R41" s="17">
        <f t="shared" si="2"/>
        <v>1</v>
      </c>
      <c r="S41" s="17" t="str">
        <f>IF($B41="","",IF('الإدخال اليومي'!AF15="","يعمل",'الإدخال اليومي'!AF15))</f>
        <v>يعمل</v>
      </c>
    </row>
    <row r="42" spans="1:19" x14ac:dyDescent="0.3">
      <c r="A42" s="15">
        <f>IF('الإدخال اليومي'!$B16="","",IF('الإدخال اليومي'!A16="","",'الإدخال اليومي'!A16))</f>
        <v>2569644962</v>
      </c>
      <c r="B42" s="16" t="str">
        <f>IF('الإدخال اليومي'!$B16="","",IF('الإدخال اليومي'!B16="","",'الإدخال اليومي'!B16))</f>
        <v>KHAYRUL ISLAM</v>
      </c>
      <c r="C42" s="17" t="str">
        <f>IF('الإدخال اليومي'!$B16="","",IF('الإدخال اليومي'!C16="","",'الإدخال اليومي'!C16))</f>
        <v>كيتا</v>
      </c>
      <c r="D42" s="17">
        <f>IF($B42="","",12)</f>
        <v>12</v>
      </c>
      <c r="E42" s="17" t="str">
        <f>IF('الإدخال اليومي'!$B16="","",IF('الإدخال اليومي'!AD16="","",'الإدخال اليومي'!AD16))</f>
        <v>كفالة</v>
      </c>
      <c r="F42" s="18">
        <f>IF($B42="","",'الإدخال اليومي'!I16)</f>
        <v>342</v>
      </c>
      <c r="G42" s="19" t="str">
        <f>IF($B42="","",IF(N('الإدخال اليومي'!AG16)=0,"",'الإدخال اليومي'!AG16))</f>
        <v/>
      </c>
      <c r="H42" s="17" t="str">
        <f>IF('الإدخال اليومي'!$B16="","",IF('الإدخال اليومي'!AE16="","",'الإدخال اليومي'!AE16))</f>
        <v>محمود خطاب</v>
      </c>
      <c r="I42" s="17">
        <f>IF($B42="","",IFERROR(INDEX('الإدخال اليومي'!K16:AA16,MATCH(الإعدادات!$B$2,'الإدخال اليومي'!$K$3:$AA$3,0)),0))</f>
        <v>15</v>
      </c>
      <c r="J42" s="20">
        <f>IF('الإدخال اليومي'!$B16="","",IF('الإدخال اليومي'!F16="","",'الإدخال اليومي'!F16))</f>
        <v>46139</v>
      </c>
      <c r="K42" s="17">
        <f>IF($B42="","",N('الإدخال اليومي'!G16)+MAX(0,الإعدادات!$B$2-MAX(الإعدادات!$B$10+1,N(J42))+1)-SUMPRODUCT(('الإدخال اليومي'!$L16:$AA16&gt;0)*('الإدخال اليومي'!$L$3:$AA$3&gt;=MAX(الإعدادات!$B$10+1,N(J42)))*('الإدخال اليومي'!$L$3:$AA$3&lt;=الإعدادات!$B$2)))</f>
        <v>0</v>
      </c>
      <c r="L42" s="17">
        <f>IF($B42="","",MAX(0,الإعدادات!$B$10-IF(J42="",الإعدادات!$B$9,MAX(J42,الإعدادات!$B$9))+1-N('الإدخال اليومي'!G16))+SUMPRODUCT(('الإدخال اليومي'!$L16:$AA16&gt;0)*('الإدخال اليومي'!$L$3:$AA$3&gt;=MAX(الإعدادات!$B$10+1,N(J42)))*('الإدخال اليومي'!$L$3:$AA$3&lt;=الإعدادات!$B$2)))</f>
        <v>17</v>
      </c>
      <c r="M42" s="19">
        <f>IF($B42="","",IF(C42="امازون","",(IFERROR(INDEX(الإعدادات!$B$19:$B$22,MATCH(C42,الإعدادات!$A$19:$A$22,0)),الإعدادات!$B$3)/الإعدادات!$B$4)*L42))</f>
        <v>255</v>
      </c>
      <c r="N42" s="21">
        <f t="shared" si="1"/>
        <v>1.3411764705882352</v>
      </c>
      <c r="O42" s="19">
        <f>IF($B42="","",IF(OR(C42="امازون",L42=0),"",ROUND(F42/L42*الإعدادات!$B$4,0)))</f>
        <v>604</v>
      </c>
      <c r="P42" s="22" t="str">
        <f>IF($B42="","",IF('الإدخال اليومي'!AF16="لا يعمل","مستبعد (ترك العمل)",IF('الإدخال اليومي'!AF16="اجازه","مستبعد (اجازة)",IF(C42="امازون","امازون (شحنات)",IF(L42=0,"مستبعد (لم يعمل)",IF(F42&gt;=M42,"حقق",IF(F42&gt;=M42*الإعدادات!$B$8,"قريب","بعيد")))))))</f>
        <v>حقق</v>
      </c>
      <c r="Q42" s="16" t="str">
        <f>IF($B42="","",TRIM('الإدخال اليومي'!H16&amp;IF(N('الإدخال اليومي'!AC16)&gt;0," | + "&amp;'الإدخال اليومي'!AC16&amp;" طلب من "&amp;'الإدخال اليومي'!AB16&amp;" (محسوبة في الإجمالي)","")))</f>
        <v/>
      </c>
      <c r="R42" s="17">
        <f t="shared" si="2"/>
        <v>1</v>
      </c>
      <c r="S42" s="17" t="str">
        <f>IF($B42="","",IF('الإدخال اليومي'!AF16="","يعمل",'الإدخال اليومي'!AF16))</f>
        <v>يعمل</v>
      </c>
    </row>
    <row r="43" spans="1:19" x14ac:dyDescent="0.3">
      <c r="A43" s="15">
        <f>IF('الإدخال اليومي'!$B17="","",IF('الإدخال اليومي'!A17="","",'الإدخال اليومي'!A17))</f>
        <v>2548474473</v>
      </c>
      <c r="B43" s="16" t="str">
        <f>IF('الإدخال اليومي'!$B17="","",IF('الإدخال اليومي'!B17="","",'الإدخال اليومي'!B17))</f>
        <v>BELAL HOSEN</v>
      </c>
      <c r="C43" s="17" t="str">
        <f>IF('الإدخال اليومي'!$B17="","",IF('الإدخال اليومي'!C17="","",'الإدخال اليومي'!C17))</f>
        <v>كيتا</v>
      </c>
      <c r="D43" s="17">
        <f>IF($B43="","",13)</f>
        <v>13</v>
      </c>
      <c r="E43" s="17" t="str">
        <f>IF('الإدخال اليومي'!$B17="","",IF('الإدخال اليومي'!AD17="","",'الإدخال اليومي'!AD17))</f>
        <v>كفالة</v>
      </c>
      <c r="F43" s="18">
        <f>IF($B43="","",'الإدخال اليومي'!I17)</f>
        <v>377</v>
      </c>
      <c r="G43" s="19" t="str">
        <f>IF($B43="","",IF(N('الإدخال اليومي'!AG17)=0,"",'الإدخال اليومي'!AG17))</f>
        <v/>
      </c>
      <c r="H43" s="17" t="str">
        <f>IF('الإدخال اليومي'!$B17="","",IF('الإدخال اليومي'!AE17="","",'الإدخال اليومي'!AE17))</f>
        <v>محمود خطاب</v>
      </c>
      <c r="I43" s="17">
        <f>IF($B43="","",IFERROR(INDEX('الإدخال اليومي'!K17:AA17,MATCH(الإعدادات!$B$2,'الإدخال اليومي'!$K$3:$AA$3,0)),0))</f>
        <v>29</v>
      </c>
      <c r="J43" s="20">
        <f>IF('الإدخال اليومي'!$B17="","",IF('الإدخال اليومي'!F17="","",'الإدخال اليومي'!F17))</f>
        <v>45351</v>
      </c>
      <c r="K43" s="17">
        <f>IF($B43="","",N('الإدخال اليومي'!G17)+MAX(0,الإعدادات!$B$2-MAX(الإعدادات!$B$10+1,N(J43))+1)-SUMPRODUCT(('الإدخال اليومي'!$L17:$AA17&gt;0)*('الإدخال اليومي'!$L$3:$AA$3&gt;=MAX(الإعدادات!$B$10+1,N(J43)))*('الإدخال اليومي'!$L$3:$AA$3&lt;=الإعدادات!$B$2)))</f>
        <v>0</v>
      </c>
      <c r="L43" s="17">
        <f>IF($B43="","",MAX(0,الإعدادات!$B$10-IF(J43="",الإعدادات!$B$9,MAX(J43,الإعدادات!$B$9))+1-N('الإدخال اليومي'!G17))+SUMPRODUCT(('الإدخال اليومي'!$L17:$AA17&gt;0)*('الإدخال اليومي'!$L$3:$AA$3&gt;=MAX(الإعدادات!$B$10+1,N(J43)))*('الإدخال اليومي'!$L$3:$AA$3&lt;=الإعدادات!$B$2)))</f>
        <v>17</v>
      </c>
      <c r="M43" s="19">
        <f>IF($B43="","",IF(C43="امازون","",(IFERROR(INDEX(الإعدادات!$B$19:$B$22,MATCH(C43,الإعدادات!$A$19:$A$22,0)),الإعدادات!$B$3)/الإعدادات!$B$4)*L43))</f>
        <v>255</v>
      </c>
      <c r="N43" s="21">
        <f t="shared" si="1"/>
        <v>1.4784313725490197</v>
      </c>
      <c r="O43" s="19">
        <f>IF($B43="","",IF(OR(C43="امازون",L43=0),"",ROUND(F43/L43*الإعدادات!$B$4,0)))</f>
        <v>665</v>
      </c>
      <c r="P43" s="22" t="str">
        <f>IF($B43="","",IF('الإدخال اليومي'!AF17="لا يعمل","مستبعد (ترك العمل)",IF('الإدخال اليومي'!AF17="اجازه","مستبعد (اجازة)",IF(C43="امازون","امازون (شحنات)",IF(L43=0,"مستبعد (لم يعمل)",IF(F43&gt;=M43,"حقق",IF(F43&gt;=M43*الإعدادات!$B$8,"قريب","بعيد")))))))</f>
        <v>حقق</v>
      </c>
      <c r="Q43" s="16" t="str">
        <f>IF($B43="","",TRIM('الإدخال اليومي'!H17&amp;IF(N('الإدخال اليومي'!AC17)&gt;0," | + "&amp;'الإدخال اليومي'!AC17&amp;" طلب من "&amp;'الإدخال اليومي'!AB17&amp;" (محسوبة في الإجمالي)","")))</f>
        <v/>
      </c>
      <c r="R43" s="17">
        <f t="shared" si="2"/>
        <v>1</v>
      </c>
      <c r="S43" s="17" t="str">
        <f>IF($B43="","",IF('الإدخال اليومي'!AF17="","يعمل",'الإدخال اليومي'!AF17))</f>
        <v>يعمل</v>
      </c>
    </row>
    <row r="44" spans="1:19" x14ac:dyDescent="0.3">
      <c r="A44" s="15">
        <f>IF('الإدخال اليومي'!$B18="","",IF('الإدخال اليومي'!A18="","",'الإدخال اليومي'!A18))</f>
        <v>2560708006</v>
      </c>
      <c r="B44" s="16" t="str">
        <f>IF('الإدخال اليومي'!$B18="","",IF('الإدخال اليومي'!B18="","",'الإدخال اليومي'!B18))</f>
        <v>زاكير اوسين</v>
      </c>
      <c r="C44" s="17" t="str">
        <f>IF('الإدخال اليومي'!$B18="","",IF('الإدخال اليومي'!C18="","",'الإدخال اليومي'!C18))</f>
        <v>كيتا</v>
      </c>
      <c r="D44" s="17">
        <f>IF($B44="","",14)</f>
        <v>14</v>
      </c>
      <c r="E44" s="17" t="str">
        <f>IF('الإدخال اليومي'!$B18="","",IF('الإدخال اليومي'!AD18="","",'الإدخال اليومي'!AD18))</f>
        <v>فري لانسر</v>
      </c>
      <c r="F44" s="18">
        <f>IF($B44="","",'الإدخال اليومي'!I18)</f>
        <v>370</v>
      </c>
      <c r="G44" s="19" t="str">
        <f>IF($B44="","",IF(N('الإدخال اليومي'!AG18)=0,"",'الإدخال اليومي'!AG18))</f>
        <v/>
      </c>
      <c r="H44" s="17" t="str">
        <f>IF('الإدخال اليومي'!$B18="","",IF('الإدخال اليومي'!AE18="","",'الإدخال اليومي'!AE18))</f>
        <v>خالد عباس</v>
      </c>
      <c r="I44" s="17">
        <f>IF($B44="","",IFERROR(INDEX('الإدخال اليومي'!K18:AA18,MATCH(الإعدادات!$B$2,'الإدخال اليومي'!$K$3:$AA$3,0)),0))</f>
        <v>23</v>
      </c>
      <c r="J44" s="20">
        <f>IF('الإدخال اليومي'!$B18="","",IF('الإدخال اليومي'!F18="","",'الإدخال اليومي'!F18))</f>
        <v>46204</v>
      </c>
      <c r="K44" s="17">
        <f>IF($B44="","",N('الإدخال اليومي'!G18)+MAX(0,الإعدادات!$B$2-MAX(الإعدادات!$B$10+1,N(J44))+1)-SUMPRODUCT(('الإدخال اليومي'!$L18:$AA18&gt;0)*('الإدخال اليومي'!$L$3:$AA$3&gt;=MAX(الإعدادات!$B$10+1,N(J44)))*('الإدخال اليومي'!$L$3:$AA$3&lt;=الإعدادات!$B$2)))</f>
        <v>0</v>
      </c>
      <c r="L44" s="17">
        <f>IF($B44="","",MAX(0,الإعدادات!$B$10-IF(J44="",الإعدادات!$B$9,MAX(J44,الإعدادات!$B$9))+1-N('الإدخال اليومي'!G18))+SUMPRODUCT(('الإدخال اليومي'!$L18:$AA18&gt;0)*('الإدخال اليومي'!$L$3:$AA$3&gt;=MAX(الإعدادات!$B$10+1,N(J44)))*('الإدخال اليومي'!$L$3:$AA$3&lt;=الإعدادات!$B$2)))</f>
        <v>17</v>
      </c>
      <c r="M44" s="19">
        <f>IF($B44="","",IF(C44="امازون","",(IFERROR(INDEX(الإعدادات!$B$19:$B$22,MATCH(C44,الإعدادات!$A$19:$A$22,0)),الإعدادات!$B$3)/الإعدادات!$B$4)*L44))</f>
        <v>255</v>
      </c>
      <c r="N44" s="21">
        <f t="shared" si="1"/>
        <v>1.4509803921568627</v>
      </c>
      <c r="O44" s="19">
        <f>IF($B44="","",IF(OR(C44="امازون",L44=0),"",ROUND(F44/L44*الإعدادات!$B$4,0)))</f>
        <v>653</v>
      </c>
      <c r="P44" s="22" t="str">
        <f>IF($B44="","",IF('الإدخال اليومي'!AF18="لا يعمل","مستبعد (ترك العمل)",IF('الإدخال اليومي'!AF18="اجازه","مستبعد (اجازة)",IF(C44="امازون","امازون (شحنات)",IF(L44=0,"مستبعد (لم يعمل)",IF(F44&gt;=M44,"حقق",IF(F44&gt;=M44*الإعدادات!$B$8,"قريب","بعيد")))))))</f>
        <v>حقق</v>
      </c>
      <c r="Q44" s="16" t="str">
        <f>IF($B44="","",TRIM('الإدخال اليومي'!H18&amp;IF(N('الإدخال اليومي'!AC18)&gt;0," | + "&amp;'الإدخال اليومي'!AC18&amp;" طلب من "&amp;'الإدخال اليومي'!AB18&amp;" (محسوبة في الإجمالي)","")))</f>
        <v/>
      </c>
      <c r="R44" s="17">
        <f t="shared" si="2"/>
        <v>1</v>
      </c>
      <c r="S44" s="17" t="str">
        <f>IF($B44="","",IF('الإدخال اليومي'!AF18="","يعمل",'الإدخال اليومي'!AF18))</f>
        <v>يعمل</v>
      </c>
    </row>
    <row r="45" spans="1:19" x14ac:dyDescent="0.3">
      <c r="A45" s="15">
        <f>IF('الإدخال اليومي'!$B19="","",IF('الإدخال اليومي'!A19="","",'الإدخال اليومي'!A19))</f>
        <v>2548467725</v>
      </c>
      <c r="B45" s="16" t="str">
        <f>IF('الإدخال اليومي'!$B19="","",IF('الإدخال اليومي'!B19="","",'الإدخال اليومي'!B19))</f>
        <v>SHOHAN ALI</v>
      </c>
      <c r="C45" s="17" t="str">
        <f>IF('الإدخال اليومي'!$B19="","",IF('الإدخال اليومي'!C19="","",'الإدخال اليومي'!C19))</f>
        <v>كيتا</v>
      </c>
      <c r="D45" s="17">
        <f>IF($B45="","",15)</f>
        <v>15</v>
      </c>
      <c r="E45" s="17" t="str">
        <f>IF('الإدخال اليومي'!$B19="","",IF('الإدخال اليومي'!AD19="","",'الإدخال اليومي'!AD19))</f>
        <v>كفالة</v>
      </c>
      <c r="F45" s="18">
        <f>IF($B45="","",'الإدخال اليومي'!I19)</f>
        <v>359</v>
      </c>
      <c r="G45" s="19" t="str">
        <f>IF($B45="","",IF(N('الإدخال اليومي'!AG19)=0,"",'الإدخال اليومي'!AG19))</f>
        <v/>
      </c>
      <c r="H45" s="17" t="str">
        <f>IF('الإدخال اليومي'!$B19="","",IF('الإدخال اليومي'!AE19="","",'الإدخال اليومي'!AE19))</f>
        <v>محمود خطاب</v>
      </c>
      <c r="I45" s="17">
        <f>IF($B45="","",IFERROR(INDEX('الإدخال اليومي'!K19:AA19,MATCH(الإعدادات!$B$2,'الإدخال اليومي'!$K$3:$AA$3,0)),0))</f>
        <v>18</v>
      </c>
      <c r="J45" s="20">
        <f>IF('الإدخال اليومي'!$B19="","",IF('الإدخال اليومي'!F19="","",'الإدخال اليومي'!F19))</f>
        <v>45351</v>
      </c>
      <c r="K45" s="17">
        <f>IF($B45="","",N('الإدخال اليومي'!G19)+MAX(0,الإعدادات!$B$2-MAX(الإعدادات!$B$10+1,N(J45))+1)-SUMPRODUCT(('الإدخال اليومي'!$L19:$AA19&gt;0)*('الإدخال اليومي'!$L$3:$AA$3&gt;=MAX(الإعدادات!$B$10+1,N(J45)))*('الإدخال اليومي'!$L$3:$AA$3&lt;=الإعدادات!$B$2)))</f>
        <v>0</v>
      </c>
      <c r="L45" s="17">
        <f>IF($B45="","",MAX(0,الإعدادات!$B$10-IF(J45="",الإعدادات!$B$9,MAX(J45,الإعدادات!$B$9))+1-N('الإدخال اليومي'!G19))+SUMPRODUCT(('الإدخال اليومي'!$L19:$AA19&gt;0)*('الإدخال اليومي'!$L$3:$AA$3&gt;=MAX(الإعدادات!$B$10+1,N(J45)))*('الإدخال اليومي'!$L$3:$AA$3&lt;=الإعدادات!$B$2)))</f>
        <v>17</v>
      </c>
      <c r="M45" s="19">
        <f>IF($B45="","",IF(C45="امازون","",(IFERROR(INDEX(الإعدادات!$B$19:$B$22,MATCH(C45,الإعدادات!$A$19:$A$22,0)),الإعدادات!$B$3)/الإعدادات!$B$4)*L45))</f>
        <v>255</v>
      </c>
      <c r="N45" s="21">
        <f t="shared" si="1"/>
        <v>1.4078431372549021</v>
      </c>
      <c r="O45" s="19">
        <f>IF($B45="","",IF(OR(C45="امازون",L45=0),"",ROUND(F45/L45*الإعدادات!$B$4,0)))</f>
        <v>634</v>
      </c>
      <c r="P45" s="22" t="str">
        <f>IF($B45="","",IF('الإدخال اليومي'!AF19="لا يعمل","مستبعد (ترك العمل)",IF('الإدخال اليومي'!AF19="اجازه","مستبعد (اجازة)",IF(C45="امازون","امازون (شحنات)",IF(L45=0,"مستبعد (لم يعمل)",IF(F45&gt;=M45,"حقق",IF(F45&gt;=M45*الإعدادات!$B$8,"قريب","بعيد")))))))</f>
        <v>حقق</v>
      </c>
      <c r="Q45" s="16" t="str">
        <f>IF($B45="","",TRIM('الإدخال اليومي'!H19&amp;IF(N('الإدخال اليومي'!AC19)&gt;0," | + "&amp;'الإدخال اليومي'!AC19&amp;" طلب من "&amp;'الإدخال اليومي'!AB19&amp;" (محسوبة في الإجمالي)","")))</f>
        <v/>
      </c>
      <c r="R45" s="17">
        <f t="shared" si="2"/>
        <v>1</v>
      </c>
      <c r="S45" s="17" t="str">
        <f>IF($B45="","",IF('الإدخال اليومي'!AF19="","يعمل",'الإدخال اليومي'!AF19))</f>
        <v>يعمل</v>
      </c>
    </row>
    <row r="46" spans="1:19" x14ac:dyDescent="0.3">
      <c r="A46" s="15">
        <f>IF('الإدخال اليومي'!$B20="","",IF('الإدخال اليومي'!A20="","",'الإدخال اليومي'!A20))</f>
        <v>2556809818</v>
      </c>
      <c r="B46" s="16" t="str">
        <f>IF('الإدخال اليومي'!$B20="","",IF('الإدخال اليومي'!B20="","",'الإدخال اليومي'!B20))</f>
        <v>Md TAREQ Islam</v>
      </c>
      <c r="C46" s="17" t="str">
        <f>IF('الإدخال اليومي'!$B20="","",IF('الإدخال اليومي'!C20="","",'الإدخال اليومي'!C20))</f>
        <v>كيتا</v>
      </c>
      <c r="D46" s="17">
        <f>IF($B46="","",16)</f>
        <v>16</v>
      </c>
      <c r="E46" s="17" t="str">
        <f>IF('الإدخال اليومي'!$B20="","",IF('الإدخال اليومي'!AD20="","",'الإدخال اليومي'!AD20))</f>
        <v>كفالة</v>
      </c>
      <c r="F46" s="18">
        <f>IF($B46="","",'الإدخال اليومي'!I20)</f>
        <v>358</v>
      </c>
      <c r="G46" s="19" t="str">
        <f>IF($B46="","",IF(N('الإدخال اليومي'!AG20)=0,"",'الإدخال اليومي'!AG20))</f>
        <v/>
      </c>
      <c r="H46" s="17" t="str">
        <f>IF('الإدخال اليومي'!$B20="","",IF('الإدخال اليومي'!AE20="","",'الإدخال اليومي'!AE20))</f>
        <v>محمود خطاب</v>
      </c>
      <c r="I46" s="17">
        <f>IF($B46="","",IFERROR(INDEX('الإدخال اليومي'!K20:AA20,MATCH(الإعدادات!$B$2,'الإدخال اليومي'!$K$3:$AA$3,0)),0))</f>
        <v>19</v>
      </c>
      <c r="J46" s="20">
        <f>IF('الإدخال اليومي'!$B20="","",IF('الإدخال اليومي'!F20="","",'الإدخال اليومي'!F20))</f>
        <v>45924</v>
      </c>
      <c r="K46" s="17">
        <f>IF($B46="","",N('الإدخال اليومي'!G20)+MAX(0,الإعدادات!$B$2-MAX(الإعدادات!$B$10+1,N(J46))+1)-SUMPRODUCT(('الإدخال اليومي'!$L20:$AA20&gt;0)*('الإدخال اليومي'!$L$3:$AA$3&gt;=MAX(الإعدادات!$B$10+1,N(J46)))*('الإدخال اليومي'!$L$3:$AA$3&lt;=الإعدادات!$B$2)))</f>
        <v>0</v>
      </c>
      <c r="L46" s="17">
        <f>IF($B46="","",MAX(0,الإعدادات!$B$10-IF(J46="",الإعدادات!$B$9,MAX(J46,الإعدادات!$B$9))+1-N('الإدخال اليومي'!G20))+SUMPRODUCT(('الإدخال اليومي'!$L20:$AA20&gt;0)*('الإدخال اليومي'!$L$3:$AA$3&gt;=MAX(الإعدادات!$B$10+1,N(J46)))*('الإدخال اليومي'!$L$3:$AA$3&lt;=الإعدادات!$B$2)))</f>
        <v>17</v>
      </c>
      <c r="M46" s="19">
        <f>IF($B46="","",IF(C46="امازون","",(IFERROR(INDEX(الإعدادات!$B$19:$B$22,MATCH(C46,الإعدادات!$A$19:$A$22,0)),الإعدادات!$B$3)/الإعدادات!$B$4)*L46))</f>
        <v>255</v>
      </c>
      <c r="N46" s="21">
        <f t="shared" si="1"/>
        <v>1.4039215686274509</v>
      </c>
      <c r="O46" s="19">
        <f>IF($B46="","",IF(OR(C46="امازون",L46=0),"",ROUND(F46/L46*الإعدادات!$B$4,0)))</f>
        <v>632</v>
      </c>
      <c r="P46" s="22" t="str">
        <f>IF($B46="","",IF('الإدخال اليومي'!AF20="لا يعمل","مستبعد (ترك العمل)",IF('الإدخال اليومي'!AF20="اجازه","مستبعد (اجازة)",IF(C46="امازون","امازون (شحنات)",IF(L46=0,"مستبعد (لم يعمل)",IF(F46&gt;=M46,"حقق",IF(F46&gt;=M46*الإعدادات!$B$8,"قريب","بعيد")))))))</f>
        <v>حقق</v>
      </c>
      <c r="Q46" s="16" t="str">
        <f>IF($B46="","",TRIM('الإدخال اليومي'!H20&amp;IF(N('الإدخال اليومي'!AC20)&gt;0," | + "&amp;'الإدخال اليومي'!AC20&amp;" طلب من "&amp;'الإدخال اليومي'!AB20&amp;" (محسوبة في الإجمالي)","")))</f>
        <v/>
      </c>
      <c r="R46" s="17">
        <f t="shared" si="2"/>
        <v>1</v>
      </c>
      <c r="S46" s="17" t="str">
        <f>IF($B46="","",IF('الإدخال اليومي'!AF20="","يعمل",'الإدخال اليومي'!AF20))</f>
        <v>يعمل</v>
      </c>
    </row>
    <row r="47" spans="1:19" x14ac:dyDescent="0.3">
      <c r="A47" s="15">
        <f>IF('الإدخال اليومي'!$B21="","",IF('الإدخال اليومي'!A21="","",'الإدخال اليومي'!A21))</f>
        <v>2569644772</v>
      </c>
      <c r="B47" s="16" t="str">
        <f>IF('الإدخال اليومي'!$B21="","",IF('الإدخال اليومي'!B21="","",'الإدخال اليومي'!B21))</f>
        <v>MD Yousuf Hossain Masum</v>
      </c>
      <c r="C47" s="17" t="str">
        <f>IF('الإدخال اليومي'!$B21="","",IF('الإدخال اليومي'!C21="","",'الإدخال اليومي'!C21))</f>
        <v>كيتا</v>
      </c>
      <c r="D47" s="17">
        <f>IF($B47="","",17)</f>
        <v>17</v>
      </c>
      <c r="E47" s="17" t="str">
        <f>IF('الإدخال اليومي'!$B21="","",IF('الإدخال اليومي'!AD21="","",'الإدخال اليومي'!AD21))</f>
        <v>فري لانسر</v>
      </c>
      <c r="F47" s="18">
        <f>IF($B47="","",'الإدخال اليومي'!I21)</f>
        <v>370</v>
      </c>
      <c r="G47" s="19" t="str">
        <f>IF($B47="","",IF(N('الإدخال اليومي'!AG21)=0,"",'الإدخال اليومي'!AG21))</f>
        <v/>
      </c>
      <c r="H47" s="17" t="str">
        <f>IF('الإدخال اليومي'!$B21="","",IF('الإدخال اليومي'!AE21="","",'الإدخال اليومي'!AE21))</f>
        <v>خالد عباس</v>
      </c>
      <c r="I47" s="17">
        <f>IF($B47="","",IFERROR(INDEX('الإدخال اليومي'!K21:AA21,MATCH(الإعدادات!$B$2,'الإدخال اليومي'!$K$3:$AA$3,0)),0))</f>
        <v>26</v>
      </c>
      <c r="J47" s="20">
        <f>IF('الإدخال اليومي'!$B21="","",IF('الإدخال اليومي'!F21="","",'الإدخال اليومي'!F21))</f>
        <v>46204</v>
      </c>
      <c r="K47" s="17">
        <f>IF($B47="","",N('الإدخال اليومي'!G21)+MAX(0,الإعدادات!$B$2-MAX(الإعدادات!$B$10+1,N(J47))+1)-SUMPRODUCT(('الإدخال اليومي'!$L21:$AA21&gt;0)*('الإدخال اليومي'!$L$3:$AA$3&gt;=MAX(الإعدادات!$B$10+1,N(J47)))*('الإدخال اليومي'!$L$3:$AA$3&lt;=الإعدادات!$B$2)))</f>
        <v>0</v>
      </c>
      <c r="L47" s="17">
        <f>IF($B47="","",MAX(0,الإعدادات!$B$10-IF(J47="",الإعدادات!$B$9,MAX(J47,الإعدادات!$B$9))+1-N('الإدخال اليومي'!G21))+SUMPRODUCT(('الإدخال اليومي'!$L21:$AA21&gt;0)*('الإدخال اليومي'!$L$3:$AA$3&gt;=MAX(الإعدادات!$B$10+1,N(J47)))*('الإدخال اليومي'!$L$3:$AA$3&lt;=الإعدادات!$B$2)))</f>
        <v>17</v>
      </c>
      <c r="M47" s="19">
        <f>IF($B47="","",IF(C47="امازون","",(IFERROR(INDEX(الإعدادات!$B$19:$B$22,MATCH(C47,الإعدادات!$A$19:$A$22,0)),الإعدادات!$B$3)/الإعدادات!$B$4)*L47))</f>
        <v>255</v>
      </c>
      <c r="N47" s="21">
        <f t="shared" si="1"/>
        <v>1.4509803921568627</v>
      </c>
      <c r="O47" s="19">
        <f>IF($B47="","",IF(OR(C47="امازون",L47=0),"",ROUND(F47/L47*الإعدادات!$B$4,0)))</f>
        <v>653</v>
      </c>
      <c r="P47" s="22" t="str">
        <f>IF($B47="","",IF('الإدخال اليومي'!AF21="لا يعمل","مستبعد (ترك العمل)",IF('الإدخال اليومي'!AF21="اجازه","مستبعد (اجازة)",IF(C47="امازون","امازون (شحنات)",IF(L47=0,"مستبعد (لم يعمل)",IF(F47&gt;=M47,"حقق",IF(F47&gt;=M47*الإعدادات!$B$8,"قريب","بعيد")))))))</f>
        <v>حقق</v>
      </c>
      <c r="Q47" s="16" t="str">
        <f>IF($B47="","",TRIM('الإدخال اليومي'!H21&amp;IF(N('الإدخال اليومي'!AC21)&gt;0," | + "&amp;'الإدخال اليومي'!AC21&amp;" طلب من "&amp;'الإدخال اليومي'!AB21&amp;" (محسوبة في الإجمالي)","")))</f>
        <v/>
      </c>
      <c r="R47" s="17">
        <f t="shared" si="2"/>
        <v>1</v>
      </c>
      <c r="S47" s="17" t="str">
        <f>IF($B47="","",IF('الإدخال اليومي'!AF21="","يعمل",'الإدخال اليومي'!AF21))</f>
        <v>يعمل</v>
      </c>
    </row>
    <row r="48" spans="1:19" x14ac:dyDescent="0.3">
      <c r="A48" s="15">
        <f>IF('الإدخال اليومي'!$B22="","",IF('الإدخال اليومي'!A22="","",'الإدخال اليومي'!A22))</f>
        <v>2555618202</v>
      </c>
      <c r="B48" s="16" t="str">
        <f>IF('الإدخال اليومي'!$B22="","",IF('الإدخال اليومي'!B22="","",'الإدخال اليومي'!B22))</f>
        <v>GOMAA</v>
      </c>
      <c r="C48" s="17" t="str">
        <f>IF('الإدخال اليومي'!$B22="","",IF('الإدخال اليومي'!C22="","",'الإدخال اليومي'!C22))</f>
        <v>كيتا</v>
      </c>
      <c r="D48" s="17">
        <f>IF($B48="","",18)</f>
        <v>18</v>
      </c>
      <c r="E48" s="17" t="str">
        <f>IF('الإدخال اليومي'!$B22="","",IF('الإدخال اليومي'!AD22="","",'الإدخال اليومي'!AD22))</f>
        <v>كفالة</v>
      </c>
      <c r="F48" s="18">
        <f>IF($B48="","",'الإدخال اليومي'!I22)</f>
        <v>356</v>
      </c>
      <c r="G48" s="19" t="str">
        <f>IF($B48="","",IF(N('الإدخال اليومي'!AG22)=0,"",'الإدخال اليومي'!AG22))</f>
        <v/>
      </c>
      <c r="H48" s="17" t="str">
        <f>IF('الإدخال اليومي'!$B22="","",IF('الإدخال اليومي'!AE22="","",'الإدخال اليومي'!AE22))</f>
        <v>محمود خطاب</v>
      </c>
      <c r="I48" s="17">
        <f>IF($B48="","",IFERROR(INDEX('الإدخال اليومي'!K22:AA22,MATCH(الإعدادات!$B$2,'الإدخال اليومي'!$K$3:$AA$3,0)),0))</f>
        <v>19</v>
      </c>
      <c r="J48" s="20">
        <f>IF('الإدخال اليومي'!$B22="","",IF('الإدخال اليومي'!F22="","",'الإدخال اليومي'!F22))</f>
        <v>45322</v>
      </c>
      <c r="K48" s="17">
        <f>IF($B48="","",N('الإدخال اليومي'!G22)+MAX(0,الإعدادات!$B$2-MAX(الإعدادات!$B$10+1,N(J48))+1)-SUMPRODUCT(('الإدخال اليومي'!$L22:$AA22&gt;0)*('الإدخال اليومي'!$L$3:$AA$3&gt;=MAX(الإعدادات!$B$10+1,N(J48)))*('الإدخال اليومي'!$L$3:$AA$3&lt;=الإعدادات!$B$2)))</f>
        <v>0</v>
      </c>
      <c r="L48" s="17">
        <f>IF($B48="","",MAX(0,الإعدادات!$B$10-IF(J48="",الإعدادات!$B$9,MAX(J48,الإعدادات!$B$9))+1-N('الإدخال اليومي'!G22))+SUMPRODUCT(('الإدخال اليومي'!$L22:$AA22&gt;0)*('الإدخال اليومي'!$L$3:$AA$3&gt;=MAX(الإعدادات!$B$10+1,N(J48)))*('الإدخال اليومي'!$L$3:$AA$3&lt;=الإعدادات!$B$2)))</f>
        <v>17</v>
      </c>
      <c r="M48" s="19">
        <f>IF($B48="","",IF(C48="امازون","",(IFERROR(INDEX(الإعدادات!$B$19:$B$22,MATCH(C48,الإعدادات!$A$19:$A$22,0)),الإعدادات!$B$3)/الإعدادات!$B$4)*L48))</f>
        <v>255</v>
      </c>
      <c r="N48" s="21">
        <f t="shared" si="1"/>
        <v>1.3960784313725489</v>
      </c>
      <c r="O48" s="19">
        <f>IF($B48="","",IF(OR(C48="امازون",L48=0),"",ROUND(F48/L48*الإعدادات!$B$4,0)))</f>
        <v>628</v>
      </c>
      <c r="P48" s="22" t="str">
        <f>IF($B48="","",IF('الإدخال اليومي'!AF22="لا يعمل","مستبعد (ترك العمل)",IF('الإدخال اليومي'!AF22="اجازه","مستبعد (اجازة)",IF(C48="امازون","امازون (شحنات)",IF(L48=0,"مستبعد (لم يعمل)",IF(F48&gt;=M48,"حقق",IF(F48&gt;=M48*الإعدادات!$B$8,"قريب","بعيد")))))))</f>
        <v>حقق</v>
      </c>
      <c r="Q48" s="16" t="str">
        <f>IF($B48="","",TRIM('الإدخال اليومي'!H22&amp;IF(N('الإدخال اليومي'!AC22)&gt;0," | + "&amp;'الإدخال اليومي'!AC22&amp;" طلب من "&amp;'الإدخال اليومي'!AB22&amp;" (محسوبة في الإجمالي)","")))</f>
        <v/>
      </c>
      <c r="R48" s="17">
        <f t="shared" si="2"/>
        <v>1</v>
      </c>
      <c r="S48" s="17" t="str">
        <f>IF($B48="","",IF('الإدخال اليومي'!AF22="","يعمل",'الإدخال اليومي'!AF22))</f>
        <v>يعمل</v>
      </c>
    </row>
    <row r="49" spans="1:19" x14ac:dyDescent="0.3">
      <c r="A49" s="15">
        <f>IF('الإدخال اليومي'!$B23="","",IF('الإدخال اليومي'!A23="","",'الإدخال اليومي'!A23))</f>
        <v>2577075902</v>
      </c>
      <c r="B49" s="16" t="str">
        <f>IF('الإدخال اليومي'!$B23="","",IF('الإدخال اليومي'!B23="","",'الإدخال اليومي'!B23))</f>
        <v>MAHMOUDE KHALEFA</v>
      </c>
      <c r="C49" s="17" t="str">
        <f>IF('الإدخال اليومي'!$B23="","",IF('الإدخال اليومي'!C23="","",'الإدخال اليومي'!C23))</f>
        <v>كيتا</v>
      </c>
      <c r="D49" s="17">
        <f>IF($B49="","",19)</f>
        <v>19</v>
      </c>
      <c r="E49" s="17" t="str">
        <f>IF('الإدخال اليومي'!$B23="","",IF('الإدخال اليومي'!AD23="","",'الإدخال اليومي'!AD23))</f>
        <v>كفالة</v>
      </c>
      <c r="F49" s="18">
        <f>IF($B49="","",'الإدخال اليومي'!I23)</f>
        <v>357</v>
      </c>
      <c r="G49" s="19" t="str">
        <f>IF($B49="","",IF(N('الإدخال اليومي'!AG23)=0,"",'الإدخال اليومي'!AG23))</f>
        <v/>
      </c>
      <c r="H49" s="17" t="str">
        <f>IF('الإدخال اليومي'!$B23="","",IF('الإدخال اليومي'!AE23="","",'الإدخال اليومي'!AE23))</f>
        <v>محمود خطاب</v>
      </c>
      <c r="I49" s="17">
        <f>IF($B49="","",IFERROR(INDEX('الإدخال اليومي'!K23:AA23,MATCH(الإعدادات!$B$2,'الإدخال اليومي'!$K$3:$AA$3,0)),0))</f>
        <v>20</v>
      </c>
      <c r="J49" s="20">
        <f>IF('الإدخال اليومي'!$B23="","",IF('الإدخال اليومي'!F23="","",'الإدخال اليومي'!F23))</f>
        <v>46138</v>
      </c>
      <c r="K49" s="17">
        <f>IF($B49="","",N('الإدخال اليومي'!G23)+MAX(0,الإعدادات!$B$2-MAX(الإعدادات!$B$10+1,N(J49))+1)-SUMPRODUCT(('الإدخال اليومي'!$L23:$AA23&gt;0)*('الإدخال اليومي'!$L$3:$AA$3&gt;=MAX(الإعدادات!$B$10+1,N(J49)))*('الإدخال اليومي'!$L$3:$AA$3&lt;=الإعدادات!$B$2)))</f>
        <v>0</v>
      </c>
      <c r="L49" s="17">
        <f>IF($B49="","",MAX(0,الإعدادات!$B$10-IF(J49="",الإعدادات!$B$9,MAX(J49,الإعدادات!$B$9))+1-N('الإدخال اليومي'!G23))+SUMPRODUCT(('الإدخال اليومي'!$L23:$AA23&gt;0)*('الإدخال اليومي'!$L$3:$AA$3&gt;=MAX(الإعدادات!$B$10+1,N(J49)))*('الإدخال اليومي'!$L$3:$AA$3&lt;=الإعدادات!$B$2)))</f>
        <v>17</v>
      </c>
      <c r="M49" s="19">
        <f>IF($B49="","",IF(C49="امازون","",(IFERROR(INDEX(الإعدادات!$B$19:$B$22,MATCH(C49,الإعدادات!$A$19:$A$22,0)),الإعدادات!$B$3)/الإعدادات!$B$4)*L49))</f>
        <v>255</v>
      </c>
      <c r="N49" s="21">
        <f t="shared" si="1"/>
        <v>1.4</v>
      </c>
      <c r="O49" s="19">
        <f>IF($B49="","",IF(OR(C49="امازون",L49=0),"",ROUND(F49/L49*الإعدادات!$B$4,0)))</f>
        <v>630</v>
      </c>
      <c r="P49" s="22" t="str">
        <f>IF($B49="","",IF('الإدخال اليومي'!AF23="لا يعمل","مستبعد (ترك العمل)",IF('الإدخال اليومي'!AF23="اجازه","مستبعد (اجازة)",IF(C49="امازون","امازون (شحنات)",IF(L49=0,"مستبعد (لم يعمل)",IF(F49&gt;=M49,"حقق",IF(F49&gt;=M49*الإعدادات!$B$8,"قريب","بعيد")))))))</f>
        <v>حقق</v>
      </c>
      <c r="Q49" s="16" t="str">
        <f>IF($B49="","",TRIM('الإدخال اليومي'!H23&amp;IF(N('الإدخال اليومي'!AC23)&gt;0," | + "&amp;'الإدخال اليومي'!AC23&amp;" طلب من "&amp;'الإدخال اليومي'!AB23&amp;" (محسوبة في الإجمالي)","")))</f>
        <v/>
      </c>
      <c r="R49" s="17">
        <f t="shared" si="2"/>
        <v>1</v>
      </c>
      <c r="S49" s="17" t="str">
        <f>IF($B49="","",IF('الإدخال اليومي'!AF23="","يعمل",'الإدخال اليومي'!AF23))</f>
        <v>يعمل</v>
      </c>
    </row>
    <row r="50" spans="1:19" x14ac:dyDescent="0.3">
      <c r="A50" s="15">
        <f>IF('الإدخال اليومي'!$B24="","",IF('الإدخال اليومي'!A24="","",'الإدخال اليومي'!A24))</f>
        <v>2581749112</v>
      </c>
      <c r="B50" s="16" t="str">
        <f>IF('الإدخال اليومي'!$B24="","",IF('الإدخال اليومي'!B24="","",'الإدخال اليومي'!B24))</f>
        <v>abdelhamid</v>
      </c>
      <c r="C50" s="17" t="str">
        <f>IF('الإدخال اليومي'!$B24="","",IF('الإدخال اليومي'!C24="","",'الإدخال اليومي'!C24))</f>
        <v>كيتا</v>
      </c>
      <c r="D50" s="17">
        <f>IF($B50="","",20)</f>
        <v>20</v>
      </c>
      <c r="E50" s="17" t="str">
        <f>IF('الإدخال اليومي'!$B24="","",IF('الإدخال اليومي'!AD24="","",'الإدخال اليومي'!AD24))</f>
        <v>فري لانسر</v>
      </c>
      <c r="F50" s="18">
        <f>IF($B50="","",'الإدخال اليومي'!I24)</f>
        <v>360</v>
      </c>
      <c r="G50" s="19" t="str">
        <f>IF($B50="","",IF(N('الإدخال اليومي'!AG24)=0,"",'الإدخال اليومي'!AG24))</f>
        <v/>
      </c>
      <c r="H50" s="17" t="str">
        <f>IF('الإدخال اليومي'!$B24="","",IF('الإدخال اليومي'!AE24="","",'الإدخال اليومي'!AE24))</f>
        <v>خالد عباس</v>
      </c>
      <c r="I50" s="17">
        <f>IF($B50="","",IFERROR(INDEX('الإدخال اليومي'!K24:AA24,MATCH(الإعدادات!$B$2,'الإدخال اليومي'!$K$3:$AA$3,0)),0))</f>
        <v>18</v>
      </c>
      <c r="J50" s="20">
        <f>IF('الإدخال اليومي'!$B24="","",IF('الإدخال اليومي'!F24="","",'الإدخال اليومي'!F24))</f>
        <v>46204</v>
      </c>
      <c r="K50" s="17">
        <f>IF($B50="","",N('الإدخال اليومي'!G24)+MAX(0,الإعدادات!$B$2-MAX(الإعدادات!$B$10+1,N(J50))+1)-SUMPRODUCT(('الإدخال اليومي'!$L24:$AA24&gt;0)*('الإدخال اليومي'!$L$3:$AA$3&gt;=MAX(الإعدادات!$B$10+1,N(J50)))*('الإدخال اليومي'!$L$3:$AA$3&lt;=الإعدادات!$B$2)))</f>
        <v>0</v>
      </c>
      <c r="L50" s="17">
        <f>IF($B50="","",MAX(0,الإعدادات!$B$10-IF(J50="",الإعدادات!$B$9,MAX(J50,الإعدادات!$B$9))+1-N('الإدخال اليومي'!G24))+SUMPRODUCT(('الإدخال اليومي'!$L24:$AA24&gt;0)*('الإدخال اليومي'!$L$3:$AA$3&gt;=MAX(الإعدادات!$B$10+1,N(J50)))*('الإدخال اليومي'!$L$3:$AA$3&lt;=الإعدادات!$B$2)))</f>
        <v>17</v>
      </c>
      <c r="M50" s="19">
        <f>IF($B50="","",IF(C50="امازون","",(IFERROR(INDEX(الإعدادات!$B$19:$B$22,MATCH(C50,الإعدادات!$A$19:$A$22,0)),الإعدادات!$B$3)/الإعدادات!$B$4)*L50))</f>
        <v>255</v>
      </c>
      <c r="N50" s="21">
        <f t="shared" si="1"/>
        <v>1.411764705882353</v>
      </c>
      <c r="O50" s="19">
        <f>IF($B50="","",IF(OR(C50="امازون",L50=0),"",ROUND(F50/L50*الإعدادات!$B$4,0)))</f>
        <v>635</v>
      </c>
      <c r="P50" s="22" t="str">
        <f>IF($B50="","",IF('الإدخال اليومي'!AF24="لا يعمل","مستبعد (ترك العمل)",IF('الإدخال اليومي'!AF24="اجازه","مستبعد (اجازة)",IF(C50="امازون","امازون (شحنات)",IF(L50=0,"مستبعد (لم يعمل)",IF(F50&gt;=M50,"حقق",IF(F50&gt;=M50*الإعدادات!$B$8,"قريب","بعيد")))))))</f>
        <v>حقق</v>
      </c>
      <c r="Q50" s="16" t="str">
        <f>IF($B50="","",TRIM('الإدخال اليومي'!H24&amp;IF(N('الإدخال اليومي'!AC24)&gt;0," | + "&amp;'الإدخال اليومي'!AC24&amp;" طلب من "&amp;'الإدخال اليومي'!AB24&amp;" (محسوبة في الإجمالي)","")))</f>
        <v/>
      </c>
      <c r="R50" s="17">
        <f t="shared" si="2"/>
        <v>1</v>
      </c>
      <c r="S50" s="17" t="str">
        <f>IF($B50="","",IF('الإدخال اليومي'!AF24="","يعمل",'الإدخال اليومي'!AF24))</f>
        <v>يعمل</v>
      </c>
    </row>
    <row r="51" spans="1:19" x14ac:dyDescent="0.3">
      <c r="A51" s="15">
        <f>IF('الإدخال اليومي'!$B25="","",IF('الإدخال اليومي'!A25="","",'الإدخال اليومي'!A25))</f>
        <v>2616746968</v>
      </c>
      <c r="B51" s="16" t="str">
        <f>IF('الإدخال اليومي'!$B25="","",IF('الإدخال اليومي'!B25="","",'الإدخال اليومي'!B25))</f>
        <v>محمد نبوي</v>
      </c>
      <c r="C51" s="17" t="str">
        <f>IF('الإدخال اليومي'!$B25="","",IF('الإدخال اليومي'!C25="","",'الإدخال اليومي'!C25))</f>
        <v>كيتا</v>
      </c>
      <c r="D51" s="17">
        <f>IF($B51="","",21)</f>
        <v>21</v>
      </c>
      <c r="E51" s="17" t="str">
        <f>IF('الإدخال اليومي'!$B25="","",IF('الإدخال اليومي'!AD25="","",'الإدخال اليومي'!AD25))</f>
        <v>فري لانسر</v>
      </c>
      <c r="F51" s="18">
        <f>IF($B51="","",'الإدخال اليومي'!I25)</f>
        <v>332</v>
      </c>
      <c r="G51" s="19" t="str">
        <f>IF($B51="","",IF(N('الإدخال اليومي'!AG25)=0,"",'الإدخال اليومي'!AG25))</f>
        <v/>
      </c>
      <c r="H51" s="17" t="str">
        <f>IF('الإدخال اليومي'!$B25="","",IF('الإدخال اليومي'!AE25="","",'الإدخال اليومي'!AE25))</f>
        <v>خالد عباس</v>
      </c>
      <c r="I51" s="17">
        <f>IF($B51="","",IFERROR(INDEX('الإدخال اليومي'!K25:AA25,MATCH(الإعدادات!$B$2,'الإدخال اليومي'!$K$3:$AA$3,0)),0))</f>
        <v>4</v>
      </c>
      <c r="J51" s="20">
        <f>IF('الإدخال اليومي'!$B25="","",IF('الإدخال اليومي'!F25="","",'الإدخال اليومي'!F25))</f>
        <v>46256</v>
      </c>
      <c r="K51" s="17">
        <f>IF($B51="","",N('الإدخال اليومي'!G25)+MAX(0,الإعدادات!$B$2-MAX(الإعدادات!$B$10+1,N(J51))+1)-SUMPRODUCT(('الإدخال اليومي'!$L25:$AA25&gt;0)*('الإدخال اليومي'!$L$3:$AA$3&gt;=MAX(الإعدادات!$B$10+1,N(J51)))*('الإدخال اليومي'!$L$3:$AA$3&lt;=الإعدادات!$B$2)))</f>
        <v>0</v>
      </c>
      <c r="L51" s="17">
        <f>IF($B51="","",MAX(0,الإعدادات!$B$10-IF(J51="",الإعدادات!$B$9,MAX(J51,الإعدادات!$B$9))+1-N('الإدخال اليومي'!G25))+SUMPRODUCT(('الإدخال اليومي'!$L25:$AA25&gt;0)*('الإدخال اليومي'!$L$3:$AA$3&gt;=MAX(الإعدادات!$B$10+1,N(J51)))*('الإدخال اليومي'!$L$3:$AA$3&lt;=الإعدادات!$B$2)))</f>
        <v>17</v>
      </c>
      <c r="M51" s="19">
        <f>IF($B51="","",IF(C51="امازون","",(IFERROR(INDEX(الإعدادات!$B$19:$B$22,MATCH(C51,الإعدادات!$A$19:$A$22,0)),الإعدادات!$B$3)/الإعدادات!$B$4)*L51))</f>
        <v>255</v>
      </c>
      <c r="N51" s="21">
        <f t="shared" si="1"/>
        <v>1.3019607843137255</v>
      </c>
      <c r="O51" s="19">
        <f>IF($B51="","",IF(OR(C51="امازون",L51=0),"",ROUND(F51/L51*الإعدادات!$B$4,0)))</f>
        <v>586</v>
      </c>
      <c r="P51" s="22" t="str">
        <f>IF($B51="","",IF('الإدخال اليومي'!AF25="لا يعمل","مستبعد (ترك العمل)",IF('الإدخال اليومي'!AF25="اجازه","مستبعد (اجازة)",IF(C51="امازون","امازون (شحنات)",IF(L51=0,"مستبعد (لم يعمل)",IF(F51&gt;=M51,"حقق",IF(F51&gt;=M51*الإعدادات!$B$8,"قريب","بعيد")))))))</f>
        <v>حقق</v>
      </c>
      <c r="Q51" s="16" t="str">
        <f>IF($B51="","",TRIM('الإدخال اليومي'!H25&amp;IF(N('الإدخال اليومي'!AC25)&gt;0," | + "&amp;'الإدخال اليومي'!AC25&amp;" طلب من "&amp;'الإدخال اليومي'!AB25&amp;" (محسوبة في الإجمالي)","")))</f>
        <v/>
      </c>
      <c r="R51" s="17">
        <f t="shared" si="2"/>
        <v>1</v>
      </c>
      <c r="S51" s="17" t="str">
        <f>IF($B51="","",IF('الإدخال اليومي'!AF25="","يعمل",'الإدخال اليومي'!AF25))</f>
        <v>يعمل</v>
      </c>
    </row>
    <row r="52" spans="1:19" x14ac:dyDescent="0.3">
      <c r="A52" s="15">
        <f>IF('الإدخال اليومي'!$B26="","",IF('الإدخال اليومي'!A26="","",'الإدخال اليومي'!A26))</f>
        <v>2589023700</v>
      </c>
      <c r="B52" s="16" t="str">
        <f>IF('الإدخال اليومي'!$B26="","",IF('الإدخال اليومي'!B26="","",'الإدخال اليومي'!B26))</f>
        <v>HASINUR ISLAM BADON</v>
      </c>
      <c r="C52" s="17" t="str">
        <f>IF('الإدخال اليومي'!$B26="","",IF('الإدخال اليومي'!C26="","",'الإدخال اليومي'!C26))</f>
        <v>كيتا</v>
      </c>
      <c r="D52" s="17">
        <f>IF($B52="","",22)</f>
        <v>22</v>
      </c>
      <c r="E52" s="17" t="str">
        <f>IF('الإدخال اليومي'!$B26="","",IF('الإدخال اليومي'!AD26="","",'الإدخال اليومي'!AD26))</f>
        <v>فري لانسر</v>
      </c>
      <c r="F52" s="18">
        <f>IF($B52="","",'الإدخال اليومي'!I26)</f>
        <v>355</v>
      </c>
      <c r="G52" s="19" t="str">
        <f>IF($B52="","",IF(N('الإدخال اليومي'!AG26)=0,"",'الإدخال اليومي'!AG26))</f>
        <v/>
      </c>
      <c r="H52" s="17" t="str">
        <f>IF('الإدخال اليومي'!$B26="","",IF('الإدخال اليومي'!AE26="","",'الإدخال اليومي'!AE26))</f>
        <v>خالد عباس</v>
      </c>
      <c r="I52" s="17">
        <f>IF($B52="","",IFERROR(INDEX('الإدخال اليومي'!K26:AA26,MATCH(الإعدادات!$B$2,'الإدخال اليومي'!$K$3:$AA$3,0)),0))</f>
        <v>19</v>
      </c>
      <c r="J52" s="20">
        <f>IF('الإدخال اليومي'!$B26="","",IF('الإدخال اليومي'!F26="","",'الإدخال اليومي'!F26))</f>
        <v>46204</v>
      </c>
      <c r="K52" s="17">
        <f>IF($B52="","",N('الإدخال اليومي'!G26)+MAX(0,الإعدادات!$B$2-MAX(الإعدادات!$B$10+1,N(J52))+1)-SUMPRODUCT(('الإدخال اليومي'!$L26:$AA26&gt;0)*('الإدخال اليومي'!$L$3:$AA$3&gt;=MAX(الإعدادات!$B$10+1,N(J52)))*('الإدخال اليومي'!$L$3:$AA$3&lt;=الإعدادات!$B$2)))</f>
        <v>0</v>
      </c>
      <c r="L52" s="17">
        <f>IF($B52="","",MAX(0,الإعدادات!$B$10-IF(J52="",الإعدادات!$B$9,MAX(J52,الإعدادات!$B$9))+1-N('الإدخال اليومي'!G26))+SUMPRODUCT(('الإدخال اليومي'!$L26:$AA26&gt;0)*('الإدخال اليومي'!$L$3:$AA$3&gt;=MAX(الإعدادات!$B$10+1,N(J52)))*('الإدخال اليومي'!$L$3:$AA$3&lt;=الإعدادات!$B$2)))</f>
        <v>17</v>
      </c>
      <c r="M52" s="19">
        <f>IF($B52="","",IF(C52="امازون","",(IFERROR(INDEX(الإعدادات!$B$19:$B$22,MATCH(C52,الإعدادات!$A$19:$A$22,0)),الإعدادات!$B$3)/الإعدادات!$B$4)*L52))</f>
        <v>255</v>
      </c>
      <c r="N52" s="21">
        <f t="shared" si="1"/>
        <v>1.392156862745098</v>
      </c>
      <c r="O52" s="19">
        <f>IF($B52="","",IF(OR(C52="امازون",L52=0),"",ROUND(F52/L52*الإعدادات!$B$4,0)))</f>
        <v>626</v>
      </c>
      <c r="P52" s="22" t="str">
        <f>IF($B52="","",IF('الإدخال اليومي'!AF26="لا يعمل","مستبعد (ترك العمل)",IF('الإدخال اليومي'!AF26="اجازه","مستبعد (اجازة)",IF(C52="امازون","امازون (شحنات)",IF(L52=0,"مستبعد (لم يعمل)",IF(F52&gt;=M52,"حقق",IF(F52&gt;=M52*الإعدادات!$B$8,"قريب","بعيد")))))))</f>
        <v>حقق</v>
      </c>
      <c r="Q52" s="16" t="str">
        <f>IF($B52="","",TRIM('الإدخال اليومي'!H26&amp;IF(N('الإدخال اليومي'!AC26)&gt;0," | + "&amp;'الإدخال اليومي'!AC26&amp;" طلب من "&amp;'الإدخال اليومي'!AB26&amp;" (محسوبة في الإجمالي)","")))</f>
        <v/>
      </c>
      <c r="R52" s="17">
        <f t="shared" si="2"/>
        <v>1</v>
      </c>
      <c r="S52" s="17" t="str">
        <f>IF($B52="","",IF('الإدخال اليومي'!AF26="","يعمل",'الإدخال اليومي'!AF26))</f>
        <v>يعمل</v>
      </c>
    </row>
    <row r="53" spans="1:19" x14ac:dyDescent="0.3">
      <c r="A53" s="15">
        <f>IF('الإدخال اليومي'!$B27="","",IF('الإدخال اليومي'!A27="","",'الإدخال اليومي'!A27))</f>
        <v>2577457951</v>
      </c>
      <c r="B53" s="16" t="str">
        <f>IF('الإدخال اليومي'!$B27="","",IF('الإدخال اليومي'!B27="","",'الإدخال اليومي'!B27))</f>
        <v>شميم مياه</v>
      </c>
      <c r="C53" s="17" t="str">
        <f>IF('الإدخال اليومي'!$B27="","",IF('الإدخال اليومي'!C27="","",'الإدخال اليومي'!C27))</f>
        <v>كيتا</v>
      </c>
      <c r="D53" s="17">
        <f>IF($B53="","",23)</f>
        <v>23</v>
      </c>
      <c r="E53" s="17" t="str">
        <f>IF('الإدخال اليومي'!$B27="","",IF('الإدخال اليومي'!AD27="","",'الإدخال اليومي'!AD27))</f>
        <v>فري لانسر</v>
      </c>
      <c r="F53" s="18">
        <f>IF($B53="","",'الإدخال اليومي'!I27)</f>
        <v>364</v>
      </c>
      <c r="G53" s="19" t="str">
        <f>IF($B53="","",IF(N('الإدخال اليومي'!AG27)=0,"",'الإدخال اليومي'!AG27))</f>
        <v/>
      </c>
      <c r="H53" s="17" t="str">
        <f>IF('الإدخال اليومي'!$B27="","",IF('الإدخال اليومي'!AE27="","",'الإدخال اليومي'!AE27))</f>
        <v>خالد عباس</v>
      </c>
      <c r="I53" s="17">
        <f>IF($B53="","",IFERROR(INDEX('الإدخال اليومي'!K27:AA27,MATCH(الإعدادات!$B$2,'الإدخال اليومي'!$K$3:$AA$3,0)),0))</f>
        <v>24</v>
      </c>
      <c r="J53" s="20">
        <f>IF('الإدخال اليومي'!$B27="","",IF('الإدخال اليومي'!F27="","",'الإدخال اليومي'!F27))</f>
        <v>46204</v>
      </c>
      <c r="K53" s="17">
        <f>IF($B53="","",N('الإدخال اليومي'!G27)+MAX(0,الإعدادات!$B$2-MAX(الإعدادات!$B$10+1,N(J53))+1)-SUMPRODUCT(('الإدخال اليومي'!$L27:$AA27&gt;0)*('الإدخال اليومي'!$L$3:$AA$3&gt;=MAX(الإعدادات!$B$10+1,N(J53)))*('الإدخال اليومي'!$L$3:$AA$3&lt;=الإعدادات!$B$2)))</f>
        <v>0</v>
      </c>
      <c r="L53" s="17">
        <f>IF($B53="","",MAX(0,الإعدادات!$B$10-IF(J53="",الإعدادات!$B$9,MAX(J53,الإعدادات!$B$9))+1-N('الإدخال اليومي'!G27))+SUMPRODUCT(('الإدخال اليومي'!$L27:$AA27&gt;0)*('الإدخال اليومي'!$L$3:$AA$3&gt;=MAX(الإعدادات!$B$10+1,N(J53)))*('الإدخال اليومي'!$L$3:$AA$3&lt;=الإعدادات!$B$2)))</f>
        <v>17</v>
      </c>
      <c r="M53" s="19">
        <f>IF($B53="","",IF(C53="امازون","",(IFERROR(INDEX(الإعدادات!$B$19:$B$22,MATCH(C53,الإعدادات!$A$19:$A$22,0)),الإعدادات!$B$3)/الإعدادات!$B$4)*L53))</f>
        <v>255</v>
      </c>
      <c r="N53" s="21">
        <f t="shared" si="1"/>
        <v>1.4274509803921569</v>
      </c>
      <c r="O53" s="19">
        <f>IF($B53="","",IF(OR(C53="امازون",L53=0),"",ROUND(F53/L53*الإعدادات!$B$4,0)))</f>
        <v>642</v>
      </c>
      <c r="P53" s="22" t="str">
        <f>IF($B53="","",IF('الإدخال اليومي'!AF27="لا يعمل","مستبعد (ترك العمل)",IF('الإدخال اليومي'!AF27="اجازه","مستبعد (اجازة)",IF(C53="امازون","امازون (شحنات)",IF(L53=0,"مستبعد (لم يعمل)",IF(F53&gt;=M53,"حقق",IF(F53&gt;=M53*الإعدادات!$B$8,"قريب","بعيد")))))))</f>
        <v>حقق</v>
      </c>
      <c r="Q53" s="16" t="str">
        <f>IF($B53="","",TRIM('الإدخال اليومي'!H27&amp;IF(N('الإدخال اليومي'!AC27)&gt;0," | + "&amp;'الإدخال اليومي'!AC27&amp;" طلب من "&amp;'الإدخال اليومي'!AB27&amp;" (محسوبة في الإجمالي)","")))</f>
        <v/>
      </c>
      <c r="R53" s="17">
        <f t="shared" si="2"/>
        <v>1</v>
      </c>
      <c r="S53" s="17" t="str">
        <f>IF($B53="","",IF('الإدخال اليومي'!AF27="","يعمل",'الإدخال اليومي'!AF27))</f>
        <v>يعمل</v>
      </c>
    </row>
    <row r="54" spans="1:19" x14ac:dyDescent="0.3">
      <c r="A54" s="15">
        <f>IF('الإدخال اليومي'!$B28="","",IF('الإدخال اليومي'!A28="","",'الإدخال اليومي'!A28))</f>
        <v>2630928295</v>
      </c>
      <c r="B54" s="16" t="str">
        <f>IF('الإدخال اليومي'!$B28="","",IF('الإدخال اليومي'!B28="","",'الإدخال اليومي'!B28))</f>
        <v>MD BARKAT ULLAH</v>
      </c>
      <c r="C54" s="17" t="str">
        <f>IF('الإدخال اليومي'!$B28="","",IF('الإدخال اليومي'!C28="","",'الإدخال اليومي'!C28))</f>
        <v>كيتا</v>
      </c>
      <c r="D54" s="17">
        <f>IF($B54="","",24)</f>
        <v>24</v>
      </c>
      <c r="E54" s="17" t="str">
        <f>IF('الإدخال اليومي'!$B28="","",IF('الإدخال اليومي'!AD28="","",'الإدخال اليومي'!AD28))</f>
        <v>فري لانسر</v>
      </c>
      <c r="F54" s="18">
        <f>IF($B54="","",'الإدخال اليومي'!I28)</f>
        <v>353</v>
      </c>
      <c r="G54" s="19" t="str">
        <f>IF($B54="","",IF(N('الإدخال اليومي'!AG28)=0,"",'الإدخال اليومي'!AG28))</f>
        <v/>
      </c>
      <c r="H54" s="17" t="str">
        <f>IF('الإدخال اليومي'!$B28="","",IF('الإدخال اليومي'!AE28="","",'الإدخال اليومي'!AE28))</f>
        <v>خالد عباس</v>
      </c>
      <c r="I54" s="17">
        <f>IF($B54="","",IFERROR(INDEX('الإدخال اليومي'!K28:AA28,MATCH(الإعدادات!$B$2,'الإدخال اليومي'!$K$3:$AA$3,0)),0))</f>
        <v>24</v>
      </c>
      <c r="J54" s="20">
        <f>IF('الإدخال اليومي'!$B28="","",IF('الإدخال اليومي'!F28="","",'الإدخال اليومي'!F28))</f>
        <v>46204</v>
      </c>
      <c r="K54" s="17">
        <f>IF($B54="","",N('الإدخال اليومي'!G28)+MAX(0,الإعدادات!$B$2-MAX(الإعدادات!$B$10+1,N(J54))+1)-SUMPRODUCT(('الإدخال اليومي'!$L28:$AA28&gt;0)*('الإدخال اليومي'!$L$3:$AA$3&gt;=MAX(الإعدادات!$B$10+1,N(J54)))*('الإدخال اليومي'!$L$3:$AA$3&lt;=الإعدادات!$B$2)))</f>
        <v>0</v>
      </c>
      <c r="L54" s="17">
        <f>IF($B54="","",MAX(0,الإعدادات!$B$10-IF(J54="",الإعدادات!$B$9,MAX(J54,الإعدادات!$B$9))+1-N('الإدخال اليومي'!G28))+SUMPRODUCT(('الإدخال اليومي'!$L28:$AA28&gt;0)*('الإدخال اليومي'!$L$3:$AA$3&gt;=MAX(الإعدادات!$B$10+1,N(J54)))*('الإدخال اليومي'!$L$3:$AA$3&lt;=الإعدادات!$B$2)))</f>
        <v>17</v>
      </c>
      <c r="M54" s="19">
        <f>IF($B54="","",IF(C54="امازون","",(IFERROR(INDEX(الإعدادات!$B$19:$B$22,MATCH(C54,الإعدادات!$A$19:$A$22,0)),الإعدادات!$B$3)/الإعدادات!$B$4)*L54))</f>
        <v>255</v>
      </c>
      <c r="N54" s="21">
        <f t="shared" si="1"/>
        <v>1.384313725490196</v>
      </c>
      <c r="O54" s="19">
        <f>IF($B54="","",IF(OR(C54="امازون",L54=0),"",ROUND(F54/L54*الإعدادات!$B$4,0)))</f>
        <v>623</v>
      </c>
      <c r="P54" s="22" t="str">
        <f>IF($B54="","",IF('الإدخال اليومي'!AF28="لا يعمل","مستبعد (ترك العمل)",IF('الإدخال اليومي'!AF28="اجازه","مستبعد (اجازة)",IF(C54="امازون","امازون (شحنات)",IF(L54=0,"مستبعد (لم يعمل)",IF(F54&gt;=M54,"حقق",IF(F54&gt;=M54*الإعدادات!$B$8,"قريب","بعيد")))))))</f>
        <v>حقق</v>
      </c>
      <c r="Q54" s="16" t="str">
        <f>IF($B54="","",TRIM('الإدخال اليومي'!H28&amp;IF(N('الإدخال اليومي'!AC28)&gt;0," | + "&amp;'الإدخال اليومي'!AC28&amp;" طلب من "&amp;'الإدخال اليومي'!AB28&amp;" (محسوبة في الإجمالي)","")))</f>
        <v/>
      </c>
      <c r="R54" s="17">
        <f t="shared" si="2"/>
        <v>1</v>
      </c>
      <c r="S54" s="17" t="str">
        <f>IF($B54="","",IF('الإدخال اليومي'!AF28="","يعمل",'الإدخال اليومي'!AF28))</f>
        <v>يعمل</v>
      </c>
    </row>
    <row r="55" spans="1:19" x14ac:dyDescent="0.3">
      <c r="A55" s="15">
        <f>IF('الإدخال اليومي'!$B29="","",IF('الإدخال اليومي'!A29="","",'الإدخال اليومي'!A29))</f>
        <v>2607007255</v>
      </c>
      <c r="B55" s="16" t="str">
        <f>IF('الإدخال اليومي'!$B29="","",IF('الإدخال اليومي'!B29="","",'الإدخال اليومي'!B29))</f>
        <v>MD ZAHIDUL ISLAM</v>
      </c>
      <c r="C55" s="17" t="str">
        <f>IF('الإدخال اليومي'!$B29="","",IF('الإدخال اليومي'!C29="","",'الإدخال اليومي'!C29))</f>
        <v>كيتا</v>
      </c>
      <c r="D55" s="17">
        <f>IF($B55="","",25)</f>
        <v>25</v>
      </c>
      <c r="E55" s="17" t="str">
        <f>IF('الإدخال اليومي'!$B29="","",IF('الإدخال اليومي'!AD29="","",'الإدخال اليومي'!AD29))</f>
        <v>فري لانسر</v>
      </c>
      <c r="F55" s="18">
        <f>IF($B55="","",'الإدخال اليومي'!I29)</f>
        <v>353</v>
      </c>
      <c r="G55" s="19" t="str">
        <f>IF($B55="","",IF(N('الإدخال اليومي'!AG29)=0,"",'الإدخال اليومي'!AG29))</f>
        <v/>
      </c>
      <c r="H55" s="17" t="str">
        <f>IF('الإدخال اليومي'!$B29="","",IF('الإدخال اليومي'!AE29="","",'الإدخال اليومي'!AE29))</f>
        <v>خالد عباس</v>
      </c>
      <c r="I55" s="17">
        <f>IF($B55="","",IFERROR(INDEX('الإدخال اليومي'!K29:AA29,MATCH(الإعدادات!$B$2,'الإدخال اليومي'!$K$3:$AA$3,0)),0))</f>
        <v>25</v>
      </c>
      <c r="J55" s="20">
        <f>IF('الإدخال اليومي'!$B29="","",IF('الإدخال اليومي'!F29="","",'الإدخال اليومي'!F29))</f>
        <v>46247</v>
      </c>
      <c r="K55" s="17">
        <f>IF($B55="","",N('الإدخال اليومي'!G29)+MAX(0,الإعدادات!$B$2-MAX(الإعدادات!$B$10+1,N(J55))+1)-SUMPRODUCT(('الإدخال اليومي'!$L29:$AA29&gt;0)*('الإدخال اليومي'!$L$3:$AA$3&gt;=MAX(الإعدادات!$B$10+1,N(J55)))*('الإدخال اليومي'!$L$3:$AA$3&lt;=الإعدادات!$B$2)))</f>
        <v>0</v>
      </c>
      <c r="L55" s="17">
        <f>IF($B55="","",MAX(0,الإعدادات!$B$10-IF(J55="",الإعدادات!$B$9,MAX(J55,الإعدادات!$B$9))+1-N('الإدخال اليومي'!G29))+SUMPRODUCT(('الإدخال اليومي'!$L29:$AA29&gt;0)*('الإدخال اليومي'!$L$3:$AA$3&gt;=MAX(الإعدادات!$B$10+1,N(J55)))*('الإدخال اليومي'!$L$3:$AA$3&lt;=الإعدادات!$B$2)))</f>
        <v>17</v>
      </c>
      <c r="M55" s="19">
        <f>IF($B55="","",IF(C55="امازون","",(IFERROR(INDEX(الإعدادات!$B$19:$B$22,MATCH(C55,الإعدادات!$A$19:$A$22,0)),الإعدادات!$B$3)/الإعدادات!$B$4)*L55))</f>
        <v>255</v>
      </c>
      <c r="N55" s="21">
        <f t="shared" si="1"/>
        <v>1.384313725490196</v>
      </c>
      <c r="O55" s="19">
        <f>IF($B55="","",IF(OR(C55="امازون",L55=0),"",ROUND(F55/L55*الإعدادات!$B$4,0)))</f>
        <v>623</v>
      </c>
      <c r="P55" s="22" t="str">
        <f>IF($B55="","",IF('الإدخال اليومي'!AF29="لا يعمل","مستبعد (ترك العمل)",IF('الإدخال اليومي'!AF29="اجازه","مستبعد (اجازة)",IF(C55="امازون","امازون (شحنات)",IF(L55=0,"مستبعد (لم يعمل)",IF(F55&gt;=M55,"حقق",IF(F55&gt;=M55*الإعدادات!$B$8,"قريب","بعيد")))))))</f>
        <v>حقق</v>
      </c>
      <c r="Q55" s="16" t="str">
        <f>IF($B55="","",TRIM('الإدخال اليومي'!H29&amp;IF(N('الإدخال اليومي'!AC29)&gt;0," | + "&amp;'الإدخال اليومي'!AC29&amp;" طلب من "&amp;'الإدخال اليومي'!AB29&amp;" (محسوبة في الإجمالي)","")))</f>
        <v/>
      </c>
      <c r="R55" s="17">
        <f t="shared" si="2"/>
        <v>1</v>
      </c>
      <c r="S55" s="17" t="str">
        <f>IF($B55="","",IF('الإدخال اليومي'!AF29="","يعمل",'الإدخال اليومي'!AF29))</f>
        <v>يعمل</v>
      </c>
    </row>
    <row r="56" spans="1:19" x14ac:dyDescent="0.3">
      <c r="A56" s="15">
        <f>IF('الإدخال اليومي'!$B30="","",IF('الإدخال اليومي'!A30="","",'الإدخال اليومي'!A30))</f>
        <v>2570719415</v>
      </c>
      <c r="B56" s="16" t="str">
        <f>IF('الإدخال اليومي'!$B30="","",IF('الإدخال اليومي'!B30="","",'الإدخال اليومي'!B30))</f>
        <v>Laden Sekh</v>
      </c>
      <c r="C56" s="17" t="str">
        <f>IF('الإدخال اليومي'!$B30="","",IF('الإدخال اليومي'!C30="","",'الإدخال اليومي'!C30))</f>
        <v>كيتا</v>
      </c>
      <c r="D56" s="17">
        <f>IF($B56="","",26)</f>
        <v>26</v>
      </c>
      <c r="E56" s="17" t="str">
        <f>IF('الإدخال اليومي'!$B30="","",IF('الإدخال اليومي'!AD30="","",'الإدخال اليومي'!AD30))</f>
        <v>كفالة</v>
      </c>
      <c r="F56" s="18">
        <f>IF($B56="","",'الإدخال اليومي'!I30)</f>
        <v>349</v>
      </c>
      <c r="G56" s="19" t="str">
        <f>IF($B56="","",IF(N('الإدخال اليومي'!AG30)=0,"",'الإدخال اليومي'!AG30))</f>
        <v/>
      </c>
      <c r="H56" s="17" t="str">
        <f>IF('الإدخال اليومي'!$B30="","",IF('الإدخال اليومي'!AE30="","",'الإدخال اليومي'!AE30))</f>
        <v>محمود خطاب</v>
      </c>
      <c r="I56" s="17">
        <f>IF($B56="","",IFERROR(INDEX('الإدخال اليومي'!K30:AA30,MATCH(الإعدادات!$B$2,'الإدخال اليومي'!$K$3:$AA$3,0)),0))</f>
        <v>25</v>
      </c>
      <c r="J56" s="20">
        <f>IF('الإدخال اليومي'!$B30="","",IF('الإدخال اليومي'!F30="","",'الإدخال اليومي'!F30))</f>
        <v>45443</v>
      </c>
      <c r="K56" s="17">
        <f>IF($B56="","",N('الإدخال اليومي'!G30)+MAX(0,الإعدادات!$B$2-MAX(الإعدادات!$B$10+1,N(J56))+1)-SUMPRODUCT(('الإدخال اليومي'!$L30:$AA30&gt;0)*('الإدخال اليومي'!$L$3:$AA$3&gt;=MAX(الإعدادات!$B$10+1,N(J56)))*('الإدخال اليومي'!$L$3:$AA$3&lt;=الإعدادات!$B$2)))</f>
        <v>0</v>
      </c>
      <c r="L56" s="17">
        <f>IF($B56="","",MAX(0,الإعدادات!$B$10-IF(J56="",الإعدادات!$B$9,MAX(J56,الإعدادات!$B$9))+1-N('الإدخال اليومي'!G30))+SUMPRODUCT(('الإدخال اليومي'!$L30:$AA30&gt;0)*('الإدخال اليومي'!$L$3:$AA$3&gt;=MAX(الإعدادات!$B$10+1,N(J56)))*('الإدخال اليومي'!$L$3:$AA$3&lt;=الإعدادات!$B$2)))</f>
        <v>17</v>
      </c>
      <c r="M56" s="19">
        <f>IF($B56="","",IF(C56="امازون","",(IFERROR(INDEX(الإعدادات!$B$19:$B$22,MATCH(C56,الإعدادات!$A$19:$A$22,0)),الإعدادات!$B$3)/الإعدادات!$B$4)*L56))</f>
        <v>255</v>
      </c>
      <c r="N56" s="21">
        <f t="shared" si="1"/>
        <v>1.3686274509803922</v>
      </c>
      <c r="O56" s="19">
        <f>IF($B56="","",IF(OR(C56="امازون",L56=0),"",ROUND(F56/L56*الإعدادات!$B$4,0)))</f>
        <v>616</v>
      </c>
      <c r="P56" s="22" t="str">
        <f>IF($B56="","",IF('الإدخال اليومي'!AF30="لا يعمل","مستبعد (ترك العمل)",IF('الإدخال اليومي'!AF30="اجازه","مستبعد (اجازة)",IF(C56="امازون","امازون (شحنات)",IF(L56=0,"مستبعد (لم يعمل)",IF(F56&gt;=M56,"حقق",IF(F56&gt;=M56*الإعدادات!$B$8,"قريب","بعيد")))))))</f>
        <v>حقق</v>
      </c>
      <c r="Q56" s="16" t="str">
        <f>IF($B56="","",TRIM('الإدخال اليومي'!H30&amp;IF(N('الإدخال اليومي'!AC30)&gt;0," | + "&amp;'الإدخال اليومي'!AC30&amp;" طلب من "&amp;'الإدخال اليومي'!AB30&amp;" (محسوبة في الإجمالي)","")))</f>
        <v/>
      </c>
      <c r="R56" s="17">
        <f t="shared" si="2"/>
        <v>1</v>
      </c>
      <c r="S56" s="17" t="str">
        <f>IF($B56="","",IF('الإدخال اليومي'!AF30="","يعمل",'الإدخال اليومي'!AF30))</f>
        <v>يعمل</v>
      </c>
    </row>
    <row r="57" spans="1:19" x14ac:dyDescent="0.3">
      <c r="A57" s="15">
        <f>IF('الإدخال اليومي'!$B31="","",IF('الإدخال اليومي'!A31="","",'الإدخال اليومي'!A31))</f>
        <v>2597004569</v>
      </c>
      <c r="B57" s="16" t="str">
        <f>IF('الإدخال اليومي'!$B31="","",IF('الإدخال اليومي'!B31="","",'الإدخال اليومي'!B31))</f>
        <v>MD rakibul shikder</v>
      </c>
      <c r="C57" s="17" t="str">
        <f>IF('الإدخال اليومي'!$B31="","",IF('الإدخال اليومي'!C31="","",'الإدخال اليومي'!C31))</f>
        <v>كيتا</v>
      </c>
      <c r="D57" s="17">
        <f>IF($B57="","",27)</f>
        <v>27</v>
      </c>
      <c r="E57" s="17" t="str">
        <f>IF('الإدخال اليومي'!$B31="","",IF('الإدخال اليومي'!AD31="","",'الإدخال اليومي'!AD31))</f>
        <v>كفالة</v>
      </c>
      <c r="F57" s="18">
        <f>IF($B57="","",'الإدخال اليومي'!I31)</f>
        <v>341</v>
      </c>
      <c r="G57" s="19" t="str">
        <f>IF($B57="","",IF(N('الإدخال اليومي'!AG31)=0,"",'الإدخال اليومي'!AG31))</f>
        <v/>
      </c>
      <c r="H57" s="17" t="str">
        <f>IF('الإدخال اليومي'!$B31="","",IF('الإدخال اليومي'!AE31="","",'الإدخال اليومي'!AE31))</f>
        <v>محمود خطاب</v>
      </c>
      <c r="I57" s="17">
        <f>IF($B57="","",IFERROR(INDEX('الإدخال اليومي'!K31:AA31,MATCH(الإعدادات!$B$2,'الإدخال اليومي'!$K$3:$AA$3,0)),0))</f>
        <v>16</v>
      </c>
      <c r="J57" s="20">
        <f>IF('الإدخال اليومي'!$B31="","",IF('الإدخال اليومي'!F31="","",'الإدخال اليومي'!F31))</f>
        <v>46071</v>
      </c>
      <c r="K57" s="17">
        <f>IF($B57="","",N('الإدخال اليومي'!G31)+MAX(0,الإعدادات!$B$2-MAX(الإعدادات!$B$10+1,N(J57))+1)-SUMPRODUCT(('الإدخال اليومي'!$L31:$AA31&gt;0)*('الإدخال اليومي'!$L$3:$AA$3&gt;=MAX(الإعدادات!$B$10+1,N(J57)))*('الإدخال اليومي'!$L$3:$AA$3&lt;=الإعدادات!$B$2)))</f>
        <v>0</v>
      </c>
      <c r="L57" s="17">
        <f>IF($B57="","",MAX(0,الإعدادات!$B$10-IF(J57="",الإعدادات!$B$9,MAX(J57,الإعدادات!$B$9))+1-N('الإدخال اليومي'!G31))+SUMPRODUCT(('الإدخال اليومي'!$L31:$AA31&gt;0)*('الإدخال اليومي'!$L$3:$AA$3&gt;=MAX(الإعدادات!$B$10+1,N(J57)))*('الإدخال اليومي'!$L$3:$AA$3&lt;=الإعدادات!$B$2)))</f>
        <v>17</v>
      </c>
      <c r="M57" s="19">
        <f>IF($B57="","",IF(C57="امازون","",(IFERROR(INDEX(الإعدادات!$B$19:$B$22,MATCH(C57,الإعدادات!$A$19:$A$22,0)),الإعدادات!$B$3)/الإعدادات!$B$4)*L57))</f>
        <v>255</v>
      </c>
      <c r="N57" s="21">
        <f t="shared" si="1"/>
        <v>1.3372549019607842</v>
      </c>
      <c r="O57" s="19">
        <f>IF($B57="","",IF(OR(C57="امازون",L57=0),"",ROUND(F57/L57*الإعدادات!$B$4,0)))</f>
        <v>602</v>
      </c>
      <c r="P57" s="22" t="str">
        <f>IF($B57="","",IF('الإدخال اليومي'!AF31="لا يعمل","مستبعد (ترك العمل)",IF('الإدخال اليومي'!AF31="اجازه","مستبعد (اجازة)",IF(C57="امازون","امازون (شحنات)",IF(L57=0,"مستبعد (لم يعمل)",IF(F57&gt;=M57,"حقق",IF(F57&gt;=M57*الإعدادات!$B$8,"قريب","بعيد")))))))</f>
        <v>حقق</v>
      </c>
      <c r="Q57" s="16" t="str">
        <f>IF($B57="","",TRIM('الإدخال اليومي'!H31&amp;IF(N('الإدخال اليومي'!AC31)&gt;0," | + "&amp;'الإدخال اليومي'!AC31&amp;" طلب من "&amp;'الإدخال اليومي'!AB31&amp;" (محسوبة في الإجمالي)","")))</f>
        <v/>
      </c>
      <c r="R57" s="17">
        <f t="shared" si="2"/>
        <v>1</v>
      </c>
      <c r="S57" s="17" t="str">
        <f>IF($B57="","",IF('الإدخال اليومي'!AF31="","يعمل",'الإدخال اليومي'!AF31))</f>
        <v>يعمل</v>
      </c>
    </row>
    <row r="58" spans="1:19" x14ac:dyDescent="0.3">
      <c r="A58" s="15">
        <f>IF('الإدخال اليومي'!$B32="","",IF('الإدخال اليومي'!A32="","",'الإدخال اليومي'!A32))</f>
        <v>2601020726</v>
      </c>
      <c r="B58" s="16" t="str">
        <f>IF('الإدخال اليومي'!$B32="","",IF('الإدخال اليومي'!B32="","",'الإدخال اليومي'!B32))</f>
        <v>MERAZOL ISLAME</v>
      </c>
      <c r="C58" s="17" t="str">
        <f>IF('الإدخال اليومي'!$B32="","",IF('الإدخال اليومي'!C32="","",'الإدخال اليومي'!C32))</f>
        <v>كيتا</v>
      </c>
      <c r="D58" s="17">
        <f>IF($B58="","",28)</f>
        <v>28</v>
      </c>
      <c r="E58" s="17" t="str">
        <f>IF('الإدخال اليومي'!$B32="","",IF('الإدخال اليومي'!AD32="","",'الإدخال اليومي'!AD32))</f>
        <v>كفالة</v>
      </c>
      <c r="F58" s="18">
        <f>IF($B58="","",'الإدخال اليومي'!I32)</f>
        <v>344</v>
      </c>
      <c r="G58" s="19" t="str">
        <f>IF($B58="","",IF(N('الإدخال اليومي'!AG32)=0,"",'الإدخال اليومي'!AG32))</f>
        <v/>
      </c>
      <c r="H58" s="17" t="str">
        <f>IF('الإدخال اليومي'!$B32="","",IF('الإدخال اليومي'!AE32="","",'الإدخال اليومي'!AE32))</f>
        <v>محمود خطاب</v>
      </c>
      <c r="I58" s="17">
        <f>IF($B58="","",IFERROR(INDEX('الإدخال اليومي'!K32:AA32,MATCH(الإعدادات!$B$2,'الإدخال اليومي'!$K$3:$AA$3,0)),0))</f>
        <v>23</v>
      </c>
      <c r="J58" s="20">
        <f>IF('الإدخال اليومي'!$B32="","",IF('الإدخال اليومي'!F32="","",'الإدخال اليومي'!F32))</f>
        <v>46138</v>
      </c>
      <c r="K58" s="17">
        <f>IF($B58="","",N('الإدخال اليومي'!G32)+MAX(0,الإعدادات!$B$2-MAX(الإعدادات!$B$10+1,N(J58))+1)-SUMPRODUCT(('الإدخال اليومي'!$L32:$AA32&gt;0)*('الإدخال اليومي'!$L$3:$AA$3&gt;=MAX(الإعدادات!$B$10+1,N(J58)))*('الإدخال اليومي'!$L$3:$AA$3&lt;=الإعدادات!$B$2)))</f>
        <v>0</v>
      </c>
      <c r="L58" s="17">
        <f>IF($B58="","",MAX(0,الإعدادات!$B$10-IF(J58="",الإعدادات!$B$9,MAX(J58,الإعدادات!$B$9))+1-N('الإدخال اليومي'!G32))+SUMPRODUCT(('الإدخال اليومي'!$L32:$AA32&gt;0)*('الإدخال اليومي'!$L$3:$AA$3&gt;=MAX(الإعدادات!$B$10+1,N(J58)))*('الإدخال اليومي'!$L$3:$AA$3&lt;=الإعدادات!$B$2)))</f>
        <v>17</v>
      </c>
      <c r="M58" s="19">
        <f>IF($B58="","",IF(C58="امازون","",(IFERROR(INDEX(الإعدادات!$B$19:$B$22,MATCH(C58,الإعدادات!$A$19:$A$22,0)),الإعدادات!$B$3)/الإعدادات!$B$4)*L58))</f>
        <v>255</v>
      </c>
      <c r="N58" s="21">
        <f t="shared" si="1"/>
        <v>1.3490196078431373</v>
      </c>
      <c r="O58" s="19">
        <f>IF($B58="","",IF(OR(C58="امازون",L58=0),"",ROUND(F58/L58*الإعدادات!$B$4,0)))</f>
        <v>607</v>
      </c>
      <c r="P58" s="22" t="str">
        <f>IF($B58="","",IF('الإدخال اليومي'!AF32="لا يعمل","مستبعد (ترك العمل)",IF('الإدخال اليومي'!AF32="اجازه","مستبعد (اجازة)",IF(C58="امازون","امازون (شحنات)",IF(L58=0,"مستبعد (لم يعمل)",IF(F58&gt;=M58,"حقق",IF(F58&gt;=M58*الإعدادات!$B$8,"قريب","بعيد")))))))</f>
        <v>حقق</v>
      </c>
      <c r="Q58" s="16" t="str">
        <f>IF($B58="","",TRIM('الإدخال اليومي'!H32&amp;IF(N('الإدخال اليومي'!AC32)&gt;0," | + "&amp;'الإدخال اليومي'!AC32&amp;" طلب من "&amp;'الإدخال اليومي'!AB32&amp;" (محسوبة في الإجمالي)","")))</f>
        <v/>
      </c>
      <c r="R58" s="17">
        <f t="shared" si="2"/>
        <v>1</v>
      </c>
      <c r="S58" s="17" t="str">
        <f>IF($B58="","",IF('الإدخال اليومي'!AF32="","يعمل",'الإدخال اليومي'!AF32))</f>
        <v>يعمل</v>
      </c>
    </row>
    <row r="59" spans="1:19" x14ac:dyDescent="0.3">
      <c r="A59" s="15">
        <f>IF('الإدخال اليومي'!$B33="","",IF('الإدخال اليومي'!A33="","",'الإدخال اليومي'!A33))</f>
        <v>2567989484</v>
      </c>
      <c r="B59" s="16" t="str">
        <f>IF('الإدخال اليومي'!$B33="","",IF('الإدخال اليومي'!B33="","",'الإدخال اليومي'!B33))</f>
        <v>MURSAD SK</v>
      </c>
      <c r="C59" s="17" t="str">
        <f>IF('الإدخال اليومي'!$B33="","",IF('الإدخال اليومي'!C33="","",'الإدخال اليومي'!C33))</f>
        <v>كيتا</v>
      </c>
      <c r="D59" s="17">
        <f>IF($B59="","",29)</f>
        <v>29</v>
      </c>
      <c r="E59" s="17" t="str">
        <f>IF('الإدخال اليومي'!$B33="","",IF('الإدخال اليومي'!AD33="","",'الإدخال اليومي'!AD33))</f>
        <v>كفالة</v>
      </c>
      <c r="F59" s="18">
        <f>IF($B59="","",'الإدخال اليومي'!I33)</f>
        <v>347</v>
      </c>
      <c r="G59" s="19" t="str">
        <f>IF($B59="","",IF(N('الإدخال اليومي'!AG33)=0,"",'الإدخال اليومي'!AG33))</f>
        <v/>
      </c>
      <c r="H59" s="17" t="str">
        <f>IF('الإدخال اليومي'!$B33="","",IF('الإدخال اليومي'!AE33="","",'الإدخال اليومي'!AE33))</f>
        <v>محمود خطاب</v>
      </c>
      <c r="I59" s="17">
        <f>IF($B59="","",IFERROR(INDEX('الإدخال اليومي'!K33:AA33,MATCH(الإعدادات!$B$2,'الإدخال اليومي'!$K$3:$AA$3,0)),0))</f>
        <v>20</v>
      </c>
      <c r="J59" s="20">
        <f>IF('الإدخال اليومي'!$B33="","",IF('الإدخال اليومي'!F33="","",'الإدخال اليومي'!F33))</f>
        <v>45412</v>
      </c>
      <c r="K59" s="17">
        <f>IF($B59="","",N('الإدخال اليومي'!G33)+MAX(0,الإعدادات!$B$2-MAX(الإعدادات!$B$10+1,N(J59))+1)-SUMPRODUCT(('الإدخال اليومي'!$L33:$AA33&gt;0)*('الإدخال اليومي'!$L$3:$AA$3&gt;=MAX(الإعدادات!$B$10+1,N(J59)))*('الإدخال اليومي'!$L$3:$AA$3&lt;=الإعدادات!$B$2)))</f>
        <v>0</v>
      </c>
      <c r="L59" s="17">
        <f>IF($B59="","",MAX(0,الإعدادات!$B$10-IF(J59="",الإعدادات!$B$9,MAX(J59,الإعدادات!$B$9))+1-N('الإدخال اليومي'!G33))+SUMPRODUCT(('الإدخال اليومي'!$L33:$AA33&gt;0)*('الإدخال اليومي'!$L$3:$AA$3&gt;=MAX(الإعدادات!$B$10+1,N(J59)))*('الإدخال اليومي'!$L$3:$AA$3&lt;=الإعدادات!$B$2)))</f>
        <v>17</v>
      </c>
      <c r="M59" s="19">
        <f>IF($B59="","",IF(C59="امازون","",(IFERROR(INDEX(الإعدادات!$B$19:$B$22,MATCH(C59,الإعدادات!$A$19:$A$22,0)),الإعدادات!$B$3)/الإعدادات!$B$4)*L59))</f>
        <v>255</v>
      </c>
      <c r="N59" s="21">
        <f t="shared" si="1"/>
        <v>1.3607843137254902</v>
      </c>
      <c r="O59" s="19">
        <f>IF($B59="","",IF(OR(C59="امازون",L59=0),"",ROUND(F59/L59*الإعدادات!$B$4,0)))</f>
        <v>612</v>
      </c>
      <c r="P59" s="22" t="str">
        <f>IF($B59="","",IF('الإدخال اليومي'!AF33="لا يعمل","مستبعد (ترك العمل)",IF('الإدخال اليومي'!AF33="اجازه","مستبعد (اجازة)",IF(C59="امازون","امازون (شحنات)",IF(L59=0,"مستبعد (لم يعمل)",IF(F59&gt;=M59,"حقق",IF(F59&gt;=M59*الإعدادات!$B$8,"قريب","بعيد")))))))</f>
        <v>حقق</v>
      </c>
      <c r="Q59" s="16" t="str">
        <f>IF($B59="","",TRIM('الإدخال اليومي'!H33&amp;IF(N('الإدخال اليومي'!AC33)&gt;0," | + "&amp;'الإدخال اليومي'!AC33&amp;" طلب من "&amp;'الإدخال اليومي'!AB33&amp;" (محسوبة في الإجمالي)","")))</f>
        <v/>
      </c>
      <c r="R59" s="17">
        <f t="shared" si="2"/>
        <v>1</v>
      </c>
      <c r="S59" s="17" t="str">
        <f>IF($B59="","",IF('الإدخال اليومي'!AF33="","يعمل",'الإدخال اليومي'!AF33))</f>
        <v>يعمل</v>
      </c>
    </row>
    <row r="60" spans="1:19" x14ac:dyDescent="0.3">
      <c r="A60" s="15">
        <f>IF('الإدخال اليومي'!$B34="","",IF('الإدخال اليومي'!A34="","",'الإدخال اليومي'!A34))</f>
        <v>2558231755</v>
      </c>
      <c r="B60" s="16" t="str">
        <f>IF('الإدخال اليومي'!$B34="","",IF('الإدخال اليومي'!B34="","",'الإدخال اليومي'!B34))</f>
        <v>محمد عزت سالم</v>
      </c>
      <c r="C60" s="17" t="str">
        <f>IF('الإدخال اليومي'!$B34="","",IF('الإدخال اليومي'!C34="","",'الإدخال اليومي'!C34))</f>
        <v>كيتا</v>
      </c>
      <c r="D60" s="17">
        <f>IF($B60="","",30)</f>
        <v>30</v>
      </c>
      <c r="E60" s="17" t="str">
        <f>IF('الإدخال اليومي'!$B34="","",IF('الإدخال اليومي'!AD34="","",'الإدخال اليومي'!AD34))</f>
        <v>فري لانسر</v>
      </c>
      <c r="F60" s="18">
        <f>IF($B60="","",'الإدخال اليومي'!I34)</f>
        <v>340</v>
      </c>
      <c r="G60" s="19" t="str">
        <f>IF($B60="","",IF(N('الإدخال اليومي'!AG34)=0,"",'الإدخال اليومي'!AG34))</f>
        <v/>
      </c>
      <c r="H60" s="17" t="str">
        <f>IF('الإدخال اليومي'!$B34="","",IF('الإدخال اليومي'!AE34="","",'الإدخال اليومي'!AE34))</f>
        <v>خالد عباس</v>
      </c>
      <c r="I60" s="17">
        <f>IF($B60="","",IFERROR(INDEX('الإدخال اليومي'!K34:AA34,MATCH(الإعدادات!$B$2,'الإدخال اليومي'!$K$3:$AA$3,0)),0))</f>
        <v>17</v>
      </c>
      <c r="J60" s="20">
        <f>IF('الإدخال اليومي'!$B34="","",IF('الإدخال اليومي'!F34="","",'الإدخال اليومي'!F34))</f>
        <v>46282</v>
      </c>
      <c r="K60" s="17">
        <f>IF($B60="","",N('الإدخال اليومي'!G34)+MAX(0,الإعدادات!$B$2-MAX(الإعدادات!$B$10+1,N(J60))+1)-SUMPRODUCT(('الإدخال اليومي'!$L34:$AA34&gt;0)*('الإدخال اليومي'!$L$3:$AA$3&gt;=MAX(الإعدادات!$B$10+1,N(J60)))*('الإدخال اليومي'!$L$3:$AA$3&lt;=الإعدادات!$B$2)))</f>
        <v>0</v>
      </c>
      <c r="L60" s="17">
        <f>IF($B60="","",MAX(0,الإعدادات!$B$10-IF(J60="",الإعدادات!$B$9,MAX(J60,الإعدادات!$B$9))+1-N('الإدخال اليومي'!G34))+SUMPRODUCT(('الإدخال اليومي'!$L34:$AA34&gt;0)*('الإدخال اليومي'!$L$3:$AA$3&gt;=MAX(الإعدادات!$B$10+1,N(J60)))*('الإدخال اليومي'!$L$3:$AA$3&lt;=الإعدادات!$B$2)))</f>
        <v>17</v>
      </c>
      <c r="M60" s="19">
        <f>IF($B60="","",IF(C60="امازون","",(IFERROR(INDEX(الإعدادات!$B$19:$B$22,MATCH(C60,الإعدادات!$A$19:$A$22,0)),الإعدادات!$B$3)/الإعدادات!$B$4)*L60))</f>
        <v>255</v>
      </c>
      <c r="N60" s="21">
        <f t="shared" si="1"/>
        <v>1.3333333333333333</v>
      </c>
      <c r="O60" s="19">
        <f>IF($B60="","",IF(OR(C60="امازون",L60=0),"",ROUND(F60/L60*الإعدادات!$B$4,0)))</f>
        <v>600</v>
      </c>
      <c r="P60" s="22" t="str">
        <f>IF($B60="","",IF('الإدخال اليومي'!AF34="لا يعمل","مستبعد (ترك العمل)",IF('الإدخال اليومي'!AF34="اجازه","مستبعد (اجازة)",IF(C60="امازون","امازون (شحنات)",IF(L60=0,"مستبعد (لم يعمل)",IF(F60&gt;=M60,"حقق",IF(F60&gt;=M60*الإعدادات!$B$8,"قريب","بعيد")))))))</f>
        <v>حقق</v>
      </c>
      <c r="Q60" s="16" t="str">
        <f>IF($B60="","",TRIM('الإدخال اليومي'!H34&amp;IF(N('الإدخال اليومي'!AC34)&gt;0," | + "&amp;'الإدخال اليومي'!AC34&amp;" طلب من "&amp;'الإدخال اليومي'!AB34&amp;" (محسوبة في الإجمالي)","")))</f>
        <v/>
      </c>
      <c r="R60" s="17">
        <f t="shared" si="2"/>
        <v>1</v>
      </c>
      <c r="S60" s="17" t="str">
        <f>IF($B60="","",IF('الإدخال اليومي'!AF34="","يعمل",'الإدخال اليومي'!AF34))</f>
        <v>يعمل</v>
      </c>
    </row>
    <row r="61" spans="1:19" x14ac:dyDescent="0.3">
      <c r="A61" s="15">
        <f>IF('الإدخال اليومي'!$B35="","",IF('الإدخال اليومي'!A35="","",'الإدخال اليومي'!A35))</f>
        <v>2580251441</v>
      </c>
      <c r="B61" s="16" t="str">
        <f>IF('الإدخال اليومي'!$B35="","",IF('الإدخال اليومي'!B35="","",'الإدخال اليومي'!B35))</f>
        <v>احمد مصطفي محمد</v>
      </c>
      <c r="C61" s="17" t="str">
        <f>IF('الإدخال اليومي'!$B35="","",IF('الإدخال اليومي'!C35="","",'الإدخال اليومي'!C35))</f>
        <v>كيتا</v>
      </c>
      <c r="D61" s="17">
        <f>IF($B61="","",31)</f>
        <v>31</v>
      </c>
      <c r="E61" s="17" t="str">
        <f>IF('الإدخال اليومي'!$B35="","",IF('الإدخال اليومي'!AD35="","",'الإدخال اليومي'!AD35))</f>
        <v>فري لانسر</v>
      </c>
      <c r="F61" s="18">
        <f>IF($B61="","",'الإدخال اليومي'!I35)</f>
        <v>318</v>
      </c>
      <c r="G61" s="19" t="str">
        <f>IF($B61="","",IF(N('الإدخال اليومي'!AG35)=0,"",'الإدخال اليومي'!AG35))</f>
        <v/>
      </c>
      <c r="H61" s="17" t="str">
        <f>IF('الإدخال اليومي'!$B35="","",IF('الإدخال اليومي'!AE35="","",'الإدخال اليومي'!AE35))</f>
        <v>خالد عباس</v>
      </c>
      <c r="I61" s="17">
        <f>IF($B61="","",IFERROR(INDEX('الإدخال اليومي'!K35:AA35,MATCH(الإعدادات!$B$2,'الإدخال اليومي'!$K$3:$AA$3,0)),0))</f>
        <v>13</v>
      </c>
      <c r="J61" s="20">
        <f>IF('الإدخال اليومي'!$B35="","",IF('الإدخال اليومي'!F35="","",'الإدخال اليومي'!F35))</f>
        <v>46295</v>
      </c>
      <c r="K61" s="17">
        <f>IF($B61="","",N('الإدخال اليومي'!G35)+MAX(0,الإعدادات!$B$2-MAX(الإعدادات!$B$10+1,N(J61))+1)-SUMPRODUCT(('الإدخال اليومي'!$L35:$AA35&gt;0)*('الإدخال اليومي'!$L$3:$AA$3&gt;=MAX(الإعدادات!$B$10+1,N(J61)))*('الإدخال اليومي'!$L$3:$AA$3&lt;=الإعدادات!$B$2)))</f>
        <v>0</v>
      </c>
      <c r="L61" s="17">
        <f>IF($B61="","",MAX(0,الإعدادات!$B$10-IF(J61="",الإعدادات!$B$9,MAX(J61,الإعدادات!$B$9))+1-N('الإدخال اليومي'!G35))+SUMPRODUCT(('الإدخال اليومي'!$L35:$AA35&gt;0)*('الإدخال اليومي'!$L$3:$AA$3&gt;=MAX(الإعدادات!$B$10+1,N(J61)))*('الإدخال اليومي'!$L$3:$AA$3&lt;=الإعدادات!$B$2)))</f>
        <v>17</v>
      </c>
      <c r="M61" s="19">
        <f>IF($B61="","",IF(C61="امازون","",(IFERROR(INDEX(الإعدادات!$B$19:$B$22,MATCH(C61,الإعدادات!$A$19:$A$22,0)),الإعدادات!$B$3)/الإعدادات!$B$4)*L61))</f>
        <v>255</v>
      </c>
      <c r="N61" s="21">
        <f t="shared" si="1"/>
        <v>1.2470588235294118</v>
      </c>
      <c r="O61" s="19">
        <f>IF($B61="","",IF(OR(C61="امازون",L61=0),"",ROUND(F61/L61*الإعدادات!$B$4,0)))</f>
        <v>561</v>
      </c>
      <c r="P61" s="22" t="str">
        <f>IF($B61="","",IF('الإدخال اليومي'!AF35="لا يعمل","مستبعد (ترك العمل)",IF('الإدخال اليومي'!AF35="اجازه","مستبعد (اجازة)",IF(C61="امازون","امازون (شحنات)",IF(L61=0,"مستبعد (لم يعمل)",IF(F61&gt;=M61,"حقق",IF(F61&gt;=M61*الإعدادات!$B$8,"قريب","بعيد")))))))</f>
        <v>حقق</v>
      </c>
      <c r="Q61" s="16" t="str">
        <f>IF($B61="","",TRIM('الإدخال اليومي'!H35&amp;IF(N('الإدخال اليومي'!AC35)&gt;0," | + "&amp;'الإدخال اليومي'!AC35&amp;" طلب من "&amp;'الإدخال اليومي'!AB35&amp;" (محسوبة في الإجمالي)","")))</f>
        <v>اسناد ضعيف</v>
      </c>
      <c r="R61" s="17">
        <f t="shared" si="2"/>
        <v>1</v>
      </c>
      <c r="S61" s="17" t="str">
        <f>IF($B61="","",IF('الإدخال اليومي'!AF35="","يعمل",'الإدخال اليومي'!AF35))</f>
        <v>يعمل</v>
      </c>
    </row>
    <row r="62" spans="1:19" x14ac:dyDescent="0.3">
      <c r="A62" s="15">
        <f>IF('الإدخال اليومي'!$B36="","",IF('الإدخال اليومي'!A36="","",'الإدخال اليومي'!A36))</f>
        <v>2588109203</v>
      </c>
      <c r="B62" s="16" t="str">
        <f>IF('الإدخال اليومي'!$B36="","",IF('الإدخال اليومي'!B36="","",'الإدخال اليومي'!B36))</f>
        <v>MAHMUDUL HASSAN</v>
      </c>
      <c r="C62" s="17" t="str">
        <f>IF('الإدخال اليومي'!$B36="","",IF('الإدخال اليومي'!C36="","",'الإدخال اليومي'!C36))</f>
        <v>كيتا</v>
      </c>
      <c r="D62" s="17">
        <f>IF($B62="","",32)</f>
        <v>32</v>
      </c>
      <c r="E62" s="17" t="str">
        <f>IF('الإدخال اليومي'!$B36="","",IF('الإدخال اليومي'!AD36="","",'الإدخال اليومي'!AD36))</f>
        <v>فري لانسر</v>
      </c>
      <c r="F62" s="18">
        <f>IF($B62="","",'الإدخال اليومي'!I36)</f>
        <v>321</v>
      </c>
      <c r="G62" s="19" t="str">
        <f>IF($B62="","",IF(N('الإدخال اليومي'!AG36)=0,"",'الإدخال اليومي'!AG36))</f>
        <v/>
      </c>
      <c r="H62" s="17" t="str">
        <f>IF('الإدخال اليومي'!$B36="","",IF('الإدخال اليومي'!AE36="","",'الإدخال اليومي'!AE36))</f>
        <v>خالد عباس</v>
      </c>
      <c r="I62" s="17">
        <f>IF($B62="","",IFERROR(INDEX('الإدخال اليومي'!K36:AA36,MATCH(الإعدادات!$B$2,'الإدخال اليومي'!$K$3:$AA$3,0)),0))</f>
        <v>16</v>
      </c>
      <c r="J62" s="20">
        <f>IF('الإدخال اليومي'!$B36="","",IF('الإدخال اليومي'!F36="","",'الإدخال اليومي'!F36))</f>
        <v>46204</v>
      </c>
      <c r="K62" s="17">
        <f>IF($B62="","",N('الإدخال اليومي'!G36)+MAX(0,الإعدادات!$B$2-MAX(الإعدادات!$B$10+1,N(J62))+1)-SUMPRODUCT(('الإدخال اليومي'!$L36:$AA36&gt;0)*('الإدخال اليومي'!$L$3:$AA$3&gt;=MAX(الإعدادات!$B$10+1,N(J62)))*('الإدخال اليومي'!$L$3:$AA$3&lt;=الإعدادات!$B$2)))</f>
        <v>0</v>
      </c>
      <c r="L62" s="17">
        <f>IF($B62="","",MAX(0,الإعدادات!$B$10-IF(J62="",الإعدادات!$B$9,MAX(J62,الإعدادات!$B$9))+1-N('الإدخال اليومي'!G36))+SUMPRODUCT(('الإدخال اليومي'!$L36:$AA36&gt;0)*('الإدخال اليومي'!$L$3:$AA$3&gt;=MAX(الإعدادات!$B$10+1,N(J62)))*('الإدخال اليومي'!$L$3:$AA$3&lt;=الإعدادات!$B$2)))</f>
        <v>17</v>
      </c>
      <c r="M62" s="19">
        <f>IF($B62="","",IF(C62="امازون","",(IFERROR(INDEX(الإعدادات!$B$19:$B$22,MATCH(C62,الإعدادات!$A$19:$A$22,0)),الإعدادات!$B$3)/الإعدادات!$B$4)*L62))</f>
        <v>255</v>
      </c>
      <c r="N62" s="21">
        <f t="shared" si="1"/>
        <v>1.2588235294117647</v>
      </c>
      <c r="O62" s="19">
        <f>IF($B62="","",IF(OR(C62="امازون",L62=0),"",ROUND(F62/L62*الإعدادات!$B$4,0)))</f>
        <v>566</v>
      </c>
      <c r="P62" s="22" t="str">
        <f>IF($B62="","",IF('الإدخال اليومي'!AF36="لا يعمل","مستبعد (ترك العمل)",IF('الإدخال اليومي'!AF36="اجازه","مستبعد (اجازة)",IF(C62="امازون","امازون (شحنات)",IF(L62=0,"مستبعد (لم يعمل)",IF(F62&gt;=M62,"حقق",IF(F62&gt;=M62*الإعدادات!$B$8,"قريب","بعيد")))))))</f>
        <v>حقق</v>
      </c>
      <c r="Q62" s="16" t="str">
        <f>IF($B62="","",TRIM('الإدخال اليومي'!H36&amp;IF(N('الإدخال اليومي'!AC36)&gt;0," | + "&amp;'الإدخال اليومي'!AC36&amp;" طلب من "&amp;'الإدخال اليومي'!AB36&amp;" (محسوبة في الإجمالي)","")))</f>
        <v/>
      </c>
      <c r="R62" s="17">
        <f t="shared" si="2"/>
        <v>1</v>
      </c>
      <c r="S62" s="17" t="str">
        <f>IF($B62="","",IF('الإدخال اليومي'!AF36="","يعمل",'الإدخال اليومي'!AF36))</f>
        <v>يعمل</v>
      </c>
    </row>
    <row r="63" spans="1:19" x14ac:dyDescent="0.3">
      <c r="A63" s="15">
        <f>IF('الإدخال اليومي'!$B37="","",IF('الإدخال اليومي'!A37="","",'الإدخال اليومي'!A37))</f>
        <v>2586867323</v>
      </c>
      <c r="B63" s="16" t="str">
        <f>IF('الإدخال اليومي'!$B37="","",IF('الإدخال اليومي'!B37="","",'الإدخال اليومي'!B37))</f>
        <v>JAHANGIR aLAM</v>
      </c>
      <c r="C63" s="17" t="str">
        <f>IF('الإدخال اليومي'!$B37="","",IF('الإدخال اليومي'!C37="","",'الإدخال اليومي'!C37))</f>
        <v>كيتا</v>
      </c>
      <c r="D63" s="17">
        <f>IF($B63="","",33)</f>
        <v>33</v>
      </c>
      <c r="E63" s="17" t="str">
        <f>IF('الإدخال اليومي'!$B37="","",IF('الإدخال اليومي'!AD37="","",'الإدخال اليومي'!AD37))</f>
        <v>كفالة</v>
      </c>
      <c r="F63" s="18">
        <f>IF($B63="","",'الإدخال اليومي'!I37)</f>
        <v>322</v>
      </c>
      <c r="G63" s="19" t="str">
        <f>IF($B63="","",IF(N('الإدخال اليومي'!AG37)=0,"",'الإدخال اليومي'!AG37))</f>
        <v/>
      </c>
      <c r="H63" s="17" t="str">
        <f>IF('الإدخال اليومي'!$B37="","",IF('الإدخال اليومي'!AE37="","",'الإدخال اليومي'!AE37))</f>
        <v>محمود خطاب</v>
      </c>
      <c r="I63" s="17">
        <f>IF($B63="","",IFERROR(INDEX('الإدخال اليومي'!K37:AA37,MATCH(الإعدادات!$B$2,'الإدخال اليومي'!$K$3:$AA$3,0)),0))</f>
        <v>26</v>
      </c>
      <c r="J63" s="20">
        <f>IF('الإدخال اليومي'!$B37="","",IF('الإدخال اليومي'!F37="","",'الإدخال اليومي'!F37))</f>
        <v>46079</v>
      </c>
      <c r="K63" s="17">
        <f>IF($B63="","",N('الإدخال اليومي'!G37)+MAX(0,الإعدادات!$B$2-MAX(الإعدادات!$B$10+1,N(J63))+1)-SUMPRODUCT(('الإدخال اليومي'!$L37:$AA37&gt;0)*('الإدخال اليومي'!$L$3:$AA$3&gt;=MAX(الإعدادات!$B$10+1,N(J63)))*('الإدخال اليومي'!$L$3:$AA$3&lt;=الإعدادات!$B$2)))</f>
        <v>0</v>
      </c>
      <c r="L63" s="17">
        <f>IF($B63="","",MAX(0,الإعدادات!$B$10-IF(J63="",الإعدادات!$B$9,MAX(J63,الإعدادات!$B$9))+1-N('الإدخال اليومي'!G37))+SUMPRODUCT(('الإدخال اليومي'!$L37:$AA37&gt;0)*('الإدخال اليومي'!$L$3:$AA$3&gt;=MAX(الإعدادات!$B$10+1,N(J63)))*('الإدخال اليومي'!$L$3:$AA$3&lt;=الإعدادات!$B$2)))</f>
        <v>17</v>
      </c>
      <c r="M63" s="19">
        <f>IF($B63="","",IF(C63="امازون","",(IFERROR(INDEX(الإعدادات!$B$19:$B$22,MATCH(C63,الإعدادات!$A$19:$A$22,0)),الإعدادات!$B$3)/الإعدادات!$B$4)*L63))</f>
        <v>255</v>
      </c>
      <c r="N63" s="21">
        <f t="shared" si="1"/>
        <v>1.2627450980392156</v>
      </c>
      <c r="O63" s="19">
        <f>IF($B63="","",IF(OR(C63="امازون",L63=0),"",ROUND(F63/L63*الإعدادات!$B$4,0)))</f>
        <v>568</v>
      </c>
      <c r="P63" s="22" t="str">
        <f>IF($B63="","",IF('الإدخال اليومي'!AF37="لا يعمل","مستبعد (ترك العمل)",IF('الإدخال اليومي'!AF37="اجازه","مستبعد (اجازة)",IF(C63="امازون","امازون (شحنات)",IF(L63=0,"مستبعد (لم يعمل)",IF(F63&gt;=M63,"حقق",IF(F63&gt;=M63*الإعدادات!$B$8,"قريب","بعيد")))))))</f>
        <v>حقق</v>
      </c>
      <c r="Q63" s="16" t="str">
        <f>IF($B63="","",TRIM('الإدخال اليومي'!H37&amp;IF(N('الإدخال اليومي'!AC37)&gt;0," | + "&amp;'الإدخال اليومي'!AC37&amp;" طلب من "&amp;'الإدخال اليومي'!AB37&amp;" (محسوبة في الإجمالي)","")))</f>
        <v/>
      </c>
      <c r="R63" s="17">
        <f t="shared" si="2"/>
        <v>1</v>
      </c>
      <c r="S63" s="17" t="str">
        <f>IF($B63="","",IF('الإدخال اليومي'!AF37="","يعمل",'الإدخال اليومي'!AF37))</f>
        <v>يعمل</v>
      </c>
    </row>
    <row r="64" spans="1:19" x14ac:dyDescent="0.3">
      <c r="A64" s="15">
        <f>IF('الإدخال اليومي'!$B38="","",IF('الإدخال اليومي'!A38="","",'الإدخال اليومي'!A38))</f>
        <v>2591331687</v>
      </c>
      <c r="B64" s="16" t="str">
        <f>IF('الإدخال اليومي'!$B38="","",IF('الإدخال اليومي'!B38="","",'الإدخال اليومي'!B38))</f>
        <v>اسلام محمود السيد</v>
      </c>
      <c r="C64" s="17" t="str">
        <f>IF('الإدخال اليومي'!$B38="","",IF('الإدخال اليومي'!C38="","",'الإدخال اليومي'!C38))</f>
        <v>كيتا</v>
      </c>
      <c r="D64" s="17">
        <f>IF($B64="","",34)</f>
        <v>34</v>
      </c>
      <c r="E64" s="17" t="str">
        <f>IF('الإدخال اليومي'!$B38="","",IF('الإدخال اليومي'!AD38="","",'الإدخال اليومي'!AD38))</f>
        <v>فري لانسر</v>
      </c>
      <c r="F64" s="18">
        <f>IF($B64="","",'الإدخال اليومي'!I38)</f>
        <v>322</v>
      </c>
      <c r="G64" s="19" t="str">
        <f>IF($B64="","",IF(N('الإدخال اليومي'!AG38)=0,"",'الإدخال اليومي'!AG38))</f>
        <v/>
      </c>
      <c r="H64" s="17" t="str">
        <f>IF('الإدخال اليومي'!$B38="","",IF('الإدخال اليومي'!AE38="","",'الإدخال اليومي'!AE38))</f>
        <v>خالد عباس</v>
      </c>
      <c r="I64" s="17">
        <f>IF($B64="","",IFERROR(INDEX('الإدخال اليومي'!K38:AA38,MATCH(الإعدادات!$B$2,'الإدخال اليومي'!$K$3:$AA$3,0)),0))</f>
        <v>17</v>
      </c>
      <c r="J64" s="20">
        <f>IF('الإدخال اليومي'!$B38="","",IF('الإدخال اليومي'!F38="","",'الإدخال اليومي'!F38))</f>
        <v>46262</v>
      </c>
      <c r="K64" s="17">
        <f>IF($B64="","",N('الإدخال اليومي'!G38)+MAX(0,الإعدادات!$B$2-MAX(الإعدادات!$B$10+1,N(J64))+1)-SUMPRODUCT(('الإدخال اليومي'!$L38:$AA38&gt;0)*('الإدخال اليومي'!$L$3:$AA$3&gt;=MAX(الإعدادات!$B$10+1,N(J64)))*('الإدخال اليومي'!$L$3:$AA$3&lt;=الإعدادات!$B$2)))</f>
        <v>0</v>
      </c>
      <c r="L64" s="17">
        <f>IF($B64="","",MAX(0,الإعدادات!$B$10-IF(J64="",الإعدادات!$B$9,MAX(J64,الإعدادات!$B$9))+1-N('الإدخال اليومي'!G38))+SUMPRODUCT(('الإدخال اليومي'!$L38:$AA38&gt;0)*('الإدخال اليومي'!$L$3:$AA$3&gt;=MAX(الإعدادات!$B$10+1,N(J64)))*('الإدخال اليومي'!$L$3:$AA$3&lt;=الإعدادات!$B$2)))</f>
        <v>17</v>
      </c>
      <c r="M64" s="19">
        <f>IF($B64="","",IF(C64="امازون","",(IFERROR(INDEX(الإعدادات!$B$19:$B$22,MATCH(C64,الإعدادات!$A$19:$A$22,0)),الإعدادات!$B$3)/الإعدادات!$B$4)*L64))</f>
        <v>255</v>
      </c>
      <c r="N64" s="21">
        <f t="shared" si="1"/>
        <v>1.2627450980392156</v>
      </c>
      <c r="O64" s="19">
        <f>IF($B64="","",IF(OR(C64="امازون",L64=0),"",ROUND(F64/L64*الإعدادات!$B$4,0)))</f>
        <v>568</v>
      </c>
      <c r="P64" s="22" t="str">
        <f>IF($B64="","",IF('الإدخال اليومي'!AF38="لا يعمل","مستبعد (ترك العمل)",IF('الإدخال اليومي'!AF38="اجازه","مستبعد (اجازة)",IF(C64="امازون","امازون (شحنات)",IF(L64=0,"مستبعد (لم يعمل)",IF(F64&gt;=M64,"حقق",IF(F64&gt;=M64*الإعدادات!$B$8,"قريب","بعيد")))))))</f>
        <v>حقق</v>
      </c>
      <c r="Q64" s="16" t="str">
        <f>IF($B64="","",TRIM('الإدخال اليومي'!H38&amp;IF(N('الإدخال اليومي'!AC38)&gt;0," | + "&amp;'الإدخال اليومي'!AC38&amp;" طلب من "&amp;'الإدخال اليومي'!AB38&amp;" (محسوبة في الإجمالي)","")))</f>
        <v/>
      </c>
      <c r="R64" s="17">
        <f t="shared" si="2"/>
        <v>1</v>
      </c>
      <c r="S64" s="17" t="str">
        <f>IF($B64="","",IF('الإدخال اليومي'!AF38="","يعمل",'الإدخال اليومي'!AF38))</f>
        <v>يعمل</v>
      </c>
    </row>
    <row r="65" spans="1:19" x14ac:dyDescent="0.3">
      <c r="A65" s="15">
        <f>IF('الإدخال اليومي'!$B39="","",IF('الإدخال اليومي'!A39="","",'الإدخال اليومي'!A39))</f>
        <v>2598450894</v>
      </c>
      <c r="B65" s="16" t="str">
        <f>IF('الإدخال اليومي'!$B39="","",IF('الإدخال اليومي'!B39="","",'الإدخال اليومي'!B39))</f>
        <v>محمد شاه بران</v>
      </c>
      <c r="C65" s="17" t="str">
        <f>IF('الإدخال اليومي'!$B39="","",IF('الإدخال اليومي'!C39="","",'الإدخال اليومي'!C39))</f>
        <v>كيتا</v>
      </c>
      <c r="D65" s="17">
        <f>IF($B65="","",35)</f>
        <v>35</v>
      </c>
      <c r="E65" s="17" t="str">
        <f>IF('الإدخال اليومي'!$B39="","",IF('الإدخال اليومي'!AD39="","",'الإدخال اليومي'!AD39))</f>
        <v>فري لانسر</v>
      </c>
      <c r="F65" s="18">
        <f>IF($B65="","",'الإدخال اليومي'!I39)</f>
        <v>311</v>
      </c>
      <c r="G65" s="19" t="str">
        <f>IF($B65="","",IF(N('الإدخال اليومي'!AG39)=0,"",'الإدخال اليومي'!AG39))</f>
        <v/>
      </c>
      <c r="H65" s="17" t="str">
        <f>IF('الإدخال اليومي'!$B39="","",IF('الإدخال اليومي'!AE39="","",'الإدخال اليومي'!AE39))</f>
        <v>خالد عباس</v>
      </c>
      <c r="I65" s="17">
        <f>IF($B65="","",IFERROR(INDEX('الإدخال اليومي'!K39:AA39,MATCH(الإعدادات!$B$2,'الإدخال اليومي'!$K$3:$AA$3,0)),0))</f>
        <v>19</v>
      </c>
      <c r="J65" s="20">
        <f>IF('الإدخال اليومي'!$B39="","",IF('الإدخال اليومي'!F39="","",'الإدخال اليومي'!F39))</f>
        <v>46282</v>
      </c>
      <c r="K65" s="17">
        <f>IF($B65="","",N('الإدخال اليومي'!G39)+MAX(0,الإعدادات!$B$2-MAX(الإعدادات!$B$10+1,N(J65))+1)-SUMPRODUCT(('الإدخال اليومي'!$L39:$AA39&gt;0)*('الإدخال اليومي'!$L$3:$AA$3&gt;=MAX(الإعدادات!$B$10+1,N(J65)))*('الإدخال اليومي'!$L$3:$AA$3&lt;=الإعدادات!$B$2)))</f>
        <v>0</v>
      </c>
      <c r="L65" s="17">
        <f>IF($B65="","",MAX(0,الإعدادات!$B$10-IF(J65="",الإعدادات!$B$9,MAX(J65,الإعدادات!$B$9))+1-N('الإدخال اليومي'!G39))+SUMPRODUCT(('الإدخال اليومي'!$L39:$AA39&gt;0)*('الإدخال اليومي'!$L$3:$AA$3&gt;=MAX(الإعدادات!$B$10+1,N(J65)))*('الإدخال اليومي'!$L$3:$AA$3&lt;=الإعدادات!$B$2)))</f>
        <v>17</v>
      </c>
      <c r="M65" s="19">
        <f>IF($B65="","",IF(C65="امازون","",(IFERROR(INDEX(الإعدادات!$B$19:$B$22,MATCH(C65,الإعدادات!$A$19:$A$22,0)),الإعدادات!$B$3)/الإعدادات!$B$4)*L65))</f>
        <v>255</v>
      </c>
      <c r="N65" s="21">
        <f t="shared" si="1"/>
        <v>1.219607843137255</v>
      </c>
      <c r="O65" s="19">
        <f>IF($B65="","",IF(OR(C65="امازون",L65=0),"",ROUND(F65/L65*الإعدادات!$B$4,0)))</f>
        <v>549</v>
      </c>
      <c r="P65" s="22" t="str">
        <f>IF($B65="","",IF('الإدخال اليومي'!AF39="لا يعمل","مستبعد (ترك العمل)",IF('الإدخال اليومي'!AF39="اجازه","مستبعد (اجازة)",IF(C65="امازون","امازون (شحنات)",IF(L65=0,"مستبعد (لم يعمل)",IF(F65&gt;=M65,"حقق",IF(F65&gt;=M65*الإعدادات!$B$8,"قريب","بعيد")))))))</f>
        <v>حقق</v>
      </c>
      <c r="Q65" s="16" t="str">
        <f>IF($B65="","",TRIM('الإدخال اليومي'!H39&amp;IF(N('الإدخال اليومي'!AC39)&gt;0," | + "&amp;'الإدخال اليومي'!AC39&amp;" طلب من "&amp;'الإدخال اليومي'!AB39&amp;" (محسوبة في الإجمالي)","")))</f>
        <v/>
      </c>
      <c r="R65" s="17">
        <f t="shared" si="2"/>
        <v>1</v>
      </c>
      <c r="S65" s="17" t="str">
        <f>IF($B65="","",IF('الإدخال اليومي'!AF39="","يعمل",'الإدخال اليومي'!AF39))</f>
        <v>يعمل</v>
      </c>
    </row>
    <row r="66" spans="1:19" x14ac:dyDescent="0.3">
      <c r="A66" s="15">
        <f>IF('الإدخال اليومي'!$B40="","",IF('الإدخال اليومي'!A40="","",'الإدخال اليومي'!A40))</f>
        <v>2576049361</v>
      </c>
      <c r="B66" s="16" t="str">
        <f>IF('الإدخال اليومي'!$B40="","",IF('الإدخال اليومي'!B40="","",'الإدخال اليومي'!B40))</f>
        <v>مد رقيب الاسلام</v>
      </c>
      <c r="C66" s="17" t="str">
        <f>IF('الإدخال اليومي'!$B40="","",IF('الإدخال اليومي'!C40="","",'الإدخال اليومي'!C40))</f>
        <v>كيتا</v>
      </c>
      <c r="D66" s="17">
        <f>IF($B66="","",36)</f>
        <v>36</v>
      </c>
      <c r="E66" s="17" t="str">
        <f>IF('الإدخال اليومي'!$B40="","",IF('الإدخال اليومي'!AD40="","",'الإدخال اليومي'!AD40))</f>
        <v>فري لانسر</v>
      </c>
      <c r="F66" s="18">
        <f>IF($B66="","",'الإدخال اليومي'!I40)</f>
        <v>321</v>
      </c>
      <c r="G66" s="19" t="str">
        <f>IF($B66="","",IF(N('الإدخال اليومي'!AG40)=0,"",'الإدخال اليومي'!AG40))</f>
        <v/>
      </c>
      <c r="H66" s="17" t="str">
        <f>IF('الإدخال اليومي'!$B40="","",IF('الإدخال اليومي'!AE40="","",'الإدخال اليومي'!AE40))</f>
        <v>خالد عباس</v>
      </c>
      <c r="I66" s="17">
        <f>IF($B66="","",IFERROR(INDEX('الإدخال اليومي'!K40:AA40,MATCH(الإعدادات!$B$2,'الإدخال اليومي'!$K$3:$AA$3,0)),0))</f>
        <v>22</v>
      </c>
      <c r="J66" s="20">
        <f>IF('الإدخال اليومي'!$B40="","",IF('الإدخال اليومي'!F40="","",'الإدخال اليومي'!F40))</f>
        <v>46272</v>
      </c>
      <c r="K66" s="17">
        <f>IF($B66="","",N('الإدخال اليومي'!G40)+MAX(0,الإعدادات!$B$2-MAX(الإعدادات!$B$10+1,N(J66))+1)-SUMPRODUCT(('الإدخال اليومي'!$L40:$AA40&gt;0)*('الإدخال اليومي'!$L$3:$AA$3&gt;=MAX(الإعدادات!$B$10+1,N(J66)))*('الإدخال اليومي'!$L$3:$AA$3&lt;=الإعدادات!$B$2)))</f>
        <v>0</v>
      </c>
      <c r="L66" s="17">
        <f>IF($B66="","",MAX(0,الإعدادات!$B$10-IF(J66="",الإعدادات!$B$9,MAX(J66,الإعدادات!$B$9))+1-N('الإدخال اليومي'!G40))+SUMPRODUCT(('الإدخال اليومي'!$L40:$AA40&gt;0)*('الإدخال اليومي'!$L$3:$AA$3&gt;=MAX(الإعدادات!$B$10+1,N(J66)))*('الإدخال اليومي'!$L$3:$AA$3&lt;=الإعدادات!$B$2)))</f>
        <v>17</v>
      </c>
      <c r="M66" s="19">
        <f>IF($B66="","",IF(C66="امازون","",(IFERROR(INDEX(الإعدادات!$B$19:$B$22,MATCH(C66,الإعدادات!$A$19:$A$22,0)),الإعدادات!$B$3)/الإعدادات!$B$4)*L66))</f>
        <v>255</v>
      </c>
      <c r="N66" s="21">
        <f t="shared" si="1"/>
        <v>1.2588235294117647</v>
      </c>
      <c r="O66" s="19">
        <f>IF($B66="","",IF(OR(C66="امازون",L66=0),"",ROUND(F66/L66*الإعدادات!$B$4,0)))</f>
        <v>566</v>
      </c>
      <c r="P66" s="22" t="str">
        <f>IF($B66="","",IF('الإدخال اليومي'!AF40="لا يعمل","مستبعد (ترك العمل)",IF('الإدخال اليومي'!AF40="اجازه","مستبعد (اجازة)",IF(C66="امازون","امازون (شحنات)",IF(L66=0,"مستبعد (لم يعمل)",IF(F66&gt;=M66,"حقق",IF(F66&gt;=M66*الإعدادات!$B$8,"قريب","بعيد")))))))</f>
        <v>حقق</v>
      </c>
      <c r="Q66" s="16" t="str">
        <f>IF($B66="","",TRIM('الإدخال اليومي'!H40&amp;IF(N('الإدخال اليومي'!AC40)&gt;0," | + "&amp;'الإدخال اليومي'!AC40&amp;" طلب من "&amp;'الإدخال اليومي'!AB40&amp;" (محسوبة في الإجمالي)","")))</f>
        <v/>
      </c>
      <c r="R66" s="17">
        <f t="shared" si="2"/>
        <v>1</v>
      </c>
      <c r="S66" s="17" t="str">
        <f>IF($B66="","",IF('الإدخال اليومي'!AF40="","يعمل",'الإدخال اليومي'!AF40))</f>
        <v>يعمل</v>
      </c>
    </row>
    <row r="67" spans="1:19" x14ac:dyDescent="0.3">
      <c r="A67" s="15">
        <f>IF('الإدخال اليومي'!$B41="","",IF('الإدخال اليومي'!A41="","",'الإدخال اليومي'!A41))</f>
        <v>2590036691</v>
      </c>
      <c r="B67" s="16" t="str">
        <f>IF('الإدخال اليومي'!$B41="","",IF('الإدخال اليومي'!B41="","",'الإدخال اليومي'!B41))</f>
        <v>عبدالحميد جمال شعبان</v>
      </c>
      <c r="C67" s="17" t="str">
        <f>IF('الإدخال اليومي'!$B41="","",IF('الإدخال اليومي'!C41="","",'الإدخال اليومي'!C41))</f>
        <v>كيتا</v>
      </c>
      <c r="D67" s="17">
        <f>IF($B67="","",37)</f>
        <v>37</v>
      </c>
      <c r="E67" s="17" t="str">
        <f>IF('الإدخال اليومي'!$B41="","",IF('الإدخال اليومي'!AD41="","",'الإدخال اليومي'!AD41))</f>
        <v>فري لانسر</v>
      </c>
      <c r="F67" s="18">
        <f>IF($B67="","",'الإدخال اليومي'!I41)</f>
        <v>304</v>
      </c>
      <c r="G67" s="19" t="str">
        <f>IF($B67="","",IF(N('الإدخال اليومي'!AG41)=0,"",'الإدخال اليومي'!AG41))</f>
        <v/>
      </c>
      <c r="H67" s="17" t="str">
        <f>IF('الإدخال اليومي'!$B41="","",IF('الإدخال اليومي'!AE41="","",'الإدخال اليومي'!AE41))</f>
        <v>خالد عباس</v>
      </c>
      <c r="I67" s="17">
        <f>IF($B67="","",IFERROR(INDEX('الإدخال اليومي'!K41:AA41,MATCH(الإعدادات!$B$2,'الإدخال اليومي'!$K$3:$AA$3,0)),0))</f>
        <v>13</v>
      </c>
      <c r="J67" s="20">
        <f>IF('الإدخال اليومي'!$B41="","",IF('الإدخال اليومي'!F41="","",'الإدخال اليومي'!F41))</f>
        <v>46241</v>
      </c>
      <c r="K67" s="17">
        <f>IF($B67="","",N('الإدخال اليومي'!G41)+MAX(0,الإعدادات!$B$2-MAX(الإعدادات!$B$10+1,N(J67))+1)-SUMPRODUCT(('الإدخال اليومي'!$L41:$AA41&gt;0)*('الإدخال اليومي'!$L$3:$AA$3&gt;=MAX(الإعدادات!$B$10+1,N(J67)))*('الإدخال اليومي'!$L$3:$AA$3&lt;=الإعدادات!$B$2)))</f>
        <v>0</v>
      </c>
      <c r="L67" s="17">
        <f>IF($B67="","",MAX(0,الإعدادات!$B$10-IF(J67="",الإعدادات!$B$9,MAX(J67,الإعدادات!$B$9))+1-N('الإدخال اليومي'!G41))+SUMPRODUCT(('الإدخال اليومي'!$L41:$AA41&gt;0)*('الإدخال اليومي'!$L$3:$AA$3&gt;=MAX(الإعدادات!$B$10+1,N(J67)))*('الإدخال اليومي'!$L$3:$AA$3&lt;=الإعدادات!$B$2)))</f>
        <v>17</v>
      </c>
      <c r="M67" s="19">
        <f>IF($B67="","",IF(C67="امازون","",(IFERROR(INDEX(الإعدادات!$B$19:$B$22,MATCH(C67,الإعدادات!$A$19:$A$22,0)),الإعدادات!$B$3)/الإعدادات!$B$4)*L67))</f>
        <v>255</v>
      </c>
      <c r="N67" s="21">
        <f t="shared" si="1"/>
        <v>1.192156862745098</v>
      </c>
      <c r="O67" s="19">
        <f>IF($B67="","",IF(OR(C67="امازون",L67=0),"",ROUND(F67/L67*الإعدادات!$B$4,0)))</f>
        <v>536</v>
      </c>
      <c r="P67" s="22" t="str">
        <f>IF($B67="","",IF('الإدخال اليومي'!AF41="لا يعمل","مستبعد (ترك العمل)",IF('الإدخال اليومي'!AF41="اجازه","مستبعد (اجازة)",IF(C67="امازون","امازون (شحنات)",IF(L67=0,"مستبعد (لم يعمل)",IF(F67&gt;=M67,"حقق",IF(F67&gt;=M67*الإعدادات!$B$8,"قريب","بعيد")))))))</f>
        <v>حقق</v>
      </c>
      <c r="Q67" s="16" t="str">
        <f>IF($B67="","",TRIM('الإدخال اليومي'!H41&amp;IF(N('الإدخال اليومي'!AC41)&gt;0," | + "&amp;'الإدخال اليومي'!AC41&amp;" طلب من "&amp;'الإدخال اليومي'!AB41&amp;" (محسوبة في الإجمالي)","")))</f>
        <v>مشكلة في نت المندوب وتم حلها</v>
      </c>
      <c r="R67" s="17">
        <f t="shared" si="2"/>
        <v>1</v>
      </c>
      <c r="S67" s="17" t="str">
        <f>IF($B67="","",IF('الإدخال اليومي'!AF41="","يعمل",'الإدخال اليومي'!AF41))</f>
        <v>يعمل</v>
      </c>
    </row>
    <row r="68" spans="1:19" x14ac:dyDescent="0.3">
      <c r="A68" s="15">
        <f>IF('الإدخال اليومي'!$B42="","",IF('الإدخال اليومي'!A42="","",'الإدخال اليومي'!A42))</f>
        <v>2589063623</v>
      </c>
      <c r="B68" s="16" t="str">
        <f>IF('الإدخال اليومي'!$B42="","",IF('الإدخال اليومي'!B42="","",'الإدخال اليومي'!B42))</f>
        <v>MD Sajid AHMED</v>
      </c>
      <c r="C68" s="17" t="str">
        <f>IF('الإدخال اليومي'!$B42="","",IF('الإدخال اليومي'!C42="","",'الإدخال اليومي'!C42))</f>
        <v>كيتا</v>
      </c>
      <c r="D68" s="17">
        <f>IF($B68="","",38)</f>
        <v>38</v>
      </c>
      <c r="E68" s="17" t="str">
        <f>IF('الإدخال اليومي'!$B42="","",IF('الإدخال اليومي'!AD42="","",'الإدخال اليومي'!AD42))</f>
        <v>فري لانسر</v>
      </c>
      <c r="F68" s="18">
        <f>IF($B68="","",'الإدخال اليومي'!I42)</f>
        <v>312</v>
      </c>
      <c r="G68" s="19" t="str">
        <f>IF($B68="","",IF(N('الإدخال اليومي'!AG42)=0,"",'الإدخال اليومي'!AG42))</f>
        <v/>
      </c>
      <c r="H68" s="17" t="str">
        <f>IF('الإدخال اليومي'!$B42="","",IF('الإدخال اليومي'!AE42="","",'الإدخال اليومي'!AE42))</f>
        <v>خالد عباس</v>
      </c>
      <c r="I68" s="17">
        <f>IF($B68="","",IFERROR(INDEX('الإدخال اليومي'!K42:AA42,MATCH(الإعدادات!$B$2,'الإدخال اليومي'!$K$3:$AA$3,0)),0))</f>
        <v>21</v>
      </c>
      <c r="J68" s="20">
        <f>IF('الإدخال اليومي'!$B42="","",IF('الإدخال اليومي'!F42="","",'الإدخال اليومي'!F42))</f>
        <v>46204</v>
      </c>
      <c r="K68" s="17">
        <f>IF($B68="","",N('الإدخال اليومي'!G42)+MAX(0,الإعدادات!$B$2-MAX(الإعدادات!$B$10+1,N(J68))+1)-SUMPRODUCT(('الإدخال اليومي'!$L42:$AA42&gt;0)*('الإدخال اليومي'!$L$3:$AA$3&gt;=MAX(الإعدادات!$B$10+1,N(J68)))*('الإدخال اليومي'!$L$3:$AA$3&lt;=الإعدادات!$B$2)))</f>
        <v>0</v>
      </c>
      <c r="L68" s="17">
        <f>IF($B68="","",MAX(0,الإعدادات!$B$10-IF(J68="",الإعدادات!$B$9,MAX(J68,الإعدادات!$B$9))+1-N('الإدخال اليومي'!G42))+SUMPRODUCT(('الإدخال اليومي'!$L42:$AA42&gt;0)*('الإدخال اليومي'!$L$3:$AA$3&gt;=MAX(الإعدادات!$B$10+1,N(J68)))*('الإدخال اليومي'!$L$3:$AA$3&lt;=الإعدادات!$B$2)))</f>
        <v>17</v>
      </c>
      <c r="M68" s="19">
        <f>IF($B68="","",IF(C68="امازون","",(IFERROR(INDEX(الإعدادات!$B$19:$B$22,MATCH(C68,الإعدادات!$A$19:$A$22,0)),الإعدادات!$B$3)/الإعدادات!$B$4)*L68))</f>
        <v>255</v>
      </c>
      <c r="N68" s="21">
        <f t="shared" si="1"/>
        <v>1.223529411764706</v>
      </c>
      <c r="O68" s="19">
        <f>IF($B68="","",IF(OR(C68="امازون",L68=0),"",ROUND(F68/L68*الإعدادات!$B$4,0)))</f>
        <v>551</v>
      </c>
      <c r="P68" s="22" t="str">
        <f>IF($B68="","",IF('الإدخال اليومي'!AF42="لا يعمل","مستبعد (ترك العمل)",IF('الإدخال اليومي'!AF42="اجازه","مستبعد (اجازة)",IF(C68="امازون","امازون (شحنات)",IF(L68=0,"مستبعد (لم يعمل)",IF(F68&gt;=M68,"حقق",IF(F68&gt;=M68*الإعدادات!$B$8,"قريب","بعيد")))))))</f>
        <v>حقق</v>
      </c>
      <c r="Q68" s="16" t="str">
        <f>IF($B68="","",TRIM('الإدخال اليومي'!H42&amp;IF(N('الإدخال اليومي'!AC42)&gt;0," | + "&amp;'الإدخال اليومي'!AC42&amp;" طلب من "&amp;'الإدخال اليومي'!AB42&amp;" (محسوبة في الإجمالي)","")))</f>
        <v/>
      </c>
      <c r="R68" s="17">
        <f t="shared" si="2"/>
        <v>1</v>
      </c>
      <c r="S68" s="17" t="str">
        <f>IF($B68="","",IF('الإدخال اليومي'!AF42="","يعمل",'الإدخال اليومي'!AF42))</f>
        <v>يعمل</v>
      </c>
    </row>
    <row r="69" spans="1:19" x14ac:dyDescent="0.3">
      <c r="A69" s="15">
        <f>IF('الإدخال اليومي'!$B43="","",IF('الإدخال اليومي'!A43="","",'الإدخال اليومي'!A43))</f>
        <v>2585782051</v>
      </c>
      <c r="B69" s="16" t="str">
        <f>IF('الإدخال اليومي'!$B43="","",IF('الإدخال اليومي'!B43="","",'الإدخال اليومي'!B43))</f>
        <v>HASAN AHMADE MOUSTAF</v>
      </c>
      <c r="C69" s="17" t="str">
        <f>IF('الإدخال اليومي'!$B43="","",IF('الإدخال اليومي'!C43="","",'الإدخال اليومي'!C43))</f>
        <v>كيتا</v>
      </c>
      <c r="D69" s="17">
        <f>IF($B69="","",39)</f>
        <v>39</v>
      </c>
      <c r="E69" s="17" t="str">
        <f>IF('الإدخال اليومي'!$B43="","",IF('الإدخال اليومي'!AD43="","",'الإدخال اليومي'!AD43))</f>
        <v>كفالة</v>
      </c>
      <c r="F69" s="18">
        <f>IF($B69="","",'الإدخال اليومي'!I43)</f>
        <v>304</v>
      </c>
      <c r="G69" s="19" t="str">
        <f>IF($B69="","",IF(N('الإدخال اليومي'!AG43)=0,"",'الإدخال اليومي'!AG43))</f>
        <v/>
      </c>
      <c r="H69" s="17" t="str">
        <f>IF('الإدخال اليومي'!$B43="","",IF('الإدخال اليومي'!AE43="","",'الإدخال اليومي'!AE43))</f>
        <v>محمود خطاب</v>
      </c>
      <c r="I69" s="17">
        <f>IF($B69="","",IFERROR(INDEX('الإدخال اليومي'!K43:AA43,MATCH(الإعدادات!$B$2,'الإدخال اليومي'!$K$3:$AA$3,0)),0))</f>
        <v>15</v>
      </c>
      <c r="J69" s="20">
        <f>IF('الإدخال اليومي'!$B43="","",IF('الإدخال اليومي'!F43="","",'الإدخال اليومي'!F43))</f>
        <v>45889</v>
      </c>
      <c r="K69" s="17">
        <f>IF($B69="","",N('الإدخال اليومي'!G43)+MAX(0,الإعدادات!$B$2-MAX(الإعدادات!$B$10+1,N(J69))+1)-SUMPRODUCT(('الإدخال اليومي'!$L43:$AA43&gt;0)*('الإدخال اليومي'!$L$3:$AA$3&gt;=MAX(الإعدادات!$B$10+1,N(J69)))*('الإدخال اليومي'!$L$3:$AA$3&lt;=الإعدادات!$B$2)))</f>
        <v>0</v>
      </c>
      <c r="L69" s="17">
        <f>IF($B69="","",MAX(0,الإعدادات!$B$10-IF(J69="",الإعدادات!$B$9,MAX(J69,الإعدادات!$B$9))+1-N('الإدخال اليومي'!G43))+SUMPRODUCT(('الإدخال اليومي'!$L43:$AA43&gt;0)*('الإدخال اليومي'!$L$3:$AA$3&gt;=MAX(الإعدادات!$B$10+1,N(J69)))*('الإدخال اليومي'!$L$3:$AA$3&lt;=الإعدادات!$B$2)))</f>
        <v>17</v>
      </c>
      <c r="M69" s="19">
        <f>IF($B69="","",IF(C69="امازون","",(IFERROR(INDEX(الإعدادات!$B$19:$B$22,MATCH(C69,الإعدادات!$A$19:$A$22,0)),الإعدادات!$B$3)/الإعدادات!$B$4)*L69))</f>
        <v>255</v>
      </c>
      <c r="N69" s="21">
        <f t="shared" si="1"/>
        <v>1.192156862745098</v>
      </c>
      <c r="O69" s="19">
        <f>IF($B69="","",IF(OR(C69="امازون",L69=0),"",ROUND(F69/L69*الإعدادات!$B$4,0)))</f>
        <v>536</v>
      </c>
      <c r="P69" s="22" t="str">
        <f>IF($B69="","",IF('الإدخال اليومي'!AF43="لا يعمل","مستبعد (ترك العمل)",IF('الإدخال اليومي'!AF43="اجازه","مستبعد (اجازة)",IF(C69="امازون","امازون (شحنات)",IF(L69=0,"مستبعد (لم يعمل)",IF(F69&gt;=M69,"حقق",IF(F69&gt;=M69*الإعدادات!$B$8,"قريب","بعيد")))))))</f>
        <v>حقق</v>
      </c>
      <c r="Q69" s="16" t="str">
        <f>IF($B69="","",TRIM('الإدخال اليومي'!H43&amp;IF(N('الإدخال اليومي'!AC43)&gt;0," | + "&amp;'الإدخال اليومي'!AC43&amp;" طلب من "&amp;'الإدخال اليومي'!AB43&amp;" (محسوبة في الإجمالي)","")))</f>
        <v/>
      </c>
      <c r="R69" s="17">
        <f t="shared" si="2"/>
        <v>1</v>
      </c>
      <c r="S69" s="17" t="str">
        <f>IF($B69="","",IF('الإدخال اليومي'!AF43="","يعمل",'الإدخال اليومي'!AF43))</f>
        <v>يعمل</v>
      </c>
    </row>
    <row r="70" spans="1:19" x14ac:dyDescent="0.3">
      <c r="A70" s="15">
        <f>IF('الإدخال اليومي'!$B44="","",IF('الإدخال اليومي'!A44="","",'الإدخال اليومي'!A44))</f>
        <v>2579771524</v>
      </c>
      <c r="B70" s="16" t="str">
        <f>IF('الإدخال اليومي'!$B44="","",IF('الإدخال اليومي'!B44="","",'الإدخال اليومي'!B44))</f>
        <v>MOHAMMED ABDALLHA</v>
      </c>
      <c r="C70" s="17" t="str">
        <f>IF('الإدخال اليومي'!$B44="","",IF('الإدخال اليومي'!C44="","",'الإدخال اليومي'!C44))</f>
        <v>كيتا</v>
      </c>
      <c r="D70" s="17">
        <f>IF($B70="","",40)</f>
        <v>40</v>
      </c>
      <c r="E70" s="17" t="str">
        <f>IF('الإدخال اليومي'!$B44="","",IF('الإدخال اليومي'!AD44="","",'الإدخال اليومي'!AD44))</f>
        <v>كفالة</v>
      </c>
      <c r="F70" s="18">
        <f>IF($B70="","",'الإدخال اليومي'!I44)</f>
        <v>288</v>
      </c>
      <c r="G70" s="19" t="str">
        <f>IF($B70="","",IF(N('الإدخال اليومي'!AG44)=0,"",'الإدخال اليومي'!AG44))</f>
        <v/>
      </c>
      <c r="H70" s="17" t="str">
        <f>IF('الإدخال اليومي'!$B44="","",IF('الإدخال اليومي'!AE44="","",'الإدخال اليومي'!AE44))</f>
        <v>محمود خطاب</v>
      </c>
      <c r="I70" s="17">
        <f>IF($B70="","",IFERROR(INDEX('الإدخال اليومي'!K44:AA44,MATCH(الإعدادات!$B$2,'الإدخال اليومي'!$K$3:$AA$3,0)),0))</f>
        <v>11</v>
      </c>
      <c r="J70" s="20">
        <f>IF('الإدخال اليومي'!$B44="","",IF('الإدخال اليومي'!F44="","",'الإدخال اليومي'!F44))</f>
        <v>46077</v>
      </c>
      <c r="K70" s="17">
        <f>IF($B70="","",N('الإدخال اليومي'!G44)+MAX(0,الإعدادات!$B$2-MAX(الإعدادات!$B$10+1,N(J70))+1)-SUMPRODUCT(('الإدخال اليومي'!$L44:$AA44&gt;0)*('الإدخال اليومي'!$L$3:$AA$3&gt;=MAX(الإعدادات!$B$10+1,N(J70)))*('الإدخال اليومي'!$L$3:$AA$3&lt;=الإعدادات!$B$2)))</f>
        <v>0</v>
      </c>
      <c r="L70" s="17">
        <f>IF($B70="","",MAX(0,الإعدادات!$B$10-IF(J70="",الإعدادات!$B$9,MAX(J70,الإعدادات!$B$9))+1-N('الإدخال اليومي'!G44))+SUMPRODUCT(('الإدخال اليومي'!$L44:$AA44&gt;0)*('الإدخال اليومي'!$L$3:$AA$3&gt;=MAX(الإعدادات!$B$10+1,N(J70)))*('الإدخال اليومي'!$L$3:$AA$3&lt;=الإعدادات!$B$2)))</f>
        <v>17</v>
      </c>
      <c r="M70" s="19">
        <f>IF($B70="","",IF(C70="امازون","",(IFERROR(INDEX(الإعدادات!$B$19:$B$22,MATCH(C70,الإعدادات!$A$19:$A$22,0)),الإعدادات!$B$3)/الإعدادات!$B$4)*L70))</f>
        <v>255</v>
      </c>
      <c r="N70" s="21">
        <f t="shared" si="1"/>
        <v>1.1294117647058823</v>
      </c>
      <c r="O70" s="19">
        <f>IF($B70="","",IF(OR(C70="امازون",L70=0),"",ROUND(F70/L70*الإعدادات!$B$4,0)))</f>
        <v>508</v>
      </c>
      <c r="P70" s="22" t="str">
        <f>IF($B70="","",IF('الإدخال اليومي'!AF44="لا يعمل","مستبعد (ترك العمل)",IF('الإدخال اليومي'!AF44="اجازه","مستبعد (اجازة)",IF(C70="امازون","امازون (شحنات)",IF(L70=0,"مستبعد (لم يعمل)",IF(F70&gt;=M70,"حقق",IF(F70&gt;=M70*الإعدادات!$B$8,"قريب","بعيد")))))))</f>
        <v>حقق</v>
      </c>
      <c r="Q70" s="16" t="str">
        <f>IF($B70="","",TRIM('الإدخال اليومي'!H44&amp;IF(N('الإدخال اليومي'!AC44)&gt;0," | + "&amp;'الإدخال اليومي'!AC44&amp;" طلب من "&amp;'الإدخال اليومي'!AB44&amp;" (محسوبة في الإجمالي)","")))</f>
        <v>جاري توجية المندوب وتم انذارو</v>
      </c>
      <c r="R70" s="17">
        <f t="shared" si="2"/>
        <v>1</v>
      </c>
      <c r="S70" s="17" t="str">
        <f>IF($B70="","",IF('الإدخال اليومي'!AF44="","يعمل",'الإدخال اليومي'!AF44))</f>
        <v>يعمل</v>
      </c>
    </row>
    <row r="71" spans="1:19" x14ac:dyDescent="0.3">
      <c r="A71" s="15">
        <f>IF('الإدخال اليومي'!$B45="","",IF('الإدخال اليومي'!A45="","",'الإدخال اليومي'!A45))</f>
        <v>2568200659</v>
      </c>
      <c r="B71" s="16" t="str">
        <f>IF('الإدخال اليومي'!$B45="","",IF('الإدخال اليومي'!B45="","",'الإدخال اليومي'!B45))</f>
        <v>محمد ذاك حسين</v>
      </c>
      <c r="C71" s="17" t="str">
        <f>IF('الإدخال اليومي'!$B45="","",IF('الإدخال اليومي'!C45="","",'الإدخال اليومي'!C45))</f>
        <v>كيتا</v>
      </c>
      <c r="D71" s="17">
        <f>IF($B71="","",41)</f>
        <v>41</v>
      </c>
      <c r="E71" s="17" t="str">
        <f>IF('الإدخال اليومي'!$B45="","",IF('الإدخال اليومي'!AD45="","",'الإدخال اليومي'!AD45))</f>
        <v>فري لانسر</v>
      </c>
      <c r="F71" s="18">
        <f>IF($B71="","",'الإدخال اليومي'!I45)</f>
        <v>294</v>
      </c>
      <c r="G71" s="19" t="str">
        <f>IF($B71="","",IF(N('الإدخال اليومي'!AG45)=0,"",'الإدخال اليومي'!AG45))</f>
        <v/>
      </c>
      <c r="H71" s="17" t="str">
        <f>IF('الإدخال اليومي'!$B45="","",IF('الإدخال اليومي'!AE45="","",'الإدخال اليومي'!AE45))</f>
        <v>خالد عباس</v>
      </c>
      <c r="I71" s="17">
        <f>IF($B71="","",IFERROR(INDEX('الإدخال اليومي'!K45:AA45,MATCH(الإعدادات!$B$2,'الإدخال اليومي'!$K$3:$AA$3,0)),0))</f>
        <v>15</v>
      </c>
      <c r="J71" s="20">
        <f>IF('الإدخال اليومي'!$B45="","",IF('الإدخال اليومي'!F45="","",'الإدخال اليومي'!F45))</f>
        <v>46250</v>
      </c>
      <c r="K71" s="17">
        <f>IF($B71="","",N('الإدخال اليومي'!G45)+MAX(0,الإعدادات!$B$2-MAX(الإعدادات!$B$10+1,N(J71))+1)-SUMPRODUCT(('الإدخال اليومي'!$L45:$AA45&gt;0)*('الإدخال اليومي'!$L$3:$AA$3&gt;=MAX(الإعدادات!$B$10+1,N(J71)))*('الإدخال اليومي'!$L$3:$AA$3&lt;=الإعدادات!$B$2)))</f>
        <v>0</v>
      </c>
      <c r="L71" s="17">
        <f>IF($B71="","",MAX(0,الإعدادات!$B$10-IF(J71="",الإعدادات!$B$9,MAX(J71,الإعدادات!$B$9))+1-N('الإدخال اليومي'!G45))+SUMPRODUCT(('الإدخال اليومي'!$L45:$AA45&gt;0)*('الإدخال اليومي'!$L$3:$AA$3&gt;=MAX(الإعدادات!$B$10+1,N(J71)))*('الإدخال اليومي'!$L$3:$AA$3&lt;=الإعدادات!$B$2)))</f>
        <v>17</v>
      </c>
      <c r="M71" s="19">
        <f>IF($B71="","",IF(C71="امازون","",(IFERROR(INDEX(الإعدادات!$B$19:$B$22,MATCH(C71,الإعدادات!$A$19:$A$22,0)),الإعدادات!$B$3)/الإعدادات!$B$4)*L71))</f>
        <v>255</v>
      </c>
      <c r="N71" s="21">
        <f t="shared" si="1"/>
        <v>1.1529411764705881</v>
      </c>
      <c r="O71" s="19">
        <f>IF($B71="","",IF(OR(C71="امازون",L71=0),"",ROUND(F71/L71*الإعدادات!$B$4,0)))</f>
        <v>519</v>
      </c>
      <c r="P71" s="22" t="str">
        <f>IF($B71="","",IF('الإدخال اليومي'!AF45="لا يعمل","مستبعد (ترك العمل)",IF('الإدخال اليومي'!AF45="اجازه","مستبعد (اجازة)",IF(C71="امازون","امازون (شحنات)",IF(L71=0,"مستبعد (لم يعمل)",IF(F71&gt;=M71,"حقق",IF(F71&gt;=M71*الإعدادات!$B$8,"قريب","بعيد")))))))</f>
        <v>حقق</v>
      </c>
      <c r="Q71" s="16" t="str">
        <f>IF($B71="","",TRIM('الإدخال اليومي'!H45&amp;IF(N('الإدخال اليومي'!AC45)&gt;0," | + "&amp;'الإدخال اليومي'!AC45&amp;" طلب من "&amp;'الإدخال اليومي'!AB45&amp;" (محسوبة في الإجمالي)","")))</f>
        <v/>
      </c>
      <c r="R71" s="17">
        <f t="shared" si="2"/>
        <v>1</v>
      </c>
      <c r="S71" s="17" t="str">
        <f>IF($B71="","",IF('الإدخال اليومي'!AF45="","يعمل",'الإدخال اليومي'!AF45))</f>
        <v>يعمل</v>
      </c>
    </row>
    <row r="72" spans="1:19" x14ac:dyDescent="0.3">
      <c r="A72" s="15">
        <f>IF('الإدخال اليومي'!$B46="","",IF('الإدخال اليومي'!A46="","",'الإدخال اليومي'!A46))</f>
        <v>2607927049</v>
      </c>
      <c r="B72" s="16" t="str">
        <f>IF('الإدخال اليومي'!$B46="","",IF('الإدخال اليومي'!B46="","",'الإدخال اليومي'!B46))</f>
        <v>MEHEDI HASAN SABBIR</v>
      </c>
      <c r="C72" s="17" t="str">
        <f>IF('الإدخال اليومي'!$B46="","",IF('الإدخال اليومي'!C46="","",'الإدخال اليومي'!C46))</f>
        <v>كيتا</v>
      </c>
      <c r="D72" s="17">
        <f>IF($B72="","",42)</f>
        <v>42</v>
      </c>
      <c r="E72" s="17" t="str">
        <f>IF('الإدخال اليومي'!$B46="","",IF('الإدخال اليومي'!AD46="","",'الإدخال اليومي'!AD46))</f>
        <v>فري لانسر</v>
      </c>
      <c r="F72" s="18">
        <f>IF($B72="","",'الإدخال اليومي'!I46)</f>
        <v>275</v>
      </c>
      <c r="G72" s="19" t="str">
        <f>IF($B72="","",IF(N('الإدخال اليومي'!AG46)=0,"",'الإدخال اليومي'!AG46))</f>
        <v/>
      </c>
      <c r="H72" s="17" t="str">
        <f>IF('الإدخال اليومي'!$B46="","",IF('الإدخال اليومي'!AE46="","",'الإدخال اليومي'!AE46))</f>
        <v>خالد عباس</v>
      </c>
      <c r="I72" s="17">
        <f>IF($B72="","",IFERROR(INDEX('الإدخال اليومي'!K46:AA46,MATCH(الإعدادات!$B$2,'الإدخال اليومي'!$K$3:$AA$3,0)),0))</f>
        <v>16</v>
      </c>
      <c r="J72" s="20">
        <f>IF('الإدخال اليومي'!$B46="","",IF('الإدخال اليومي'!F46="","",'الإدخال اليومي'!F46))</f>
        <v>46293</v>
      </c>
      <c r="K72" s="17">
        <f>IF($B72="","",N('الإدخال اليومي'!G46)+MAX(0,الإعدادات!$B$2-MAX(الإعدادات!$B$10+1,N(J72))+1)-SUMPRODUCT(('الإدخال اليومي'!$L46:$AA46&gt;0)*('الإدخال اليومي'!$L$3:$AA$3&gt;=MAX(الإعدادات!$B$10+1,N(J72)))*('الإدخال اليومي'!$L$3:$AA$3&lt;=الإعدادات!$B$2)))</f>
        <v>1</v>
      </c>
      <c r="L72" s="17">
        <f>IF($B72="","",MAX(0,الإعدادات!$B$10-IF(J72="",الإعدادات!$B$9,MAX(J72,الإعدادات!$B$9))+1-N('الإدخال اليومي'!G46))+SUMPRODUCT(('الإدخال اليومي'!$L46:$AA46&gt;0)*('الإدخال اليومي'!$L$3:$AA$3&gt;=MAX(الإعدادات!$B$10+1,N(J72)))*('الإدخال اليومي'!$L$3:$AA$3&lt;=الإعدادات!$B$2)))</f>
        <v>16</v>
      </c>
      <c r="M72" s="19">
        <f>IF($B72="","",IF(C72="امازون","",(IFERROR(INDEX(الإعدادات!$B$19:$B$22,MATCH(C72,الإعدادات!$A$19:$A$22,0)),الإعدادات!$B$3)/الإعدادات!$B$4)*L72))</f>
        <v>240</v>
      </c>
      <c r="N72" s="21">
        <f t="shared" si="1"/>
        <v>1.1458333333333333</v>
      </c>
      <c r="O72" s="19">
        <f>IF($B72="","",IF(OR(C72="امازون",L72=0),"",ROUND(F72/L72*الإعدادات!$B$4,0)))</f>
        <v>516</v>
      </c>
      <c r="P72" s="22" t="str">
        <f>IF($B72="","",IF('الإدخال اليومي'!AF46="لا يعمل","مستبعد (ترك العمل)",IF('الإدخال اليومي'!AF46="اجازه","مستبعد (اجازة)",IF(C72="امازون","امازون (شحنات)",IF(L72=0,"مستبعد (لم يعمل)",IF(F72&gt;=M72,"حقق",IF(F72&gt;=M72*الإعدادات!$B$8,"قريب","بعيد")))))))</f>
        <v>حقق</v>
      </c>
      <c r="Q72" s="16" t="str">
        <f>IF($B72="","",TRIM('الإدخال اليومي'!H46&amp;IF(N('الإدخال اليومي'!AC46)&gt;0," | + "&amp;'الإدخال اليومي'!AC46&amp;" طلب من "&amp;'الإدخال اليومي'!AB46&amp;" (محسوبة في الإجمالي)","")))</f>
        <v/>
      </c>
      <c r="R72" s="17">
        <f t="shared" si="2"/>
        <v>1</v>
      </c>
      <c r="S72" s="17" t="str">
        <f>IF($B72="","",IF('الإدخال اليومي'!AF46="","يعمل",'الإدخال اليومي'!AF46))</f>
        <v>يعمل</v>
      </c>
    </row>
    <row r="73" spans="1:19" x14ac:dyDescent="0.3">
      <c r="A73" s="15">
        <f>IF('الإدخال اليومي'!$B47="","",IF('الإدخال اليومي'!A47="","",'الإدخال اليومي'!A47))</f>
        <v>2609179607</v>
      </c>
      <c r="B73" s="16" t="str">
        <f>IF('الإدخال اليومي'!$B47="","",IF('الإدخال اليومي'!B47="","",'الإدخال اليومي'!B47))</f>
        <v>احمد محمود أحمد زيدان</v>
      </c>
      <c r="C73" s="17" t="str">
        <f>IF('الإدخال اليومي'!$B47="","",IF('الإدخال اليومي'!C47="","",'الإدخال اليومي'!C47))</f>
        <v>كيتا</v>
      </c>
      <c r="D73" s="17">
        <f>IF($B73="","",43)</f>
        <v>43</v>
      </c>
      <c r="E73" s="17" t="str">
        <f>IF('الإدخال اليومي'!$B47="","",IF('الإدخال اليومي'!AD47="","",'الإدخال اليومي'!AD47))</f>
        <v>فري لانسر</v>
      </c>
      <c r="F73" s="18">
        <f>IF($B73="","",'الإدخال اليومي'!I47)</f>
        <v>300</v>
      </c>
      <c r="G73" s="19" t="str">
        <f>IF($B73="","",IF(N('الإدخال اليومي'!AG47)=0,"",'الإدخال اليومي'!AG47))</f>
        <v/>
      </c>
      <c r="H73" s="17" t="str">
        <f>IF('الإدخال اليومي'!$B47="","",IF('الإدخال اليومي'!AE47="","",'الإدخال اليومي'!AE47))</f>
        <v>خالد عباس</v>
      </c>
      <c r="I73" s="17">
        <f>IF($B73="","",IFERROR(INDEX('الإدخال اليومي'!K47:AA47,MATCH(الإعدادات!$B$2,'الإدخال اليومي'!$K$3:$AA$3,0)),0))</f>
        <v>22</v>
      </c>
      <c r="J73" s="20">
        <f>IF('الإدخال اليومي'!$B47="","",IF('الإدخال اليومي'!F47="","",'الإدخال اليومي'!F47))</f>
        <v>46204</v>
      </c>
      <c r="K73" s="17">
        <f>IF($B73="","",N('الإدخال اليومي'!G47)+MAX(0,الإعدادات!$B$2-MAX(الإعدادات!$B$10+1,N(J73))+1)-SUMPRODUCT(('الإدخال اليومي'!$L47:$AA47&gt;0)*('الإدخال اليومي'!$L$3:$AA$3&gt;=MAX(الإعدادات!$B$10+1,N(J73)))*('الإدخال اليومي'!$L$3:$AA$3&lt;=الإعدادات!$B$2)))</f>
        <v>0</v>
      </c>
      <c r="L73" s="17">
        <f>IF($B73="","",MAX(0,الإعدادات!$B$10-IF(J73="",الإعدادات!$B$9,MAX(J73,الإعدادات!$B$9))+1-N('الإدخال اليومي'!G47))+SUMPRODUCT(('الإدخال اليومي'!$L47:$AA47&gt;0)*('الإدخال اليومي'!$L$3:$AA$3&gt;=MAX(الإعدادات!$B$10+1,N(J73)))*('الإدخال اليومي'!$L$3:$AA$3&lt;=الإعدادات!$B$2)))</f>
        <v>17</v>
      </c>
      <c r="M73" s="19">
        <f>IF($B73="","",IF(C73="امازون","",(IFERROR(INDEX(الإعدادات!$B$19:$B$22,MATCH(C73,الإعدادات!$A$19:$A$22,0)),الإعدادات!$B$3)/الإعدادات!$B$4)*L73))</f>
        <v>255</v>
      </c>
      <c r="N73" s="21">
        <f t="shared" si="1"/>
        <v>1.1764705882352942</v>
      </c>
      <c r="O73" s="19">
        <f>IF($B73="","",IF(OR(C73="امازون",L73=0),"",ROUND(F73/L73*الإعدادات!$B$4,0)))</f>
        <v>529</v>
      </c>
      <c r="P73" s="22" t="str">
        <f>IF($B73="","",IF('الإدخال اليومي'!AF47="لا يعمل","مستبعد (ترك العمل)",IF('الإدخال اليومي'!AF47="اجازه","مستبعد (اجازة)",IF(C73="امازون","امازون (شحنات)",IF(L73=0,"مستبعد (لم يعمل)",IF(F73&gt;=M73,"حقق",IF(F73&gt;=M73*الإعدادات!$B$8,"قريب","بعيد")))))))</f>
        <v>حقق</v>
      </c>
      <c r="Q73" s="16" t="str">
        <f>IF($B73="","",TRIM('الإدخال اليومي'!H47&amp;IF(N('الإدخال اليومي'!AC47)&gt;0," | + "&amp;'الإدخال اليومي'!AC47&amp;" طلب من "&amp;'الإدخال اليومي'!AB47&amp;" (محسوبة في الإجمالي)","")))</f>
        <v/>
      </c>
      <c r="R73" s="17">
        <f t="shared" si="2"/>
        <v>1</v>
      </c>
      <c r="S73" s="17" t="str">
        <f>IF($B73="","",IF('الإدخال اليومي'!AF47="","يعمل",'الإدخال اليومي'!AF47))</f>
        <v>يعمل</v>
      </c>
    </row>
    <row r="74" spans="1:19" x14ac:dyDescent="0.3">
      <c r="A74" s="15">
        <f>IF('الإدخال اليومي'!$B48="","",IF('الإدخال اليومي'!A48="","",'الإدخال اليومي'!A48))</f>
        <v>2586502839</v>
      </c>
      <c r="B74" s="16" t="str">
        <f>IF('الإدخال اليومي'!$B48="","",IF('الإدخال اليومي'!B48="","",'الإدخال اليومي'!B48))</f>
        <v>صلاح الدين</v>
      </c>
      <c r="C74" s="17" t="str">
        <f>IF('الإدخال اليومي'!$B48="","",IF('الإدخال اليومي'!C48="","",'الإدخال اليومي'!C48))</f>
        <v>كيتا</v>
      </c>
      <c r="D74" s="17">
        <f>IF($B74="","",44)</f>
        <v>44</v>
      </c>
      <c r="E74" s="17" t="str">
        <f>IF('الإدخال اليومي'!$B48="","",IF('الإدخال اليومي'!AD48="","",'الإدخال اليومي'!AD48))</f>
        <v>فري لانسر</v>
      </c>
      <c r="F74" s="18">
        <f>IF($B74="","",'الإدخال اليومي'!I48)</f>
        <v>298</v>
      </c>
      <c r="G74" s="19" t="str">
        <f>IF($B74="","",IF(N('الإدخال اليومي'!AG48)=0,"",'الإدخال اليومي'!AG48))</f>
        <v/>
      </c>
      <c r="H74" s="17" t="str">
        <f>IF('الإدخال اليومي'!$B48="","",IF('الإدخال اليومي'!AE48="","",'الإدخال اليومي'!AE48))</f>
        <v>خالد عباس</v>
      </c>
      <c r="I74" s="17">
        <f>IF($B74="","",IFERROR(INDEX('الإدخال اليومي'!K48:AA48,MATCH(الإعدادات!$B$2,'الإدخال اليومي'!$K$3:$AA$3,0)),0))</f>
        <v>17</v>
      </c>
      <c r="J74" s="20">
        <f>IF('الإدخال اليومي'!$B48="","",IF('الإدخال اليومي'!F48="","",'الإدخال اليومي'!F48))</f>
        <v>46204</v>
      </c>
      <c r="K74" s="17">
        <f>IF($B74="","",N('الإدخال اليومي'!G48)+MAX(0,الإعدادات!$B$2-MAX(الإعدادات!$B$10+1,N(J74))+1)-SUMPRODUCT(('الإدخال اليومي'!$L48:$AA48&gt;0)*('الإدخال اليومي'!$L$3:$AA$3&gt;=MAX(الإعدادات!$B$10+1,N(J74)))*('الإدخال اليومي'!$L$3:$AA$3&lt;=الإعدادات!$B$2)))</f>
        <v>0</v>
      </c>
      <c r="L74" s="17">
        <f>IF($B74="","",MAX(0,الإعدادات!$B$10-IF(J74="",الإعدادات!$B$9,MAX(J74,الإعدادات!$B$9))+1-N('الإدخال اليومي'!G48))+SUMPRODUCT(('الإدخال اليومي'!$L48:$AA48&gt;0)*('الإدخال اليومي'!$L$3:$AA$3&gt;=MAX(الإعدادات!$B$10+1,N(J74)))*('الإدخال اليومي'!$L$3:$AA$3&lt;=الإعدادات!$B$2)))</f>
        <v>17</v>
      </c>
      <c r="M74" s="19">
        <f>IF($B74="","",IF(C74="امازون","",(IFERROR(INDEX(الإعدادات!$B$19:$B$22,MATCH(C74,الإعدادات!$A$19:$A$22,0)),الإعدادات!$B$3)/الإعدادات!$B$4)*L74))</f>
        <v>255</v>
      </c>
      <c r="N74" s="21">
        <f t="shared" si="1"/>
        <v>1.1686274509803922</v>
      </c>
      <c r="O74" s="19">
        <f>IF($B74="","",IF(OR(C74="امازون",L74=0),"",ROUND(F74/L74*الإعدادات!$B$4,0)))</f>
        <v>526</v>
      </c>
      <c r="P74" s="22" t="str">
        <f>IF($B74="","",IF('الإدخال اليومي'!AF48="لا يعمل","مستبعد (ترك العمل)",IF('الإدخال اليومي'!AF48="اجازه","مستبعد (اجازة)",IF(C74="امازون","امازون (شحنات)",IF(L74=0,"مستبعد (لم يعمل)",IF(F74&gt;=M74,"حقق",IF(F74&gt;=M74*الإعدادات!$B$8,"قريب","بعيد")))))))</f>
        <v>حقق</v>
      </c>
      <c r="Q74" s="16" t="str">
        <f>IF($B74="","",TRIM('الإدخال اليومي'!H48&amp;IF(N('الإدخال اليومي'!AC48)&gt;0," | + "&amp;'الإدخال اليومي'!AC48&amp;" طلب من "&amp;'الإدخال اليومي'!AB48&amp;" (محسوبة في الإجمالي)","")))</f>
        <v/>
      </c>
      <c r="R74" s="17">
        <f t="shared" si="2"/>
        <v>1</v>
      </c>
      <c r="S74" s="17" t="str">
        <f>IF($B74="","",IF('الإدخال اليومي'!AF48="","يعمل",'الإدخال اليومي'!AF48))</f>
        <v>يعمل</v>
      </c>
    </row>
    <row r="75" spans="1:19" x14ac:dyDescent="0.3">
      <c r="A75" s="15">
        <f>IF('الإدخال اليومي'!$B49="","",IF('الإدخال اليومي'!A49="","",'الإدخال اليومي'!A49))</f>
        <v>2553949062</v>
      </c>
      <c r="B75" s="16" t="str">
        <f>IF('الإدخال اليومي'!$B49="","",IF('الإدخال اليومي'!B49="","",'الإدخال اليومي'!B49))</f>
        <v>محمد أحمد فوزى أبوعجور</v>
      </c>
      <c r="C75" s="17" t="str">
        <f>IF('الإدخال اليومي'!$B49="","",IF('الإدخال اليومي'!C49="","",'الإدخال اليومي'!C49))</f>
        <v>كيتا</v>
      </c>
      <c r="D75" s="17">
        <f>IF($B75="","",45)</f>
        <v>45</v>
      </c>
      <c r="E75" s="17" t="str">
        <f>IF('الإدخال اليومي'!$B49="","",IF('الإدخال اليومي'!AD49="","",'الإدخال اليومي'!AD49))</f>
        <v>كفالة</v>
      </c>
      <c r="F75" s="18">
        <f>IF($B75="","",'الإدخال اليومي'!I49)</f>
        <v>286</v>
      </c>
      <c r="G75" s="19" t="str">
        <f>IF($B75="","",IF(N('الإدخال اليومي'!AG49)=0,"",'الإدخال اليومي'!AG49))</f>
        <v/>
      </c>
      <c r="H75" s="17" t="str">
        <f>IF('الإدخال اليومي'!$B49="","",IF('الإدخال اليومي'!AE49="","",'الإدخال اليومي'!AE49))</f>
        <v>محمود خطاب</v>
      </c>
      <c r="I75" s="17">
        <f>IF($B75="","",IFERROR(INDEX('الإدخال اليومي'!K49:AA49,MATCH(الإعدادات!$B$2,'الإدخال اليومي'!$K$3:$AA$3,0)),0))</f>
        <v>16</v>
      </c>
      <c r="J75" s="20">
        <f>IF('الإدخال اليومي'!$B49="","",IF('الإدخال اليومي'!F49="","",'الإدخال اليومي'!F49))</f>
        <v>45316</v>
      </c>
      <c r="K75" s="17">
        <f>IF($B75="","",N('الإدخال اليومي'!G49)+MAX(0,الإعدادات!$B$2-MAX(الإعدادات!$B$10+1,N(J75))+1)-SUMPRODUCT(('الإدخال اليومي'!$L49:$AA49&gt;0)*('الإدخال اليومي'!$L$3:$AA$3&gt;=MAX(الإعدادات!$B$10+1,N(J75)))*('الإدخال اليومي'!$L$3:$AA$3&lt;=الإعدادات!$B$2)))</f>
        <v>0</v>
      </c>
      <c r="L75" s="17">
        <f>IF($B75="","",MAX(0,الإعدادات!$B$10-IF(J75="",الإعدادات!$B$9,MAX(J75,الإعدادات!$B$9))+1-N('الإدخال اليومي'!G49))+SUMPRODUCT(('الإدخال اليومي'!$L49:$AA49&gt;0)*('الإدخال اليومي'!$L$3:$AA$3&gt;=MAX(الإعدادات!$B$10+1,N(J75)))*('الإدخال اليومي'!$L$3:$AA$3&lt;=الإعدادات!$B$2)))</f>
        <v>17</v>
      </c>
      <c r="M75" s="19">
        <f>IF($B75="","",IF(C75="امازون","",(IFERROR(INDEX(الإعدادات!$B$19:$B$22,MATCH(C75,الإعدادات!$A$19:$A$22,0)),الإعدادات!$B$3)/الإعدادات!$B$4)*L75))</f>
        <v>255</v>
      </c>
      <c r="N75" s="21">
        <f t="shared" si="1"/>
        <v>1.1215686274509804</v>
      </c>
      <c r="O75" s="19">
        <f>IF($B75="","",IF(OR(C75="امازون",L75=0),"",ROUND(F75/L75*الإعدادات!$B$4,0)))</f>
        <v>505</v>
      </c>
      <c r="P75" s="22" t="str">
        <f>IF($B75="","",IF('الإدخال اليومي'!AF49="لا يعمل","مستبعد (ترك العمل)",IF('الإدخال اليومي'!AF49="اجازه","مستبعد (اجازة)",IF(C75="امازون","امازون (شحنات)",IF(L75=0,"مستبعد (لم يعمل)",IF(F75&gt;=M75,"حقق",IF(F75&gt;=M75*الإعدادات!$B$8,"قريب","بعيد")))))))</f>
        <v>حقق</v>
      </c>
      <c r="Q75" s="16" t="str">
        <f>IF($B75="","",TRIM('الإدخال اليومي'!H49&amp;IF(N('الإدخال اليومي'!AC49)&gt;0," | + "&amp;'الإدخال اليومي'!AC49&amp;" طلب من "&amp;'الإدخال اليومي'!AB49&amp;" (محسوبة في الإجمالي)","")))</f>
        <v/>
      </c>
      <c r="R75" s="17">
        <f t="shared" si="2"/>
        <v>1</v>
      </c>
      <c r="S75" s="17" t="str">
        <f>IF($B75="","",IF('الإدخال اليومي'!AF49="","يعمل",'الإدخال اليومي'!AF49))</f>
        <v>يعمل</v>
      </c>
    </row>
    <row r="76" spans="1:19" x14ac:dyDescent="0.3">
      <c r="A76" s="15">
        <f>IF('الإدخال اليومي'!$B50="","",IF('الإدخال اليومي'!A50="","",'الإدخال اليومي'!A50))</f>
        <v>2557509482</v>
      </c>
      <c r="B76" s="16" t="str">
        <f>IF('الإدخال اليومي'!$B50="","",IF('الإدخال اليومي'!B50="","",'الإدخال اليومي'!B50))</f>
        <v>MAHMOUDE ABO GARARA</v>
      </c>
      <c r="C76" s="17" t="str">
        <f>IF('الإدخال اليومي'!$B50="","",IF('الإدخال اليومي'!C50="","",'الإدخال اليومي'!C50))</f>
        <v>كيتا</v>
      </c>
      <c r="D76" s="17">
        <f>IF($B76="","",46)</f>
        <v>46</v>
      </c>
      <c r="E76" s="17" t="str">
        <f>IF('الإدخال اليومي'!$B50="","",IF('الإدخال اليومي'!AD50="","",'الإدخال اليومي'!AD50))</f>
        <v>كفالة</v>
      </c>
      <c r="F76" s="18">
        <f>IF($B76="","",'الإدخال اليومي'!I50)</f>
        <v>288</v>
      </c>
      <c r="G76" s="19" t="str">
        <f>IF($B76="","",IF(N('الإدخال اليومي'!AG50)=0,"",'الإدخال اليومي'!AG50))</f>
        <v/>
      </c>
      <c r="H76" s="17" t="str">
        <f>IF('الإدخال اليومي'!$B50="","",IF('الإدخال اليومي'!AE50="","",'الإدخال اليومي'!AE50))</f>
        <v>محمود خطاب</v>
      </c>
      <c r="I76" s="17">
        <f>IF($B76="","",IFERROR(INDEX('الإدخال اليومي'!K50:AA50,MATCH(الإعدادات!$B$2,'الإدخال اليومي'!$K$3:$AA$3,0)),0))</f>
        <v>19</v>
      </c>
      <c r="J76" s="20">
        <f>IF('الإدخال اليومي'!$B50="","",IF('الإدخال اليومي'!F50="","",'الإدخال اليومي'!F50))</f>
        <v>45322</v>
      </c>
      <c r="K76" s="17">
        <f>IF($B76="","",N('الإدخال اليومي'!G50)+MAX(0,الإعدادات!$B$2-MAX(الإعدادات!$B$10+1,N(J76))+1)-SUMPRODUCT(('الإدخال اليومي'!$L50:$AA50&gt;0)*('الإدخال اليومي'!$L$3:$AA$3&gt;=MAX(الإعدادات!$B$10+1,N(J76)))*('الإدخال اليومي'!$L$3:$AA$3&lt;=الإعدادات!$B$2)))</f>
        <v>0</v>
      </c>
      <c r="L76" s="17">
        <f>IF($B76="","",MAX(0,الإعدادات!$B$10-IF(J76="",الإعدادات!$B$9,MAX(J76,الإعدادات!$B$9))+1-N('الإدخال اليومي'!G50))+SUMPRODUCT(('الإدخال اليومي'!$L50:$AA50&gt;0)*('الإدخال اليومي'!$L$3:$AA$3&gt;=MAX(الإعدادات!$B$10+1,N(J76)))*('الإدخال اليومي'!$L$3:$AA$3&lt;=الإعدادات!$B$2)))</f>
        <v>17</v>
      </c>
      <c r="M76" s="19">
        <f>IF($B76="","",IF(C76="امازون","",(IFERROR(INDEX(الإعدادات!$B$19:$B$22,MATCH(C76,الإعدادات!$A$19:$A$22,0)),الإعدادات!$B$3)/الإعدادات!$B$4)*L76))</f>
        <v>255</v>
      </c>
      <c r="N76" s="21">
        <f t="shared" si="1"/>
        <v>1.1294117647058823</v>
      </c>
      <c r="O76" s="19">
        <f>IF($B76="","",IF(OR(C76="امازون",L76=0),"",ROUND(F76/L76*الإعدادات!$B$4,0)))</f>
        <v>508</v>
      </c>
      <c r="P76" s="22" t="str">
        <f>IF($B76="","",IF('الإدخال اليومي'!AF50="لا يعمل","مستبعد (ترك العمل)",IF('الإدخال اليومي'!AF50="اجازه","مستبعد (اجازة)",IF(C76="امازون","امازون (شحنات)",IF(L76=0,"مستبعد (لم يعمل)",IF(F76&gt;=M76,"حقق",IF(F76&gt;=M76*الإعدادات!$B$8,"قريب","بعيد")))))))</f>
        <v>حقق</v>
      </c>
      <c r="Q76" s="16" t="str">
        <f>IF($B76="","",TRIM('الإدخال اليومي'!H50&amp;IF(N('الإدخال اليومي'!AC50)&gt;0," | + "&amp;'الإدخال اليومي'!AC50&amp;" طلب من "&amp;'الإدخال اليومي'!AB50&amp;" (محسوبة في الإجمالي)","")))</f>
        <v/>
      </c>
      <c r="R76" s="17">
        <f t="shared" si="2"/>
        <v>1</v>
      </c>
      <c r="S76" s="17" t="str">
        <f>IF($B76="","",IF('الإدخال اليومي'!AF50="","يعمل",'الإدخال اليومي'!AF50))</f>
        <v>يعمل</v>
      </c>
    </row>
    <row r="77" spans="1:19" x14ac:dyDescent="0.3">
      <c r="A77" s="15">
        <f>IF('الإدخال اليومي'!$B51="","",IF('الإدخال اليومي'!A51="","",'الإدخال اليومي'!A51))</f>
        <v>2568883777</v>
      </c>
      <c r="B77" s="16" t="str">
        <f>IF('الإدخال اليومي'!$B51="","",IF('الإدخال اليومي'!B51="","",'الإدخال اليومي'!B51))</f>
        <v>Jahidul Islam</v>
      </c>
      <c r="C77" s="17" t="str">
        <f>IF('الإدخال اليومي'!$B51="","",IF('الإدخال اليومي'!C51="","",'الإدخال اليومي'!C51))</f>
        <v>كيتا</v>
      </c>
      <c r="D77" s="17">
        <f>IF($B77="","",47)</f>
        <v>47</v>
      </c>
      <c r="E77" s="17" t="str">
        <f>IF('الإدخال اليومي'!$B51="","",IF('الإدخال اليومي'!AD51="","",'الإدخال اليومي'!AD51))</f>
        <v>فري لانسر</v>
      </c>
      <c r="F77" s="18">
        <f>IF($B77="","",'الإدخال اليومي'!I51)</f>
        <v>283</v>
      </c>
      <c r="G77" s="19" t="str">
        <f>IF($B77="","",IF(N('الإدخال اليومي'!AG51)=0,"",'الإدخال اليومي'!AG51))</f>
        <v/>
      </c>
      <c r="H77" s="17" t="str">
        <f>IF('الإدخال اليومي'!$B51="","",IF('الإدخال اليومي'!AE51="","",'الإدخال اليومي'!AE51))</f>
        <v>خالد عباس</v>
      </c>
      <c r="I77" s="17">
        <f>IF($B77="","",IFERROR(INDEX('الإدخال اليومي'!K51:AA51,MATCH(الإعدادات!$B$2,'الإدخال اليومي'!$K$3:$AA$3,0)),0))</f>
        <v>19</v>
      </c>
      <c r="J77" s="20">
        <f>IF('الإدخال اليومي'!$B51="","",IF('الإدخال اليومي'!F51="","",'الإدخال اليومي'!F51))</f>
        <v>46204</v>
      </c>
      <c r="K77" s="17">
        <f>IF($B77="","",N('الإدخال اليومي'!G51)+MAX(0,الإعدادات!$B$2-MAX(الإعدادات!$B$10+1,N(J77))+1)-SUMPRODUCT(('الإدخال اليومي'!$L51:$AA51&gt;0)*('الإدخال اليومي'!$L$3:$AA$3&gt;=MAX(الإعدادات!$B$10+1,N(J77)))*('الإدخال اليومي'!$L$3:$AA$3&lt;=الإعدادات!$B$2)))</f>
        <v>0</v>
      </c>
      <c r="L77" s="17">
        <f>IF($B77="","",MAX(0,الإعدادات!$B$10-IF(J77="",الإعدادات!$B$9,MAX(J77,الإعدادات!$B$9))+1-N('الإدخال اليومي'!G51))+SUMPRODUCT(('الإدخال اليومي'!$L51:$AA51&gt;0)*('الإدخال اليومي'!$L$3:$AA$3&gt;=MAX(الإعدادات!$B$10+1,N(J77)))*('الإدخال اليومي'!$L$3:$AA$3&lt;=الإعدادات!$B$2)))</f>
        <v>17</v>
      </c>
      <c r="M77" s="19">
        <f>IF($B77="","",IF(C77="امازون","",(IFERROR(INDEX(الإعدادات!$B$19:$B$22,MATCH(C77,الإعدادات!$A$19:$A$22,0)),الإعدادات!$B$3)/الإعدادات!$B$4)*L77))</f>
        <v>255</v>
      </c>
      <c r="N77" s="21">
        <f t="shared" si="1"/>
        <v>1.1098039215686275</v>
      </c>
      <c r="O77" s="19">
        <f>IF($B77="","",IF(OR(C77="امازون",L77=0),"",ROUND(F77/L77*الإعدادات!$B$4,0)))</f>
        <v>499</v>
      </c>
      <c r="P77" s="22" t="str">
        <f>IF($B77="","",IF('الإدخال اليومي'!AF51="لا يعمل","مستبعد (ترك العمل)",IF('الإدخال اليومي'!AF51="اجازه","مستبعد (اجازة)",IF(C77="امازون","امازون (شحنات)",IF(L77=0,"مستبعد (لم يعمل)",IF(F77&gt;=M77,"حقق",IF(F77&gt;=M77*الإعدادات!$B$8,"قريب","بعيد")))))))</f>
        <v>حقق</v>
      </c>
      <c r="Q77" s="16" t="str">
        <f>IF($B77="","",TRIM('الإدخال اليومي'!H51&amp;IF(N('الإدخال اليومي'!AC51)&gt;0," | + "&amp;'الإدخال اليومي'!AC51&amp;" طلب من "&amp;'الإدخال اليومي'!AB51&amp;" (محسوبة في الإجمالي)","")))</f>
        <v/>
      </c>
      <c r="R77" s="17">
        <f t="shared" si="2"/>
        <v>1</v>
      </c>
      <c r="S77" s="17" t="str">
        <f>IF($B77="","",IF('الإدخال اليومي'!AF51="","يعمل",'الإدخال اليومي'!AF51))</f>
        <v>يعمل</v>
      </c>
    </row>
    <row r="78" spans="1:19" x14ac:dyDescent="0.3">
      <c r="A78" s="15">
        <f>IF('الإدخال اليومي'!$B52="","",IF('الإدخال اليومي'!A52="","",'الإدخال اليومي'!A52))</f>
        <v>2562201455</v>
      </c>
      <c r="B78" s="16" t="str">
        <f>IF('الإدخال اليومي'!$B52="","",IF('الإدخال اليومي'!B52="","",'الإدخال اليومي'!B52))</f>
        <v>TANVEER SHAFI</v>
      </c>
      <c r="C78" s="17" t="str">
        <f>IF('الإدخال اليومي'!$B52="","",IF('الإدخال اليومي'!C52="","",'الإدخال اليومي'!C52))</f>
        <v>كيتا</v>
      </c>
      <c r="D78" s="17">
        <f>IF($B78="","",48)</f>
        <v>48</v>
      </c>
      <c r="E78" s="17" t="str">
        <f>IF('الإدخال اليومي'!$B52="","",IF('الإدخال اليومي'!AD52="","",'الإدخال اليومي'!AD52))</f>
        <v>كفالة</v>
      </c>
      <c r="F78" s="18">
        <f>IF($B78="","",'الإدخال اليومي'!I52)</f>
        <v>278</v>
      </c>
      <c r="G78" s="19" t="str">
        <f>IF($B78="","",IF(N('الإدخال اليومي'!AG52)=0,"",'الإدخال اليومي'!AG52))</f>
        <v/>
      </c>
      <c r="H78" s="17" t="str">
        <f>IF('الإدخال اليومي'!$B52="","",IF('الإدخال اليومي'!AE52="","",'الإدخال اليومي'!AE52))</f>
        <v>محمود خطاب</v>
      </c>
      <c r="I78" s="17">
        <f>IF($B78="","",IFERROR(INDEX('الإدخال اليومي'!K52:AA52,MATCH(الإعدادات!$B$2,'الإدخال اليومي'!$K$3:$AA$3,0)),0))</f>
        <v>19</v>
      </c>
      <c r="J78" s="20">
        <f>IF('الإدخال اليومي'!$B52="","",IF('الإدخال اليومي'!F52="","",'الإدخال اليومي'!F52))</f>
        <v>45351</v>
      </c>
      <c r="K78" s="17">
        <f>IF($B78="","",N('الإدخال اليومي'!G52)+MAX(0,الإعدادات!$B$2-MAX(الإعدادات!$B$10+1,N(J78))+1)-SUMPRODUCT(('الإدخال اليومي'!$L52:$AA52&gt;0)*('الإدخال اليومي'!$L$3:$AA$3&gt;=MAX(الإعدادات!$B$10+1,N(J78)))*('الإدخال اليومي'!$L$3:$AA$3&lt;=الإعدادات!$B$2)))</f>
        <v>0</v>
      </c>
      <c r="L78" s="17">
        <f>IF($B78="","",MAX(0,الإعدادات!$B$10-IF(J78="",الإعدادات!$B$9,MAX(J78,الإعدادات!$B$9))+1-N('الإدخال اليومي'!G52))+SUMPRODUCT(('الإدخال اليومي'!$L52:$AA52&gt;0)*('الإدخال اليومي'!$L$3:$AA$3&gt;=MAX(الإعدادات!$B$10+1,N(J78)))*('الإدخال اليومي'!$L$3:$AA$3&lt;=الإعدادات!$B$2)))</f>
        <v>17</v>
      </c>
      <c r="M78" s="19">
        <f>IF($B78="","",IF(C78="امازون","",(IFERROR(INDEX(الإعدادات!$B$19:$B$22,MATCH(C78,الإعدادات!$A$19:$A$22,0)),الإعدادات!$B$3)/الإعدادات!$B$4)*L78))</f>
        <v>255</v>
      </c>
      <c r="N78" s="21">
        <f t="shared" si="1"/>
        <v>1.0901960784313725</v>
      </c>
      <c r="O78" s="19">
        <f>IF($B78="","",IF(OR(C78="امازون",L78=0),"",ROUND(F78/L78*الإعدادات!$B$4,0)))</f>
        <v>491</v>
      </c>
      <c r="P78" s="22" t="str">
        <f>IF($B78="","",IF('الإدخال اليومي'!AF52="لا يعمل","مستبعد (ترك العمل)",IF('الإدخال اليومي'!AF52="اجازه","مستبعد (اجازة)",IF(C78="امازون","امازون (شحنات)",IF(L78=0,"مستبعد (لم يعمل)",IF(F78&gt;=M78,"حقق",IF(F78&gt;=M78*الإعدادات!$B$8,"قريب","بعيد")))))))</f>
        <v>حقق</v>
      </c>
      <c r="Q78" s="16" t="str">
        <f>IF($B78="","",TRIM('الإدخال اليومي'!H52&amp;IF(N('الإدخال اليومي'!AC52)&gt;0," | + "&amp;'الإدخال اليومي'!AC52&amp;" طلب من "&amp;'الإدخال اليومي'!AB52&amp;" (محسوبة في الإجمالي)","")))</f>
        <v/>
      </c>
      <c r="R78" s="17">
        <f t="shared" si="2"/>
        <v>1</v>
      </c>
      <c r="S78" s="17" t="str">
        <f>IF($B78="","",IF('الإدخال اليومي'!AF52="","يعمل",'الإدخال اليومي'!AF52))</f>
        <v>يعمل</v>
      </c>
    </row>
    <row r="79" spans="1:19" x14ac:dyDescent="0.3">
      <c r="A79" s="15">
        <f>IF('الإدخال اليومي'!$B53="","",IF('الإدخال اليومي'!A53="","",'الإدخال اليومي'!A53))</f>
        <v>2600845370</v>
      </c>
      <c r="B79" s="16" t="str">
        <f>IF('الإدخال اليومي'!$B53="","",IF('الإدخال اليومي'!B53="","",'الإدخال اليومي'!B53))</f>
        <v>معين الدين رنا</v>
      </c>
      <c r="C79" s="17" t="str">
        <f>IF('الإدخال اليومي'!$B53="","",IF('الإدخال اليومي'!C53="","",'الإدخال اليومي'!C53))</f>
        <v>كيتا</v>
      </c>
      <c r="D79" s="17">
        <f>IF($B79="","",49)</f>
        <v>49</v>
      </c>
      <c r="E79" s="17" t="str">
        <f>IF('الإدخال اليومي'!$B53="","",IF('الإدخال اليومي'!AD53="","",'الإدخال اليومي'!AD53))</f>
        <v>فري لانسر</v>
      </c>
      <c r="F79" s="18">
        <f>IF($B79="","",'الإدخال اليومي'!I53)</f>
        <v>284</v>
      </c>
      <c r="G79" s="19" t="str">
        <f>IF($B79="","",IF(N('الإدخال اليومي'!AG53)=0,"",'الإدخال اليومي'!AG53))</f>
        <v/>
      </c>
      <c r="H79" s="17" t="str">
        <f>IF('الإدخال اليومي'!$B53="","",IF('الإدخال اليومي'!AE53="","",'الإدخال اليومي'!AE53))</f>
        <v>خالد عباس</v>
      </c>
      <c r="I79" s="17">
        <f>IF($B79="","",IFERROR(INDEX('الإدخال اليومي'!K53:AA53,MATCH(الإعدادات!$B$2,'الإدخال اليومي'!$K$3:$AA$3,0)),0))</f>
        <v>21</v>
      </c>
      <c r="J79" s="20">
        <f>IF('الإدخال اليومي'!$B53="","",IF('الإدخال اليومي'!F53="","",'الإدخال اليومي'!F53))</f>
        <v>46204</v>
      </c>
      <c r="K79" s="17">
        <f>IF($B79="","",N('الإدخال اليومي'!G53)+MAX(0,الإعدادات!$B$2-MAX(الإعدادات!$B$10+1,N(J79))+1)-SUMPRODUCT(('الإدخال اليومي'!$L53:$AA53&gt;0)*('الإدخال اليومي'!$L$3:$AA$3&gt;=MAX(الإعدادات!$B$10+1,N(J79)))*('الإدخال اليومي'!$L$3:$AA$3&lt;=الإعدادات!$B$2)))</f>
        <v>0</v>
      </c>
      <c r="L79" s="17">
        <f>IF($B79="","",MAX(0,الإعدادات!$B$10-IF(J79="",الإعدادات!$B$9,MAX(J79,الإعدادات!$B$9))+1-N('الإدخال اليومي'!G53))+SUMPRODUCT(('الإدخال اليومي'!$L53:$AA53&gt;0)*('الإدخال اليومي'!$L$3:$AA$3&gt;=MAX(الإعدادات!$B$10+1,N(J79)))*('الإدخال اليومي'!$L$3:$AA$3&lt;=الإعدادات!$B$2)))</f>
        <v>17</v>
      </c>
      <c r="M79" s="19">
        <f>IF($B79="","",IF(C79="امازون","",(IFERROR(INDEX(الإعدادات!$B$19:$B$22,MATCH(C79,الإعدادات!$A$19:$A$22,0)),الإعدادات!$B$3)/الإعدادات!$B$4)*L79))</f>
        <v>255</v>
      </c>
      <c r="N79" s="21">
        <f t="shared" si="1"/>
        <v>1.1137254901960785</v>
      </c>
      <c r="O79" s="19">
        <f>IF($B79="","",IF(OR(C79="امازون",L79=0),"",ROUND(F79/L79*الإعدادات!$B$4,0)))</f>
        <v>501</v>
      </c>
      <c r="P79" s="22" t="str">
        <f>IF($B79="","",IF('الإدخال اليومي'!AF53="لا يعمل","مستبعد (ترك العمل)",IF('الإدخال اليومي'!AF53="اجازه","مستبعد (اجازة)",IF(C79="امازون","امازون (شحنات)",IF(L79=0,"مستبعد (لم يعمل)",IF(F79&gt;=M79,"حقق",IF(F79&gt;=M79*الإعدادات!$B$8,"قريب","بعيد")))))))</f>
        <v>حقق</v>
      </c>
      <c r="Q79" s="16" t="str">
        <f>IF($B79="","",TRIM('الإدخال اليومي'!H53&amp;IF(N('الإدخال اليومي'!AC53)&gt;0," | + "&amp;'الإدخال اليومي'!AC53&amp;" طلب من "&amp;'الإدخال اليومي'!AB53&amp;" (محسوبة في الإجمالي)","")))</f>
        <v/>
      </c>
      <c r="R79" s="17">
        <f t="shared" si="2"/>
        <v>1</v>
      </c>
      <c r="S79" s="17" t="str">
        <f>IF($B79="","",IF('الإدخال اليومي'!AF53="","يعمل",'الإدخال اليومي'!AF53))</f>
        <v>يعمل</v>
      </c>
    </row>
    <row r="80" spans="1:19" x14ac:dyDescent="0.3">
      <c r="A80" s="15">
        <f>IF('الإدخال اليومي'!$B54="","",IF('الإدخال اليومي'!A54="","",'الإدخال اليومي'!A54))</f>
        <v>2600468512</v>
      </c>
      <c r="B80" s="16" t="str">
        <f>IF('الإدخال اليومي'!$B54="","",IF('الإدخال اليومي'!B54="","",'الإدخال اليومي'!B54))</f>
        <v>Rayhan Ahmed Ahmed</v>
      </c>
      <c r="C80" s="17" t="str">
        <f>IF('الإدخال اليومي'!$B54="","",IF('الإدخال اليومي'!C54="","",'الإدخال اليومي'!C54))</f>
        <v>كيتا</v>
      </c>
      <c r="D80" s="17">
        <f>IF($B80="","",50)</f>
        <v>50</v>
      </c>
      <c r="E80" s="17" t="str">
        <f>IF('الإدخال اليومي'!$B54="","",IF('الإدخال اليومي'!AD54="","",'الإدخال اليومي'!AD54))</f>
        <v>فري لانسر</v>
      </c>
      <c r="F80" s="18">
        <f>IF($B80="","",'الإدخال اليومي'!I54)</f>
        <v>287</v>
      </c>
      <c r="G80" s="19" t="str">
        <f>IF($B80="","",IF(N('الإدخال اليومي'!AG54)=0,"",'الإدخال اليومي'!AG54))</f>
        <v/>
      </c>
      <c r="H80" s="17" t="str">
        <f>IF('الإدخال اليومي'!$B54="","",IF('الإدخال اليومي'!AE54="","",'الإدخال اليومي'!AE54))</f>
        <v>خالد عباس</v>
      </c>
      <c r="I80" s="17">
        <f>IF($B80="","",IFERROR(INDEX('الإدخال اليومي'!K54:AA54,MATCH(الإعدادات!$B$2,'الإدخال اليومي'!$K$3:$AA$3,0)),0))</f>
        <v>22</v>
      </c>
      <c r="J80" s="20">
        <f>IF('الإدخال اليومي'!$B54="","",IF('الإدخال اليومي'!F54="","",'الإدخال اليومي'!F54))</f>
        <v>46204</v>
      </c>
      <c r="K80" s="17">
        <f>IF($B80="","",N('الإدخال اليومي'!G54)+MAX(0,الإعدادات!$B$2-MAX(الإعدادات!$B$10+1,N(J80))+1)-SUMPRODUCT(('الإدخال اليومي'!$L54:$AA54&gt;0)*('الإدخال اليومي'!$L$3:$AA$3&gt;=MAX(الإعدادات!$B$10+1,N(J80)))*('الإدخال اليومي'!$L$3:$AA$3&lt;=الإعدادات!$B$2)))</f>
        <v>0</v>
      </c>
      <c r="L80" s="17">
        <f>IF($B80="","",MAX(0,الإعدادات!$B$10-IF(J80="",الإعدادات!$B$9,MAX(J80,الإعدادات!$B$9))+1-N('الإدخال اليومي'!G54))+SUMPRODUCT(('الإدخال اليومي'!$L54:$AA54&gt;0)*('الإدخال اليومي'!$L$3:$AA$3&gt;=MAX(الإعدادات!$B$10+1,N(J80)))*('الإدخال اليومي'!$L$3:$AA$3&lt;=الإعدادات!$B$2)))</f>
        <v>17</v>
      </c>
      <c r="M80" s="19">
        <f>IF($B80="","",IF(C80="امازون","",(IFERROR(INDEX(الإعدادات!$B$19:$B$22,MATCH(C80,الإعدادات!$A$19:$A$22,0)),الإعدادات!$B$3)/الإعدادات!$B$4)*L80))</f>
        <v>255</v>
      </c>
      <c r="N80" s="21">
        <f t="shared" si="1"/>
        <v>1.1254901960784314</v>
      </c>
      <c r="O80" s="19">
        <f>IF($B80="","",IF(OR(C80="امازون",L80=0),"",ROUND(F80/L80*الإعدادات!$B$4,0)))</f>
        <v>506</v>
      </c>
      <c r="P80" s="22" t="str">
        <f>IF($B80="","",IF('الإدخال اليومي'!AF54="لا يعمل","مستبعد (ترك العمل)",IF('الإدخال اليومي'!AF54="اجازه","مستبعد (اجازة)",IF(C80="امازون","امازون (شحنات)",IF(L80=0,"مستبعد (لم يعمل)",IF(F80&gt;=M80,"حقق",IF(F80&gt;=M80*الإعدادات!$B$8,"قريب","بعيد")))))))</f>
        <v>حقق</v>
      </c>
      <c r="Q80" s="16" t="str">
        <f>IF($B80="","",TRIM('الإدخال اليومي'!H54&amp;IF(N('الإدخال اليومي'!AC54)&gt;0," | + "&amp;'الإدخال اليومي'!AC54&amp;" طلب من "&amp;'الإدخال اليومي'!AB54&amp;" (محسوبة في الإجمالي)","")))</f>
        <v/>
      </c>
      <c r="R80" s="17">
        <f t="shared" si="2"/>
        <v>1</v>
      </c>
      <c r="S80" s="17" t="str">
        <f>IF($B80="","",IF('الإدخال اليومي'!AF54="","يعمل",'الإدخال اليومي'!AF54))</f>
        <v>يعمل</v>
      </c>
    </row>
    <row r="81" spans="1:19" x14ac:dyDescent="0.3">
      <c r="A81" s="15">
        <f>IF('الإدخال اليومي'!$B55="","",IF('الإدخال اليومي'!A55="","",'الإدخال اليومي'!A55))</f>
        <v>2613704226</v>
      </c>
      <c r="B81" s="16" t="str">
        <f>IF('الإدخال اليومي'!$B55="","",IF('الإدخال اليومي'!B55="","",'الإدخال اليومي'!B55))</f>
        <v>mohammed anuar mia</v>
      </c>
      <c r="C81" s="17" t="str">
        <f>IF('الإدخال اليومي'!$B55="","",IF('الإدخال اليومي'!C55="","",'الإدخال اليومي'!C55))</f>
        <v>كيتا</v>
      </c>
      <c r="D81" s="17">
        <f>IF($B81="","",51)</f>
        <v>51</v>
      </c>
      <c r="E81" s="17" t="str">
        <f>IF('الإدخال اليومي'!$B55="","",IF('الإدخال اليومي'!AD55="","",'الإدخال اليومي'!AD55))</f>
        <v>فري لانسر</v>
      </c>
      <c r="F81" s="18">
        <f>IF($B81="","",'الإدخال اليومي'!I55)</f>
        <v>266</v>
      </c>
      <c r="G81" s="19" t="str">
        <f>IF($B81="","",IF(N('الإدخال اليومي'!AG55)=0,"",'الإدخال اليومي'!AG55))</f>
        <v/>
      </c>
      <c r="H81" s="17" t="str">
        <f>IF('الإدخال اليومي'!$B55="","",IF('الإدخال اليومي'!AE55="","",'الإدخال اليومي'!AE55))</f>
        <v>خالد عباس</v>
      </c>
      <c r="I81" s="17">
        <f>IF($B81="","",IFERROR(INDEX('الإدخال اليومي'!K55:AA55,MATCH(الإعدادات!$B$2,'الإدخال اليومي'!$K$3:$AA$3,0)),0))</f>
        <v>9</v>
      </c>
      <c r="J81" s="20">
        <f>IF('الإدخال اليومي'!$B55="","",IF('الإدخال اليومي'!F55="","",'الإدخال اليومي'!F55))</f>
        <v>46204</v>
      </c>
      <c r="K81" s="17">
        <f>IF($B81="","",N('الإدخال اليومي'!G55)+MAX(0,الإعدادات!$B$2-MAX(الإعدادات!$B$10+1,N(J81))+1)-SUMPRODUCT(('الإدخال اليومي'!$L55:$AA55&gt;0)*('الإدخال اليومي'!$L$3:$AA$3&gt;=MAX(الإعدادات!$B$10+1,N(J81)))*('الإدخال اليومي'!$L$3:$AA$3&lt;=الإعدادات!$B$2)))</f>
        <v>0</v>
      </c>
      <c r="L81" s="17">
        <f>IF($B81="","",MAX(0,الإعدادات!$B$10-IF(J81="",الإعدادات!$B$9,MAX(J81,الإعدادات!$B$9))+1-N('الإدخال اليومي'!G55))+SUMPRODUCT(('الإدخال اليومي'!$L55:$AA55&gt;0)*('الإدخال اليومي'!$L$3:$AA$3&gt;=MAX(الإعدادات!$B$10+1,N(J81)))*('الإدخال اليومي'!$L$3:$AA$3&lt;=الإعدادات!$B$2)))</f>
        <v>17</v>
      </c>
      <c r="M81" s="19">
        <f>IF($B81="","",IF(C81="امازون","",(IFERROR(INDEX(الإعدادات!$B$19:$B$22,MATCH(C81,الإعدادات!$A$19:$A$22,0)),الإعدادات!$B$3)/الإعدادات!$B$4)*L81))</f>
        <v>255</v>
      </c>
      <c r="N81" s="21">
        <f t="shared" si="1"/>
        <v>1.0431372549019609</v>
      </c>
      <c r="O81" s="19">
        <f>IF($B81="","",IF(OR(C81="امازون",L81=0),"",ROUND(F81/L81*الإعدادات!$B$4,0)))</f>
        <v>469</v>
      </c>
      <c r="P81" s="22" t="str">
        <f>IF($B81="","",IF('الإدخال اليومي'!AF55="لا يعمل","مستبعد (ترك العمل)",IF('الإدخال اليومي'!AF55="اجازه","مستبعد (اجازة)",IF(C81="امازون","امازون (شحنات)",IF(L81=0,"مستبعد (لم يعمل)",IF(F81&gt;=M81,"حقق",IF(F81&gt;=M81*الإعدادات!$B$8,"قريب","بعيد")))))))</f>
        <v>حقق</v>
      </c>
      <c r="Q81" s="16" t="str">
        <f>IF($B81="","",TRIM('الإدخال اليومي'!H55&amp;IF(N('الإدخال اليومي'!AC55)&gt;0," | + "&amp;'الإدخال اليومي'!AC55&amp;" طلب من "&amp;'الإدخال اليومي'!AB55&amp;" (محسوبة في الإجمالي)","")))</f>
        <v>أسناد ضعيف</v>
      </c>
      <c r="R81" s="17">
        <f t="shared" si="2"/>
        <v>1</v>
      </c>
      <c r="S81" s="17" t="str">
        <f>IF($B81="","",IF('الإدخال اليومي'!AF55="","يعمل",'الإدخال اليومي'!AF55))</f>
        <v>يعمل</v>
      </c>
    </row>
    <row r="82" spans="1:19" x14ac:dyDescent="0.3">
      <c r="A82" s="15">
        <f>IF('الإدخال اليومي'!$B56="","",IF('الإدخال اليومي'!A56="","",'الإدخال اليومي'!A56))</f>
        <v>2571010418</v>
      </c>
      <c r="B82" s="16" t="str">
        <f>IF('الإدخال اليومي'!$B56="","",IF('الإدخال اليومي'!B56="","",'الإدخال اليومي'!B56))</f>
        <v>MD SHRABON</v>
      </c>
      <c r="C82" s="17" t="str">
        <f>IF('الإدخال اليومي'!$B56="","",IF('الإدخال اليومي'!C56="","",'الإدخال اليومي'!C56))</f>
        <v>كيتا</v>
      </c>
      <c r="D82" s="17">
        <f>IF($B82="","",52)</f>
        <v>52</v>
      </c>
      <c r="E82" s="17" t="str">
        <f>IF('الإدخال اليومي'!$B56="","",IF('الإدخال اليومي'!AD56="","",'الإدخال اليومي'!AD56))</f>
        <v>فري لانسر</v>
      </c>
      <c r="F82" s="18">
        <f>IF($B82="","",'الإدخال اليومي'!I56)</f>
        <v>284</v>
      </c>
      <c r="G82" s="19" t="str">
        <f>IF($B82="","",IF(N('الإدخال اليومي'!AG56)=0,"",'الإدخال اليومي'!AG56))</f>
        <v/>
      </c>
      <c r="H82" s="17" t="str">
        <f>IF('الإدخال اليومي'!$B56="","",IF('الإدخال اليومي'!AE56="","",'الإدخال اليومي'!AE56))</f>
        <v>خالد عباس</v>
      </c>
      <c r="I82" s="17">
        <f>IF($B82="","",IFERROR(INDEX('الإدخال اليومي'!K56:AA56,MATCH(الإعدادات!$B$2,'الإدخال اليومي'!$K$3:$AA$3,0)),0))</f>
        <v>20</v>
      </c>
      <c r="J82" s="20">
        <f>IF('الإدخال اليومي'!$B56="","",IF('الإدخال اليومي'!F56="","",'الإدخال اليومي'!F56))</f>
        <v>46293</v>
      </c>
      <c r="K82" s="17">
        <f>IF($B82="","",N('الإدخال اليومي'!G56)+MAX(0,الإعدادات!$B$2-MAX(الإعدادات!$B$10+1,N(J82))+1)-SUMPRODUCT(('الإدخال اليومي'!$L56:$AA56&gt;0)*('الإدخال اليومي'!$L$3:$AA$3&gt;=MAX(الإعدادات!$B$10+1,N(J82)))*('الإدخال اليومي'!$L$3:$AA$3&lt;=الإعدادات!$B$2)))</f>
        <v>0</v>
      </c>
      <c r="L82" s="17">
        <f>IF($B82="","",MAX(0,الإعدادات!$B$10-IF(J82="",الإعدادات!$B$9,MAX(J82,الإعدادات!$B$9))+1-N('الإدخال اليومي'!G56))+SUMPRODUCT(('الإدخال اليومي'!$L56:$AA56&gt;0)*('الإدخال اليومي'!$L$3:$AA$3&gt;=MAX(الإعدادات!$B$10+1,N(J82)))*('الإدخال اليومي'!$L$3:$AA$3&lt;=الإعدادات!$B$2)))</f>
        <v>17</v>
      </c>
      <c r="M82" s="19">
        <f>IF($B82="","",IF(C82="امازون","",(IFERROR(INDEX(الإعدادات!$B$19:$B$22,MATCH(C82,الإعدادات!$A$19:$A$22,0)),الإعدادات!$B$3)/الإعدادات!$B$4)*L82))</f>
        <v>255</v>
      </c>
      <c r="N82" s="21">
        <f t="shared" si="1"/>
        <v>1.1137254901960785</v>
      </c>
      <c r="O82" s="19">
        <f>IF($B82="","",IF(OR(C82="امازون",L82=0),"",ROUND(F82/L82*الإعدادات!$B$4,0)))</f>
        <v>501</v>
      </c>
      <c r="P82" s="22" t="str">
        <f>IF($B82="","",IF('الإدخال اليومي'!AF56="لا يعمل","مستبعد (ترك العمل)",IF('الإدخال اليومي'!AF56="اجازه","مستبعد (اجازة)",IF(C82="امازون","امازون (شحنات)",IF(L82=0,"مستبعد (لم يعمل)",IF(F82&gt;=M82,"حقق",IF(F82&gt;=M82*الإعدادات!$B$8,"قريب","بعيد")))))))</f>
        <v>حقق</v>
      </c>
      <c r="Q82" s="16" t="str">
        <f>IF($B82="","",TRIM('الإدخال اليومي'!H56&amp;IF(N('الإدخال اليومي'!AC56)&gt;0," | + "&amp;'الإدخال اليومي'!AC56&amp;" طلب من "&amp;'الإدخال اليومي'!AB56&amp;" (محسوبة في الإجمالي)","")))</f>
        <v/>
      </c>
      <c r="R82" s="17">
        <f t="shared" si="2"/>
        <v>1</v>
      </c>
      <c r="S82" s="17" t="str">
        <f>IF($B82="","",IF('الإدخال اليومي'!AF56="","يعمل",'الإدخال اليومي'!AF56))</f>
        <v>يعمل</v>
      </c>
    </row>
    <row r="83" spans="1:19" x14ac:dyDescent="0.3">
      <c r="A83" s="15">
        <f>IF('الإدخال اليومي'!$B57="","",IF('الإدخال اليومي'!A57="","",'الإدخال اليومي'!A57))</f>
        <v>2585069020</v>
      </c>
      <c r="B83" s="16" t="str">
        <f>IF('الإدخال اليومي'!$B57="","",IF('الإدخال اليومي'!B57="","",'الإدخال اليومي'!B57))</f>
        <v>محمد مهدي حسن</v>
      </c>
      <c r="C83" s="17" t="str">
        <f>IF('الإدخال اليومي'!$B57="","",IF('الإدخال اليومي'!C57="","",'الإدخال اليومي'!C57))</f>
        <v>كيتا</v>
      </c>
      <c r="D83" s="17">
        <f>IF($B83="","",53)</f>
        <v>53</v>
      </c>
      <c r="E83" s="17" t="str">
        <f>IF('الإدخال اليومي'!$B57="","",IF('الإدخال اليومي'!AD57="","",'الإدخال اليومي'!AD57))</f>
        <v>فري لانسر</v>
      </c>
      <c r="F83" s="18">
        <f>IF($B83="","",'الإدخال اليومي'!I57)</f>
        <v>277</v>
      </c>
      <c r="G83" s="19" t="str">
        <f>IF($B83="","",IF(N('الإدخال اليومي'!AG57)=0,"",'الإدخال اليومي'!AG57))</f>
        <v/>
      </c>
      <c r="H83" s="17" t="str">
        <f>IF('الإدخال اليومي'!$B57="","",IF('الإدخال اليومي'!AE57="","",'الإدخال اليومي'!AE57))</f>
        <v>خالد عباس</v>
      </c>
      <c r="I83" s="17">
        <f>IF($B83="","",IFERROR(INDEX('الإدخال اليومي'!K57:AA57,MATCH(الإعدادات!$B$2,'الإدخال اليومي'!$K$3:$AA$3,0)),0))</f>
        <v>14</v>
      </c>
      <c r="J83" s="20">
        <f>IF('الإدخال اليومي'!$B57="","",IF('الإدخال اليومي'!F57="","",'الإدخال اليومي'!F57))</f>
        <v>46294</v>
      </c>
      <c r="K83" s="17">
        <f>IF($B83="","",N('الإدخال اليومي'!G57)+MAX(0,الإعدادات!$B$2-MAX(الإعدادات!$B$10+1,N(J83))+1)-SUMPRODUCT(('الإدخال اليومي'!$L57:$AA57&gt;0)*('الإدخال اليومي'!$L$3:$AA$3&gt;=MAX(الإعدادات!$B$10+1,N(J83)))*('الإدخال اليومي'!$L$3:$AA$3&lt;=الإعدادات!$B$2)))</f>
        <v>0</v>
      </c>
      <c r="L83" s="17">
        <f>IF($B83="","",MAX(0,الإعدادات!$B$10-IF(J83="",الإعدادات!$B$9,MAX(J83,الإعدادات!$B$9))+1-N('الإدخال اليومي'!G57))+SUMPRODUCT(('الإدخال اليومي'!$L57:$AA57&gt;0)*('الإدخال اليومي'!$L$3:$AA$3&gt;=MAX(الإعدادات!$B$10+1,N(J83)))*('الإدخال اليومي'!$L$3:$AA$3&lt;=الإعدادات!$B$2)))</f>
        <v>17</v>
      </c>
      <c r="M83" s="19">
        <f>IF($B83="","",IF(C83="امازون","",(IFERROR(INDEX(الإعدادات!$B$19:$B$22,MATCH(C83,الإعدادات!$A$19:$A$22,0)),الإعدادات!$B$3)/الإعدادات!$B$4)*L83))</f>
        <v>255</v>
      </c>
      <c r="N83" s="21">
        <f t="shared" si="1"/>
        <v>1.0862745098039215</v>
      </c>
      <c r="O83" s="19">
        <f>IF($B83="","",IF(OR(C83="امازون",L83=0),"",ROUND(F83/L83*الإعدادات!$B$4,0)))</f>
        <v>489</v>
      </c>
      <c r="P83" s="22" t="str">
        <f>IF($B83="","",IF('الإدخال اليومي'!AF57="لا يعمل","مستبعد (ترك العمل)",IF('الإدخال اليومي'!AF57="اجازه","مستبعد (اجازة)",IF(C83="امازون","امازون (شحنات)",IF(L83=0,"مستبعد (لم يعمل)",IF(F83&gt;=M83,"حقق",IF(F83&gt;=M83*الإعدادات!$B$8,"قريب","بعيد")))))))</f>
        <v>حقق</v>
      </c>
      <c r="Q83" s="16" t="str">
        <f>IF($B83="","",TRIM('الإدخال اليومي'!H57&amp;IF(N('الإدخال اليومي'!AC57)&gt;0," | + "&amp;'الإدخال اليومي'!AC57&amp;" طلب من "&amp;'الإدخال اليومي'!AB57&amp;" (محسوبة في الإجمالي)","")))</f>
        <v/>
      </c>
      <c r="R83" s="17">
        <f t="shared" si="2"/>
        <v>1</v>
      </c>
      <c r="S83" s="17" t="str">
        <f>IF($B83="","",IF('الإدخال اليومي'!AF57="","يعمل",'الإدخال اليومي'!AF57))</f>
        <v>يعمل</v>
      </c>
    </row>
    <row r="84" spans="1:19" x14ac:dyDescent="0.3">
      <c r="A84" s="15">
        <f>IF('الإدخال اليومي'!$B58="","",IF('الإدخال اليومي'!A58="","",'الإدخال اليومي'!A58))</f>
        <v>2608568529</v>
      </c>
      <c r="B84" s="16" t="str">
        <f>IF('الإدخال اليومي'!$B58="","",IF('الإدخال اليومي'!B58="","",'الإدخال اليومي'!B58))</f>
        <v>SAJADE ALZAMANE</v>
      </c>
      <c r="C84" s="17" t="str">
        <f>IF('الإدخال اليومي'!$B58="","",IF('الإدخال اليومي'!C58="","",'الإدخال اليومي'!C58))</f>
        <v>كيتا</v>
      </c>
      <c r="D84" s="17">
        <f>IF($B84="","",54)</f>
        <v>54</v>
      </c>
      <c r="E84" s="17" t="str">
        <f>IF('الإدخال اليومي'!$B58="","",IF('الإدخال اليومي'!AD58="","",'الإدخال اليومي'!AD58))</f>
        <v>كفالة</v>
      </c>
      <c r="F84" s="18">
        <f>IF($B84="","",'الإدخال اليومي'!I58)</f>
        <v>279</v>
      </c>
      <c r="G84" s="19" t="str">
        <f>IF($B84="","",IF(N('الإدخال اليومي'!AG58)=0,"",'الإدخال اليومي'!AG58))</f>
        <v/>
      </c>
      <c r="H84" s="17" t="str">
        <f>IF('الإدخال اليومي'!$B58="","",IF('الإدخال اليومي'!AE58="","",'الإدخال اليومي'!AE58))</f>
        <v>محمود خطاب</v>
      </c>
      <c r="I84" s="17">
        <f>IF($B84="","",IFERROR(INDEX('الإدخال اليومي'!K58:AA58,MATCH(الإعدادات!$B$2,'الإدخال اليومي'!$K$3:$AA$3,0)),0))</f>
        <v>19</v>
      </c>
      <c r="J84" s="20">
        <f>IF('الإدخال اليومي'!$B58="","",IF('الإدخال اليومي'!F58="","",'الإدخال اليومي'!F58))</f>
        <v>46139</v>
      </c>
      <c r="K84" s="17">
        <f>IF($B84="","",N('الإدخال اليومي'!G58)+MAX(0,الإعدادات!$B$2-MAX(الإعدادات!$B$10+1,N(J84))+1)-SUMPRODUCT(('الإدخال اليومي'!$L58:$AA58&gt;0)*('الإدخال اليومي'!$L$3:$AA$3&gt;=MAX(الإعدادات!$B$10+1,N(J84)))*('الإدخال اليومي'!$L$3:$AA$3&lt;=الإعدادات!$B$2)))</f>
        <v>0</v>
      </c>
      <c r="L84" s="17">
        <f>IF($B84="","",MAX(0,الإعدادات!$B$10-IF(J84="",الإعدادات!$B$9,MAX(J84,الإعدادات!$B$9))+1-N('الإدخال اليومي'!G58))+SUMPRODUCT(('الإدخال اليومي'!$L58:$AA58&gt;0)*('الإدخال اليومي'!$L$3:$AA$3&gt;=MAX(الإعدادات!$B$10+1,N(J84)))*('الإدخال اليومي'!$L$3:$AA$3&lt;=الإعدادات!$B$2)))</f>
        <v>17</v>
      </c>
      <c r="M84" s="19">
        <f>IF($B84="","",IF(C84="امازون","",(IFERROR(INDEX(الإعدادات!$B$19:$B$22,MATCH(C84,الإعدادات!$A$19:$A$22,0)),الإعدادات!$B$3)/الإعدادات!$B$4)*L84))</f>
        <v>255</v>
      </c>
      <c r="N84" s="21">
        <f t="shared" si="1"/>
        <v>1.0941176470588236</v>
      </c>
      <c r="O84" s="19">
        <f>IF($B84="","",IF(OR(C84="امازون",L84=0),"",ROUND(F84/L84*الإعدادات!$B$4,0)))</f>
        <v>492</v>
      </c>
      <c r="P84" s="22" t="str">
        <f>IF($B84="","",IF('الإدخال اليومي'!AF58="لا يعمل","مستبعد (ترك العمل)",IF('الإدخال اليومي'!AF58="اجازه","مستبعد (اجازة)",IF(C84="امازون","امازون (شحنات)",IF(L84=0,"مستبعد (لم يعمل)",IF(F84&gt;=M84,"حقق",IF(F84&gt;=M84*الإعدادات!$B$8,"قريب","بعيد")))))))</f>
        <v>حقق</v>
      </c>
      <c r="Q84" s="16" t="str">
        <f>IF($B84="","",TRIM('الإدخال اليومي'!H58&amp;IF(N('الإدخال اليومي'!AC58)&gt;0," | + "&amp;'الإدخال اليومي'!AC58&amp;" طلب من "&amp;'الإدخال اليومي'!AB58&amp;" (محسوبة في الإجمالي)","")))</f>
        <v/>
      </c>
      <c r="R84" s="17">
        <f t="shared" si="2"/>
        <v>1</v>
      </c>
      <c r="S84" s="17" t="str">
        <f>IF($B84="","",IF('الإدخال اليومي'!AF58="","يعمل",'الإدخال اليومي'!AF58))</f>
        <v>يعمل</v>
      </c>
    </row>
    <row r="85" spans="1:19" x14ac:dyDescent="0.3">
      <c r="A85" s="15">
        <f>IF('الإدخال اليومي'!$B59="","",IF('الإدخال اليومي'!A59="","",'الإدخال اليومي'!A59))</f>
        <v>2620532297</v>
      </c>
      <c r="B85" s="16" t="str">
        <f>IF('الإدخال اليومي'!$B59="","",IF('الإدخال اليومي'!B59="","",'الإدخال اليومي'!B59))</f>
        <v>محمد حلمى احمد</v>
      </c>
      <c r="C85" s="17" t="str">
        <f>IF('الإدخال اليومي'!$B59="","",IF('الإدخال اليومي'!C59="","",'الإدخال اليومي'!C59))</f>
        <v>كيتا</v>
      </c>
      <c r="D85" s="17">
        <f>IF($B85="","",55)</f>
        <v>55</v>
      </c>
      <c r="E85" s="17" t="str">
        <f>IF('الإدخال اليومي'!$B59="","",IF('الإدخال اليومي'!AD59="","",'الإدخال اليومي'!AD59))</f>
        <v>فري لانسر</v>
      </c>
      <c r="F85" s="18">
        <f>IF($B85="","",'الإدخال اليومي'!I59)</f>
        <v>247</v>
      </c>
      <c r="G85" s="19" t="str">
        <f>IF($B85="","",IF(N('الإدخال اليومي'!AG59)=0,"",'الإدخال اليومي'!AG59))</f>
        <v/>
      </c>
      <c r="H85" s="17" t="str">
        <f>IF('الإدخال اليومي'!$B59="","",IF('الإدخال اليومي'!AE59="","",'الإدخال اليومي'!AE59))</f>
        <v>خالد عباس</v>
      </c>
      <c r="I85" s="17">
        <f>IF($B85="","",IFERROR(INDEX('الإدخال اليومي'!K59:AA59,MATCH(الإعدادات!$B$2,'الإدخال اليومي'!$K$3:$AA$3,0)),0))</f>
        <v>8</v>
      </c>
      <c r="J85" s="20">
        <f>IF('الإدخال اليومي'!$B59="","",IF('الإدخال اليومي'!F59="","",'الإدخال اليومي'!F59))</f>
        <v>46284</v>
      </c>
      <c r="K85" s="17">
        <f>IF($B85="","",N('الإدخال اليومي'!G59)+MAX(0,الإعدادات!$B$2-MAX(الإعدادات!$B$10+1,N(J85))+1)-SUMPRODUCT(('الإدخال اليومي'!$L59:$AA59&gt;0)*('الإدخال اليومي'!$L$3:$AA$3&gt;=MAX(الإعدادات!$B$10+1,N(J85)))*('الإدخال اليومي'!$L$3:$AA$3&lt;=الإعدادات!$B$2)))</f>
        <v>0</v>
      </c>
      <c r="L85" s="17">
        <f>IF($B85="","",MAX(0,الإعدادات!$B$10-IF(J85="",الإعدادات!$B$9,MAX(J85,الإعدادات!$B$9))+1-N('الإدخال اليومي'!G59))+SUMPRODUCT(('الإدخال اليومي'!$L59:$AA59&gt;0)*('الإدخال اليومي'!$L$3:$AA$3&gt;=MAX(الإعدادات!$B$10+1,N(J85)))*('الإدخال اليومي'!$L$3:$AA$3&lt;=الإعدادات!$B$2)))</f>
        <v>17</v>
      </c>
      <c r="M85" s="19">
        <f>IF($B85="","",IF(C85="امازون","",(IFERROR(INDEX(الإعدادات!$B$19:$B$22,MATCH(C85,الإعدادات!$A$19:$A$22,0)),الإعدادات!$B$3)/الإعدادات!$B$4)*L85))</f>
        <v>255</v>
      </c>
      <c r="N85" s="21">
        <f t="shared" si="1"/>
        <v>0.96862745098039216</v>
      </c>
      <c r="O85" s="19">
        <f>IF($B85="","",IF(OR(C85="امازون",L85=0),"",ROUND(F85/L85*الإعدادات!$B$4,0)))</f>
        <v>436</v>
      </c>
      <c r="P85" s="22" t="str">
        <f>IF($B85="","",IF('الإدخال اليومي'!AF59="لا يعمل","مستبعد (ترك العمل)",IF('الإدخال اليومي'!AF59="اجازه","مستبعد (اجازة)",IF(C85="امازون","امازون (شحنات)",IF(L85=0,"مستبعد (لم يعمل)",IF(F85&gt;=M85,"حقق",IF(F85&gt;=M85*الإعدادات!$B$8,"قريب","بعيد")))))))</f>
        <v>قريب</v>
      </c>
      <c r="Q85" s="16" t="str">
        <f>IF($B85="","",TRIM('الإدخال اليومي'!H59&amp;IF(N('الإدخال اليومي'!AC59)&gt;0," | + "&amp;'الإدخال اليومي'!AC59&amp;" طلب من "&amp;'الإدخال اليومي'!AB59&amp;" (محسوبة في الإجمالي)","")))</f>
        <v>مريض ولم يستطع استكمال العمل</v>
      </c>
      <c r="R85" s="17">
        <f t="shared" si="2"/>
        <v>1</v>
      </c>
      <c r="S85" s="17" t="str">
        <f>IF($B85="","",IF('الإدخال اليومي'!AF59="","يعمل",'الإدخال اليومي'!AF59))</f>
        <v>يعمل</v>
      </c>
    </row>
    <row r="86" spans="1:19" x14ac:dyDescent="0.3">
      <c r="A86" s="15">
        <f>IF('الإدخال اليومي'!$B60="","",IF('الإدخال اليومي'!A60="","",'الإدخال اليومي'!A60))</f>
        <v>2567275397</v>
      </c>
      <c r="B86" s="16" t="str">
        <f>IF('الإدخال اليومي'!$B60="","",IF('الإدخال اليومي'!B60="","",'الإدخال اليومي'!B60))</f>
        <v>md badal hossain</v>
      </c>
      <c r="C86" s="17" t="str">
        <f>IF('الإدخال اليومي'!$B60="","",IF('الإدخال اليومي'!C60="","",'الإدخال اليومي'!C60))</f>
        <v>كيتا</v>
      </c>
      <c r="D86" s="17">
        <f>IF($B86="","",56)</f>
        <v>56</v>
      </c>
      <c r="E86" s="17" t="str">
        <f>IF('الإدخال اليومي'!$B60="","",IF('الإدخال اليومي'!AD60="","",'الإدخال اليومي'!AD60))</f>
        <v>فري لانسر</v>
      </c>
      <c r="F86" s="18">
        <f>IF($B86="","",'الإدخال اليومي'!I60)</f>
        <v>269</v>
      </c>
      <c r="G86" s="19" t="str">
        <f>IF($B86="","",IF(N('الإدخال اليومي'!AG60)=0,"",'الإدخال اليومي'!AG60))</f>
        <v/>
      </c>
      <c r="H86" s="17" t="str">
        <f>IF('الإدخال اليومي'!$B60="","",IF('الإدخال اليومي'!AE60="","",'الإدخال اليومي'!AE60))</f>
        <v>خالد عباس</v>
      </c>
      <c r="I86" s="17">
        <f>IF($B86="","",IFERROR(INDEX('الإدخال اليومي'!K60:AA60,MATCH(الإعدادات!$B$2,'الإدخال اليومي'!$K$3:$AA$3,0)),0))</f>
        <v>19</v>
      </c>
      <c r="J86" s="20">
        <f>IF('الإدخال اليومي'!$B60="","",IF('الإدخال اليومي'!F60="","",'الإدخال اليومي'!F60))</f>
        <v>46204</v>
      </c>
      <c r="K86" s="17">
        <f>IF($B86="","",N('الإدخال اليومي'!G60)+MAX(0,الإعدادات!$B$2-MAX(الإعدادات!$B$10+1,N(J86))+1)-SUMPRODUCT(('الإدخال اليومي'!$L60:$AA60&gt;0)*('الإدخال اليومي'!$L$3:$AA$3&gt;=MAX(الإعدادات!$B$10+1,N(J86)))*('الإدخال اليومي'!$L$3:$AA$3&lt;=الإعدادات!$B$2)))</f>
        <v>0</v>
      </c>
      <c r="L86" s="17">
        <f>IF($B86="","",MAX(0,الإعدادات!$B$10-IF(J86="",الإعدادات!$B$9,MAX(J86,الإعدادات!$B$9))+1-N('الإدخال اليومي'!G60))+SUMPRODUCT(('الإدخال اليومي'!$L60:$AA60&gt;0)*('الإدخال اليومي'!$L$3:$AA$3&gt;=MAX(الإعدادات!$B$10+1,N(J86)))*('الإدخال اليومي'!$L$3:$AA$3&lt;=الإعدادات!$B$2)))</f>
        <v>17</v>
      </c>
      <c r="M86" s="19">
        <f>IF($B86="","",IF(C86="امازون","",(IFERROR(INDEX(الإعدادات!$B$19:$B$22,MATCH(C86,الإعدادات!$A$19:$A$22,0)),الإعدادات!$B$3)/الإعدادات!$B$4)*L86))</f>
        <v>255</v>
      </c>
      <c r="N86" s="21">
        <f t="shared" si="1"/>
        <v>1.0549019607843138</v>
      </c>
      <c r="O86" s="19">
        <f>IF($B86="","",IF(OR(C86="امازون",L86=0),"",ROUND(F86/L86*الإعدادات!$B$4,0)))</f>
        <v>475</v>
      </c>
      <c r="P86" s="22" t="str">
        <f>IF($B86="","",IF('الإدخال اليومي'!AF60="لا يعمل","مستبعد (ترك العمل)",IF('الإدخال اليومي'!AF60="اجازه","مستبعد (اجازة)",IF(C86="امازون","امازون (شحنات)",IF(L86=0,"مستبعد (لم يعمل)",IF(F86&gt;=M86,"حقق",IF(F86&gt;=M86*الإعدادات!$B$8,"قريب","بعيد")))))))</f>
        <v>حقق</v>
      </c>
      <c r="Q86" s="16" t="str">
        <f>IF($B86="","",TRIM('الإدخال اليومي'!H60&amp;IF(N('الإدخال اليومي'!AC60)&gt;0," | + "&amp;'الإدخال اليومي'!AC60&amp;" طلب من "&amp;'الإدخال اليومي'!AB60&amp;" (محسوبة في الإجمالي)","")))</f>
        <v/>
      </c>
      <c r="R86" s="17">
        <f t="shared" si="2"/>
        <v>1</v>
      </c>
      <c r="S86" s="17" t="str">
        <f>IF($B86="","",IF('الإدخال اليومي'!AF60="","يعمل",'الإدخال اليومي'!AF60))</f>
        <v>يعمل</v>
      </c>
    </row>
    <row r="87" spans="1:19" x14ac:dyDescent="0.3">
      <c r="A87" s="15">
        <f>IF('الإدخال اليومي'!$B61="","",IF('الإدخال اليومي'!A61="","",'الإدخال اليومي'!A61))</f>
        <v>2553949161</v>
      </c>
      <c r="B87" s="16" t="str">
        <f>IF('الإدخال اليومي'!$B61="","",IF('الإدخال اليومي'!B61="","",'الإدخال اليومي'!B61))</f>
        <v>HASAN ALI ELSHAMY</v>
      </c>
      <c r="C87" s="17" t="str">
        <f>IF('الإدخال اليومي'!$B61="","",IF('الإدخال اليومي'!C61="","",'الإدخال اليومي'!C61))</f>
        <v>كيتا</v>
      </c>
      <c r="D87" s="17">
        <f>IF($B87="","",57)</f>
        <v>57</v>
      </c>
      <c r="E87" s="17" t="str">
        <f>IF('الإدخال اليومي'!$B61="","",IF('الإدخال اليومي'!AD61="","",'الإدخال اليومي'!AD61))</f>
        <v>كفالة</v>
      </c>
      <c r="F87" s="18">
        <f>IF($B87="","",'الإدخال اليومي'!I61)</f>
        <v>253</v>
      </c>
      <c r="G87" s="19" t="str">
        <f>IF($B87="","",IF(N('الإدخال اليومي'!AG61)=0,"",'الإدخال اليومي'!AG61))</f>
        <v/>
      </c>
      <c r="H87" s="17" t="str">
        <f>IF('الإدخال اليومي'!$B61="","",IF('الإدخال اليومي'!AE61="","",'الإدخال اليومي'!AE61))</f>
        <v>محمود خطاب</v>
      </c>
      <c r="I87" s="17">
        <f>IF($B87="","",IFERROR(INDEX('الإدخال اليومي'!K61:AA61,MATCH(الإعدادات!$B$2,'الإدخال اليومي'!$K$3:$AA$3,0)),0))</f>
        <v>12</v>
      </c>
      <c r="J87" s="20">
        <f>IF('الإدخال اليومي'!$B61="","",IF('الإدخال اليومي'!F61="","",'الإدخال اليومي'!F61))</f>
        <v>45316</v>
      </c>
      <c r="K87" s="17">
        <f>IF($B87="","",N('الإدخال اليومي'!G61)+MAX(0,الإعدادات!$B$2-MAX(الإعدادات!$B$10+1,N(J87))+1)-SUMPRODUCT(('الإدخال اليومي'!$L61:$AA61&gt;0)*('الإدخال اليومي'!$L$3:$AA$3&gt;=MAX(الإعدادات!$B$10+1,N(J87)))*('الإدخال اليومي'!$L$3:$AA$3&lt;=الإعدادات!$B$2)))</f>
        <v>0</v>
      </c>
      <c r="L87" s="17">
        <f>IF($B87="","",MAX(0,الإعدادات!$B$10-IF(J87="",الإعدادات!$B$9,MAX(J87,الإعدادات!$B$9))+1-N('الإدخال اليومي'!G61))+SUMPRODUCT(('الإدخال اليومي'!$L61:$AA61&gt;0)*('الإدخال اليومي'!$L$3:$AA$3&gt;=MAX(الإعدادات!$B$10+1,N(J87)))*('الإدخال اليومي'!$L$3:$AA$3&lt;=الإعدادات!$B$2)))</f>
        <v>17</v>
      </c>
      <c r="M87" s="19">
        <f>IF($B87="","",IF(C87="امازون","",(IFERROR(INDEX(الإعدادات!$B$19:$B$22,MATCH(C87,الإعدادات!$A$19:$A$22,0)),الإعدادات!$B$3)/الإعدادات!$B$4)*L87))</f>
        <v>255</v>
      </c>
      <c r="N87" s="21">
        <f t="shared" si="1"/>
        <v>0.99215686274509807</v>
      </c>
      <c r="O87" s="19">
        <f>IF($B87="","",IF(OR(C87="امازون",L87=0),"",ROUND(F87/L87*الإعدادات!$B$4,0)))</f>
        <v>446</v>
      </c>
      <c r="P87" s="22" t="str">
        <f>IF($B87="","",IF('الإدخال اليومي'!AF61="لا يعمل","مستبعد (ترك العمل)",IF('الإدخال اليومي'!AF61="اجازه","مستبعد (اجازة)",IF(C87="امازون","امازون (شحنات)",IF(L87=0,"مستبعد (لم يعمل)",IF(F87&gt;=M87,"حقق",IF(F87&gt;=M87*الإعدادات!$B$8,"قريب","بعيد")))))))</f>
        <v>قريب</v>
      </c>
      <c r="Q87" s="16" t="str">
        <f>IF($B87="","",TRIM('الإدخال اليومي'!H61&amp;IF(N('الإدخال اليومي'!AC61)&gt;0," | + "&amp;'الإدخال اليومي'!AC61&amp;" طلب من "&amp;'الإدخال اليومي'!AB61&amp;" (محسوبة في الإجمالي)","")))</f>
        <v/>
      </c>
      <c r="R87" s="17">
        <f t="shared" si="2"/>
        <v>1</v>
      </c>
      <c r="S87" s="17" t="str">
        <f>IF($B87="","",IF('الإدخال اليومي'!AF61="","يعمل",'الإدخال اليومي'!AF61))</f>
        <v>يعمل</v>
      </c>
    </row>
    <row r="88" spans="1:19" x14ac:dyDescent="0.3">
      <c r="A88" s="15">
        <f>IF('الإدخال اليومي'!$B62="","",IF('الإدخال اليومي'!A62="","",'الإدخال اليومي'!A62))</f>
        <v>2569646728</v>
      </c>
      <c r="B88" s="16" t="str">
        <f>IF('الإدخال اليومي'!$B62="","",IF('الإدخال اليومي'!B62="","",'الإدخال اليومي'!B62))</f>
        <v>Md Rostum ali</v>
      </c>
      <c r="C88" s="17" t="str">
        <f>IF('الإدخال اليومي'!$B62="","",IF('الإدخال اليومي'!C62="","",'الإدخال اليومي'!C62))</f>
        <v>كيتا</v>
      </c>
      <c r="D88" s="17">
        <f>IF($B88="","",58)</f>
        <v>58</v>
      </c>
      <c r="E88" s="17" t="str">
        <f>IF('الإدخال اليومي'!$B62="","",IF('الإدخال اليومي'!AD62="","",'الإدخال اليومي'!AD62))</f>
        <v>فري لانسر</v>
      </c>
      <c r="F88" s="18">
        <f>IF($B88="","",'الإدخال اليومي'!I62)</f>
        <v>239</v>
      </c>
      <c r="G88" s="19" t="str">
        <f>IF($B88="","",IF(N('الإدخال اليومي'!AG62)=0,"",'الإدخال اليومي'!AG62))</f>
        <v/>
      </c>
      <c r="H88" s="17" t="str">
        <f>IF('الإدخال اليومي'!$B62="","",IF('الإدخال اليومي'!AE62="","",'الإدخال اليومي'!AE62))</f>
        <v>خالد عباس</v>
      </c>
      <c r="I88" s="17">
        <f>IF($B88="","",IFERROR(INDEX('الإدخال اليومي'!K62:AA62,MATCH(الإعدادات!$B$2,'الإدخال اليومي'!$K$3:$AA$3,0)),0))</f>
        <v>5</v>
      </c>
      <c r="J88" s="20">
        <f>IF('الإدخال اليومي'!$B62="","",IF('الإدخال اليومي'!F62="","",'الإدخال اليومي'!F62))</f>
        <v>46204</v>
      </c>
      <c r="K88" s="17">
        <f>IF($B88="","",N('الإدخال اليومي'!G62)+MAX(0,الإعدادات!$B$2-MAX(الإعدادات!$B$10+1,N(J88))+1)-SUMPRODUCT(('الإدخال اليومي'!$L62:$AA62&gt;0)*('الإدخال اليومي'!$L$3:$AA$3&gt;=MAX(الإعدادات!$B$10+1,N(J88)))*('الإدخال اليومي'!$L$3:$AA$3&lt;=الإعدادات!$B$2)))</f>
        <v>0</v>
      </c>
      <c r="L88" s="17">
        <f>IF($B88="","",MAX(0,الإعدادات!$B$10-IF(J88="",الإعدادات!$B$9,MAX(J88,الإعدادات!$B$9))+1-N('الإدخال اليومي'!G62))+SUMPRODUCT(('الإدخال اليومي'!$L62:$AA62&gt;0)*('الإدخال اليومي'!$L$3:$AA$3&gt;=MAX(الإعدادات!$B$10+1,N(J88)))*('الإدخال اليومي'!$L$3:$AA$3&lt;=الإعدادات!$B$2)))</f>
        <v>17</v>
      </c>
      <c r="M88" s="19">
        <f>IF($B88="","",IF(C88="امازون","",(IFERROR(INDEX(الإعدادات!$B$19:$B$22,MATCH(C88,الإعدادات!$A$19:$A$22,0)),الإعدادات!$B$3)/الإعدادات!$B$4)*L88))</f>
        <v>255</v>
      </c>
      <c r="N88" s="21">
        <f t="shared" si="1"/>
        <v>0.93725490196078431</v>
      </c>
      <c r="O88" s="19">
        <f>IF($B88="","",IF(OR(C88="امازون",L88=0),"",ROUND(F88/L88*الإعدادات!$B$4,0)))</f>
        <v>422</v>
      </c>
      <c r="P88" s="22" t="str">
        <f>IF($B88="","",IF('الإدخال اليومي'!AF62="لا يعمل","مستبعد (ترك العمل)",IF('الإدخال اليومي'!AF62="اجازه","مستبعد (اجازة)",IF(C88="امازون","امازون (شحنات)",IF(L88=0,"مستبعد (لم يعمل)",IF(F88&gt;=M88,"حقق",IF(F88&gt;=M88*الإعدادات!$B$8,"قريب","بعيد")))))))</f>
        <v>قريب</v>
      </c>
      <c r="Q88" s="16" t="str">
        <f>IF($B88="","",TRIM('الإدخال اليومي'!H62&amp;IF(N('الإدخال اليومي'!AC62)&gt;0," | + "&amp;'الإدخال اليومي'!AC62&amp;" طلب من "&amp;'الإدخال اليومي'!AB62&amp;" (محسوبة في الإجمالي)","")))</f>
        <v>اجازة في هذا اليوم</v>
      </c>
      <c r="R88" s="17">
        <f t="shared" si="2"/>
        <v>1</v>
      </c>
      <c r="S88" s="17" t="str">
        <f>IF($B88="","",IF('الإدخال اليومي'!AF62="","يعمل",'الإدخال اليومي'!AF62))</f>
        <v>يعمل</v>
      </c>
    </row>
    <row r="89" spans="1:19" x14ac:dyDescent="0.3">
      <c r="A89" s="15">
        <f>IF('الإدخال اليومي'!$B63="","",IF('الإدخال اليومي'!A63="","",'الإدخال اليومي'!A63))</f>
        <v>2532063233</v>
      </c>
      <c r="B89" s="16" t="str">
        <f>IF('الإدخال اليومي'!$B63="","",IF('الإدخال اليومي'!B63="","",'الإدخال اليومي'!B63))</f>
        <v>مصطفي محمود صادق</v>
      </c>
      <c r="C89" s="17" t="str">
        <f>IF('الإدخال اليومي'!$B63="","",IF('الإدخال اليومي'!C63="","",'الإدخال اليومي'!C63))</f>
        <v>كيتا</v>
      </c>
      <c r="D89" s="17">
        <f>IF($B89="","",59)</f>
        <v>59</v>
      </c>
      <c r="E89" s="17" t="str">
        <f>IF('الإدخال اليومي'!$B63="","",IF('الإدخال اليومي'!AD63="","",'الإدخال اليومي'!AD63))</f>
        <v>فري لانسر</v>
      </c>
      <c r="F89" s="18">
        <f>IF($B89="","",'الإدخال اليومي'!I63)</f>
        <v>230</v>
      </c>
      <c r="G89" s="19" t="str">
        <f>IF($B89="","",IF(N('الإدخال اليومي'!AG63)=0,"",'الإدخال اليومي'!AG63))</f>
        <v/>
      </c>
      <c r="H89" s="17" t="str">
        <f>IF('الإدخال اليومي'!$B63="","",IF('الإدخال اليومي'!AE63="","",'الإدخال اليومي'!AE63))</f>
        <v>خالد عباس</v>
      </c>
      <c r="I89" s="17">
        <f>IF($B89="","",IFERROR(INDEX('الإدخال اليومي'!K63:AA63,MATCH(الإعدادات!$B$2,'الإدخال اليومي'!$K$3:$AA$3,0)),0))</f>
        <v>11</v>
      </c>
      <c r="J89" s="20">
        <f>IF('الإدخال اليومي'!$B63="","",IF('الإدخال اليومي'!F63="","",'الإدخال اليومي'!F63))</f>
        <v>46255</v>
      </c>
      <c r="K89" s="17">
        <f>IF($B89="","",N('الإدخال اليومي'!G63)+MAX(0,الإعدادات!$B$2-MAX(الإعدادات!$B$10+1,N(J89))+1)-SUMPRODUCT(('الإدخال اليومي'!$L63:$AA63&gt;0)*('الإدخال اليومي'!$L$3:$AA$3&gt;=MAX(الإعدادات!$B$10+1,N(J89)))*('الإدخال اليومي'!$L$3:$AA$3&lt;=الإعدادات!$B$2)))</f>
        <v>0</v>
      </c>
      <c r="L89" s="17">
        <f>IF($B89="","",MAX(0,الإعدادات!$B$10-IF(J89="",الإعدادات!$B$9,MAX(J89,الإعدادات!$B$9))+1-N('الإدخال اليومي'!G63))+SUMPRODUCT(('الإدخال اليومي'!$L63:$AA63&gt;0)*('الإدخال اليومي'!$L$3:$AA$3&gt;=MAX(الإعدادات!$B$10+1,N(J89)))*('الإدخال اليومي'!$L$3:$AA$3&lt;=الإعدادات!$B$2)))</f>
        <v>17</v>
      </c>
      <c r="M89" s="19">
        <f>IF($B89="","",IF(C89="امازون","",(IFERROR(INDEX(الإعدادات!$B$19:$B$22,MATCH(C89,الإعدادات!$A$19:$A$22,0)),الإعدادات!$B$3)/الإعدادات!$B$4)*L89))</f>
        <v>255</v>
      </c>
      <c r="N89" s="21">
        <f t="shared" si="1"/>
        <v>0.90196078431372551</v>
      </c>
      <c r="O89" s="19">
        <f>IF($B89="","",IF(OR(C89="امازون",L89=0),"",ROUND(F89/L89*الإعدادات!$B$4,0)))</f>
        <v>406</v>
      </c>
      <c r="P89" s="22" t="str">
        <f>IF($B89="","",IF('الإدخال اليومي'!AF63="لا يعمل","مستبعد (ترك العمل)",IF('الإدخال اليومي'!AF63="اجازه","مستبعد (اجازة)",IF(C89="امازون","امازون (شحنات)",IF(L89=0,"مستبعد (لم يعمل)",IF(F89&gt;=M89,"حقق",IF(F89&gt;=M89*الإعدادات!$B$8,"قريب","بعيد")))))))</f>
        <v>قريب</v>
      </c>
      <c r="Q89" s="16" t="str">
        <f>IF($B89="","",TRIM('الإدخال اليومي'!H63&amp;IF(N('الإدخال اليومي'!AC63)&gt;0," | + "&amp;'الإدخال اليومي'!AC63&amp;" طلب من "&amp;'الإدخال اليومي'!AB63&amp;" (محسوبة في الإجمالي)","")))</f>
        <v>اسناد ضعيف</v>
      </c>
      <c r="R89" s="17">
        <f t="shared" si="2"/>
        <v>1</v>
      </c>
      <c r="S89" s="17" t="str">
        <f>IF($B89="","",IF('الإدخال اليومي'!AF63="","يعمل",'الإدخال اليومي'!AF63))</f>
        <v>يعمل</v>
      </c>
    </row>
    <row r="90" spans="1:19" x14ac:dyDescent="0.3">
      <c r="A90" s="15">
        <f>IF('الإدخال اليومي'!$B64="","",IF('الإدخال اليومي'!A64="","",'الإدخال اليومي'!A64))</f>
        <v>2626922260</v>
      </c>
      <c r="B90" s="16" t="str">
        <f>IF('الإدخال اليومي'!$B64="","",IF('الإدخال اليومي'!B64="","",'الإدخال اليومي'!B64))</f>
        <v>MOHAMMED KAMAL</v>
      </c>
      <c r="C90" s="17" t="str">
        <f>IF('الإدخال اليومي'!$B64="","",IF('الإدخال اليومي'!C64="","",'الإدخال اليومي'!C64))</f>
        <v>هنجرستيشن</v>
      </c>
      <c r="D90" s="17">
        <f>IF($B90="","",60)</f>
        <v>60</v>
      </c>
      <c r="E90" s="17" t="str">
        <f>IF('الإدخال اليومي'!$B64="","",IF('الإدخال اليومي'!AD64="","",'الإدخال اليومي'!AD64))</f>
        <v>كفالة</v>
      </c>
      <c r="F90" s="18">
        <f>IF($B90="","",'الإدخال اليومي'!I64)</f>
        <v>211</v>
      </c>
      <c r="G90" s="19" t="str">
        <f>IF($B90="","",IF(N('الإدخال اليومي'!AG64)=0,"",'الإدخال اليومي'!AG64))</f>
        <v/>
      </c>
      <c r="H90" s="17" t="str">
        <f>IF('الإدخال اليومي'!$B64="","",IF('الإدخال اليومي'!AE64="","",'الإدخال اليومي'!AE64))</f>
        <v>محمود خطاب</v>
      </c>
      <c r="I90" s="17">
        <f>IF($B90="","",IFERROR(INDEX('الإدخال اليومي'!K64:AA64,MATCH(الإعدادات!$B$2,'الإدخال اليومي'!$K$3:$AA$3,0)),0))</f>
        <v>0</v>
      </c>
      <c r="J90" s="20">
        <f>IF('الإدخال اليومي'!$B64="","",IF('الإدخال اليومي'!F64="","",'الإدخال اليومي'!F64))</f>
        <v>46139</v>
      </c>
      <c r="K90" s="17">
        <f>IF($B90="","",N('الإدخال اليومي'!G64)+MAX(0,الإعدادات!$B$2-MAX(الإعدادات!$B$10+1,N(J90))+1)-SUMPRODUCT(('الإدخال اليومي'!$L64:$AA64&gt;0)*('الإدخال اليومي'!$L$3:$AA$3&gt;=MAX(الإعدادات!$B$10+1,N(J90)))*('الإدخال اليومي'!$L$3:$AA$3&lt;=الإعدادات!$B$2)))</f>
        <v>1</v>
      </c>
      <c r="L90" s="17">
        <f>IF($B90="","",MAX(0,الإعدادات!$B$10-IF(J90="",الإعدادات!$B$9,MAX(J90,الإعدادات!$B$9))+1-N('الإدخال اليومي'!G64))+SUMPRODUCT(('الإدخال اليومي'!$L64:$AA64&gt;0)*('الإدخال اليومي'!$L$3:$AA$3&gt;=MAX(الإعدادات!$B$10+1,N(J90)))*('الإدخال اليومي'!$L$3:$AA$3&lt;=الإعدادات!$B$2)))</f>
        <v>16</v>
      </c>
      <c r="M90" s="19">
        <f>IF($B90="","",IF(C90="امازون","",(IFERROR(INDEX(الإعدادات!$B$19:$B$22,MATCH(C90,الإعدادات!$A$19:$A$22,0)),الإعدادات!$B$3)/الإعدادات!$B$4)*L90))</f>
        <v>240</v>
      </c>
      <c r="N90" s="21">
        <f t="shared" si="1"/>
        <v>0.87916666666666665</v>
      </c>
      <c r="O90" s="19">
        <f>IF($B90="","",IF(OR(C90="امازون",L90=0),"",ROUND(F90/L90*الإعدادات!$B$4,0)))</f>
        <v>396</v>
      </c>
      <c r="P90" s="22" t="str">
        <f>IF($B90="","",IF('الإدخال اليومي'!AF64="لا يعمل","مستبعد (ترك العمل)",IF('الإدخال اليومي'!AF64="اجازه","مستبعد (اجازة)",IF(C90="امازون","امازون (شحنات)",IF(L90=0,"مستبعد (لم يعمل)",IF(F90&gt;=M90,"حقق",IF(F90&gt;=M90*الإعدادات!$B$8,"قريب","بعيد")))))))</f>
        <v>قريب</v>
      </c>
      <c r="Q90" s="16" t="str">
        <f>IF($B90="","",TRIM('الإدخال اليومي'!H64&amp;IF(N('الإدخال اليومي'!AC64)&gt;0," | + "&amp;'الإدخال اليومي'!AC64&amp;" طلب من "&amp;'الإدخال اليومي'!AB64&amp;" (محسوبة في الإجمالي)","")))</f>
        <v>تم نقل هنقرستيشن</v>
      </c>
      <c r="R90" s="17">
        <f t="shared" si="2"/>
        <v>1</v>
      </c>
      <c r="S90" s="17" t="str">
        <f>IF($B90="","",IF('الإدخال اليومي'!AF64="","يعمل",'الإدخال اليومي'!AF64))</f>
        <v>يعمل</v>
      </c>
    </row>
    <row r="91" spans="1:19" x14ac:dyDescent="0.3">
      <c r="A91" s="15">
        <f>IF('الإدخال اليومي'!$B65="","",IF('الإدخال اليومي'!A65="","",'الإدخال اليومي'!A65))</f>
        <v>2616523037</v>
      </c>
      <c r="B91" s="16" t="str">
        <f>IF('الإدخال اليومي'!$B65="","",IF('الإدخال اليومي'!B65="","",'الإدخال اليومي'!B65))</f>
        <v>MD RONY HOSEN</v>
      </c>
      <c r="C91" s="17" t="str">
        <f>IF('الإدخال اليومي'!$B65="","",IF('الإدخال اليومي'!C65="","",'الإدخال اليومي'!C65))</f>
        <v>كيتا</v>
      </c>
      <c r="D91" s="17">
        <f>IF($B91="","",61)</f>
        <v>61</v>
      </c>
      <c r="E91" s="17" t="str">
        <f>IF('الإدخال اليومي'!$B65="","",IF('الإدخال اليومي'!AD65="","",'الإدخال اليومي'!AD65))</f>
        <v>كفالة</v>
      </c>
      <c r="F91" s="18">
        <f>IF($B91="","",'الإدخال اليومي'!I65)</f>
        <v>223</v>
      </c>
      <c r="G91" s="19" t="str">
        <f>IF($B91="","",IF(N('الإدخال اليومي'!AG65)=0,"",'الإدخال اليومي'!AG65))</f>
        <v/>
      </c>
      <c r="H91" s="17" t="str">
        <f>IF('الإدخال اليومي'!$B65="","",IF('الإدخال اليومي'!AE65="","",'الإدخال اليومي'!AE65))</f>
        <v>محمود خطاب</v>
      </c>
      <c r="I91" s="17">
        <f>IF($B91="","",IFERROR(INDEX('الإدخال اليومي'!K65:AA65,MATCH(الإعدادات!$B$2,'الإدخال اليومي'!$K$3:$AA$3,0)),0))</f>
        <v>15</v>
      </c>
      <c r="J91" s="20">
        <f>IF('الإدخال اليومي'!$B65="","",IF('الإدخال اليومي'!F65="","",'الإدخال اليومي'!F65))</f>
        <v>46139</v>
      </c>
      <c r="K91" s="17">
        <f>IF($B91="","",N('الإدخال اليومي'!G65)+MAX(0,الإعدادات!$B$2-MAX(الإعدادات!$B$10+1,N(J91))+1)-SUMPRODUCT(('الإدخال اليومي'!$L65:$AA65&gt;0)*('الإدخال اليومي'!$L$3:$AA$3&gt;=MAX(الإعدادات!$B$10+1,N(J91)))*('الإدخال اليومي'!$L$3:$AA$3&lt;=الإعدادات!$B$2)))</f>
        <v>0</v>
      </c>
      <c r="L91" s="17">
        <f>IF($B91="","",MAX(0,الإعدادات!$B$10-IF(J91="",الإعدادات!$B$9,MAX(J91,الإعدادات!$B$9))+1-N('الإدخال اليومي'!G65))+SUMPRODUCT(('الإدخال اليومي'!$L65:$AA65&gt;0)*('الإدخال اليومي'!$L$3:$AA$3&gt;=MAX(الإعدادات!$B$10+1,N(J91)))*('الإدخال اليومي'!$L$3:$AA$3&lt;=الإعدادات!$B$2)))</f>
        <v>17</v>
      </c>
      <c r="M91" s="19">
        <f>IF($B91="","",IF(C91="امازون","",(IFERROR(INDEX(الإعدادات!$B$19:$B$22,MATCH(C91,الإعدادات!$A$19:$A$22,0)),الإعدادات!$B$3)/الإعدادات!$B$4)*L91))</f>
        <v>255</v>
      </c>
      <c r="N91" s="21">
        <f t="shared" si="1"/>
        <v>0.87450980392156863</v>
      </c>
      <c r="O91" s="19">
        <f>IF($B91="","",IF(OR(C91="امازون",L91=0),"",ROUND(F91/L91*الإعدادات!$B$4,0)))</f>
        <v>394</v>
      </c>
      <c r="P91" s="22" t="str">
        <f>IF($B91="","",IF('الإدخال اليومي'!AF65="لا يعمل","مستبعد (ترك العمل)",IF('الإدخال اليومي'!AF65="اجازه","مستبعد (اجازة)",IF(C91="امازون","امازون (شحنات)",IF(L91=0,"مستبعد (لم يعمل)",IF(F91&gt;=M91,"حقق",IF(F91&gt;=M91*الإعدادات!$B$8,"قريب","بعيد")))))))</f>
        <v>قريب</v>
      </c>
      <c r="Q91" s="16" t="str">
        <f>IF($B91="","",TRIM('الإدخال اليومي'!H65&amp;IF(N('الإدخال اليومي'!AC65)&gt;0," | + "&amp;'الإدخال اليومي'!AC65&amp;" طلب من "&amp;'الإدخال اليومي'!AB65&amp;" (محسوبة في الإجمالي)","")))</f>
        <v>أسناد ضعيف</v>
      </c>
      <c r="R91" s="17">
        <f t="shared" si="2"/>
        <v>1</v>
      </c>
      <c r="S91" s="17" t="str">
        <f>IF($B91="","",IF('الإدخال اليومي'!AF65="","يعمل",'الإدخال اليومي'!AF65))</f>
        <v>يعمل</v>
      </c>
    </row>
    <row r="92" spans="1:19" x14ac:dyDescent="0.3">
      <c r="A92" s="15">
        <f>IF('الإدخال اليومي'!$B66="","",IF('الإدخال اليومي'!A66="","",'الإدخال اليومي'!A66))</f>
        <v>2589695374</v>
      </c>
      <c r="B92" s="16" t="str">
        <f>IF('الإدخال اليومي'!$B66="","",IF('الإدخال اليومي'!B66="","",'الإدخال اليومي'!B66))</f>
        <v>عبدالظاهر سيد</v>
      </c>
      <c r="C92" s="17" t="str">
        <f>IF('الإدخال اليومي'!$B66="","",IF('الإدخال اليومي'!C66="","",'الإدخال اليومي'!C66))</f>
        <v>كيتا</v>
      </c>
      <c r="D92" s="17">
        <f>IF($B92="","",62)</f>
        <v>62</v>
      </c>
      <c r="E92" s="17" t="str">
        <f>IF('الإدخال اليومي'!$B66="","",IF('الإدخال اليومي'!AD66="","",'الإدخال اليومي'!AD66))</f>
        <v>فري لانسر</v>
      </c>
      <c r="F92" s="18">
        <f>IF($B92="","",'الإدخال اليومي'!I66)</f>
        <v>221</v>
      </c>
      <c r="G92" s="19" t="str">
        <f>IF($B92="","",IF(N('الإدخال اليومي'!AG66)=0,"",'الإدخال اليومي'!AG66))</f>
        <v/>
      </c>
      <c r="H92" s="17" t="str">
        <f>IF('الإدخال اليومي'!$B66="","",IF('الإدخال اليومي'!AE66="","",'الإدخال اليومي'!AE66))</f>
        <v>خالد عباس</v>
      </c>
      <c r="I92" s="17">
        <f>IF($B92="","",IFERROR(INDEX('الإدخال اليومي'!K66:AA66,MATCH(الإعدادات!$B$2,'الإدخال اليومي'!$K$3:$AA$3,0)),0))</f>
        <v>13</v>
      </c>
      <c r="J92" s="20">
        <f>IF('الإدخال اليومي'!$B66="","",IF('الإدخال اليومي'!F66="","",'الإدخال اليومي'!F66))</f>
        <v>46204</v>
      </c>
      <c r="K92" s="17">
        <f>IF($B92="","",N('الإدخال اليومي'!G66)+MAX(0,الإعدادات!$B$2-MAX(الإعدادات!$B$10+1,N(J92))+1)-SUMPRODUCT(('الإدخال اليومي'!$L66:$AA66&gt;0)*('الإدخال اليومي'!$L$3:$AA$3&gt;=MAX(الإعدادات!$B$10+1,N(J92)))*('الإدخال اليومي'!$L$3:$AA$3&lt;=الإعدادات!$B$2)))</f>
        <v>0</v>
      </c>
      <c r="L92" s="17">
        <f>IF($B92="","",MAX(0,الإعدادات!$B$10-IF(J92="",الإعدادات!$B$9,MAX(J92,الإعدادات!$B$9))+1-N('الإدخال اليومي'!G66))+SUMPRODUCT(('الإدخال اليومي'!$L66:$AA66&gt;0)*('الإدخال اليومي'!$L$3:$AA$3&gt;=MAX(الإعدادات!$B$10+1,N(J92)))*('الإدخال اليومي'!$L$3:$AA$3&lt;=الإعدادات!$B$2)))</f>
        <v>17</v>
      </c>
      <c r="M92" s="19">
        <f>IF($B92="","",IF(C92="امازون","",(IFERROR(INDEX(الإعدادات!$B$19:$B$22,MATCH(C92,الإعدادات!$A$19:$A$22,0)),الإعدادات!$B$3)/الإعدادات!$B$4)*L92))</f>
        <v>255</v>
      </c>
      <c r="N92" s="21">
        <f t="shared" si="1"/>
        <v>0.8666666666666667</v>
      </c>
      <c r="O92" s="19">
        <f>IF($B92="","",IF(OR(C92="امازون",L92=0),"",ROUND(F92/L92*الإعدادات!$B$4,0)))</f>
        <v>390</v>
      </c>
      <c r="P92" s="22" t="str">
        <f>IF($B92="","",IF('الإدخال اليومي'!AF66="لا يعمل","مستبعد (ترك العمل)",IF('الإدخال اليومي'!AF66="اجازه","مستبعد (اجازة)",IF(C92="امازون","امازون (شحنات)",IF(L92=0,"مستبعد (لم يعمل)",IF(F92&gt;=M92,"حقق",IF(F92&gt;=M92*الإعدادات!$B$8,"قريب","بعيد")))))))</f>
        <v>قريب</v>
      </c>
      <c r="Q92" s="16" t="str">
        <f>IF($B92="","",TRIM('الإدخال اليومي'!H66&amp;IF(N('الإدخال اليومي'!AC66)&gt;0," | + "&amp;'الإدخال اليومي'!AC66&amp;" طلب من "&amp;'الإدخال اليومي'!AB66&amp;" (محسوبة في الإجمالي)","")))</f>
        <v>تم انذار المندوب</v>
      </c>
      <c r="R92" s="17">
        <f t="shared" si="2"/>
        <v>1</v>
      </c>
      <c r="S92" s="17" t="str">
        <f>IF($B92="","",IF('الإدخال اليومي'!AF66="","يعمل",'الإدخال اليومي'!AF66))</f>
        <v>يعمل</v>
      </c>
    </row>
    <row r="93" spans="1:19" x14ac:dyDescent="0.3">
      <c r="A93" s="15">
        <f>IF('الإدخال اليومي'!$B67="","",IF('الإدخال اليومي'!A67="","",'الإدخال اليومي'!A67))</f>
        <v>2581785736</v>
      </c>
      <c r="B93" s="16" t="str">
        <f>IF('الإدخال اليومي'!$B67="","",IF('الإدخال اليومي'!B67="","",'الإدخال اليومي'!B67))</f>
        <v>ريدوي مياه</v>
      </c>
      <c r="C93" s="17" t="str">
        <f>IF('الإدخال اليومي'!$B67="","",IF('الإدخال اليومي'!C67="","",'الإدخال اليومي'!C67))</f>
        <v>كيتا</v>
      </c>
      <c r="D93" s="17">
        <f>IF($B93="","",63)</f>
        <v>63</v>
      </c>
      <c r="E93" s="17" t="str">
        <f>IF('الإدخال اليومي'!$B67="","",IF('الإدخال اليومي'!AD67="","",'الإدخال اليومي'!AD67))</f>
        <v>فري لانسر</v>
      </c>
      <c r="F93" s="18">
        <f>IF($B93="","",'الإدخال اليومي'!I67)</f>
        <v>216</v>
      </c>
      <c r="G93" s="19" t="str">
        <f>IF($B93="","",IF(N('الإدخال اليومي'!AG67)=0,"",'الإدخال اليومي'!AG67))</f>
        <v/>
      </c>
      <c r="H93" s="17" t="str">
        <f>IF('الإدخال اليومي'!$B67="","",IF('الإدخال اليومي'!AE67="","",'الإدخال اليومي'!AE67))</f>
        <v>خالد عباس</v>
      </c>
      <c r="I93" s="17">
        <f>IF($B93="","",IFERROR(INDEX('الإدخال اليومي'!K67:AA67,MATCH(الإعدادات!$B$2,'الإدخال اليومي'!$K$3:$AA$3,0)),0))</f>
        <v>20</v>
      </c>
      <c r="J93" s="20">
        <f>IF('الإدخال اليومي'!$B67="","",IF('الإدخال اليومي'!F67="","",'الإدخال اليومي'!F67))</f>
        <v>46204</v>
      </c>
      <c r="K93" s="17">
        <f>IF($B93="","",N('الإدخال اليومي'!G67)+MAX(0,الإعدادات!$B$2-MAX(الإعدادات!$B$10+1,N(J93))+1)-SUMPRODUCT(('الإدخال اليومي'!$L67:$AA67&gt;0)*('الإدخال اليومي'!$L$3:$AA$3&gt;=MAX(الإعدادات!$B$10+1,N(J93)))*('الإدخال اليومي'!$L$3:$AA$3&lt;=الإعدادات!$B$2)))</f>
        <v>0</v>
      </c>
      <c r="L93" s="17">
        <f>IF($B93="","",MAX(0,الإعدادات!$B$10-IF(J93="",الإعدادات!$B$9,MAX(J93,الإعدادات!$B$9))+1-N('الإدخال اليومي'!G67))+SUMPRODUCT(('الإدخال اليومي'!$L67:$AA67&gt;0)*('الإدخال اليومي'!$L$3:$AA$3&gt;=MAX(الإعدادات!$B$10+1,N(J93)))*('الإدخال اليومي'!$L$3:$AA$3&lt;=الإعدادات!$B$2)))</f>
        <v>17</v>
      </c>
      <c r="M93" s="19">
        <f>IF($B93="","",IF(C93="امازون","",(IFERROR(INDEX(الإعدادات!$B$19:$B$22,MATCH(C93,الإعدادات!$A$19:$A$22,0)),الإعدادات!$B$3)/الإعدادات!$B$4)*L93))</f>
        <v>255</v>
      </c>
      <c r="N93" s="21">
        <f t="shared" si="1"/>
        <v>0.84705882352941175</v>
      </c>
      <c r="O93" s="19">
        <f>IF($B93="","",IF(OR(C93="امازون",L93=0),"",ROUND(F93/L93*الإعدادات!$B$4,0)))</f>
        <v>381</v>
      </c>
      <c r="P93" s="22" t="str">
        <f>IF($B93="","",IF('الإدخال اليومي'!AF67="لا يعمل","مستبعد (ترك العمل)",IF('الإدخال اليومي'!AF67="اجازه","مستبعد (اجازة)",IF(C93="امازون","امازون (شحنات)",IF(L93=0,"مستبعد (لم يعمل)",IF(F93&gt;=M93,"حقق",IF(F93&gt;=M93*الإعدادات!$B$8,"قريب","بعيد")))))))</f>
        <v>قريب</v>
      </c>
      <c r="Q93" s="16" t="str">
        <f>IF($B93="","",TRIM('الإدخال اليومي'!H67&amp;IF(N('الإدخال اليومي'!AC67)&gt;0," | + "&amp;'الإدخال اليومي'!AC67&amp;" طلب من "&amp;'الإدخال اليومي'!AB67&amp;" (محسوبة في الإجمالي)","")))</f>
        <v/>
      </c>
      <c r="R93" s="17">
        <f t="shared" si="2"/>
        <v>1</v>
      </c>
      <c r="S93" s="17" t="str">
        <f>IF($B93="","",IF('الإدخال اليومي'!AF67="","يعمل",'الإدخال اليومي'!AF67))</f>
        <v>يعمل</v>
      </c>
    </row>
    <row r="94" spans="1:19" x14ac:dyDescent="0.3">
      <c r="A94" s="15">
        <f>IF('الإدخال اليومي'!$B68="","",IF('الإدخال اليومي'!A68="","",'الإدخال اليومي'!A68))</f>
        <v>2562021978</v>
      </c>
      <c r="B94" s="16" t="str">
        <f>IF('الإدخال اليومي'!$B68="","",IF('الإدخال اليومي'!B68="","",'الإدخال اليومي'!B68))</f>
        <v>MD SHEMUL HOSSAIN</v>
      </c>
      <c r="C94" s="17" t="str">
        <f>IF('الإدخال اليومي'!$B68="","",IF('الإدخال اليومي'!C68="","",'الإدخال اليومي'!C68))</f>
        <v>كيتا</v>
      </c>
      <c r="D94" s="17">
        <f>IF($B94="","",64)</f>
        <v>64</v>
      </c>
      <c r="E94" s="17" t="str">
        <f>IF('الإدخال اليومي'!$B68="","",IF('الإدخال اليومي'!AD68="","",'الإدخال اليومي'!AD68))</f>
        <v>فري لانسر</v>
      </c>
      <c r="F94" s="18">
        <f>IF($B94="","",'الإدخال اليومي'!I68)</f>
        <v>184</v>
      </c>
      <c r="G94" s="19" t="str">
        <f>IF($B94="","",IF(N('الإدخال اليومي'!AG68)=0,"",'الإدخال اليومي'!AG68))</f>
        <v/>
      </c>
      <c r="H94" s="17" t="str">
        <f>IF('الإدخال اليومي'!$B68="","",IF('الإدخال اليومي'!AE68="","",'الإدخال اليومي'!AE68))</f>
        <v>خالد عباس</v>
      </c>
      <c r="I94" s="17">
        <f>IF($B94="","",IFERROR(INDEX('الإدخال اليومي'!K68:AA68,MATCH(الإعدادات!$B$2,'الإدخال اليومي'!$K$3:$AA$3,0)),0))</f>
        <v>12</v>
      </c>
      <c r="J94" s="20">
        <f>IF('الإدخال اليومي'!$B68="","",IF('الإدخال اليومي'!F68="","",'الإدخال اليومي'!F68))</f>
        <v>46204</v>
      </c>
      <c r="K94" s="17">
        <f>IF($B94="","",N('الإدخال اليومي'!G68)+MAX(0,الإعدادات!$B$2-MAX(الإعدادات!$B$10+1,N(J94))+1)-SUMPRODUCT(('الإدخال اليومي'!$L68:$AA68&gt;0)*('الإدخال اليومي'!$L$3:$AA$3&gt;=MAX(الإعدادات!$B$10+1,N(J94)))*('الإدخال اليومي'!$L$3:$AA$3&lt;=الإعدادات!$B$2)))</f>
        <v>0</v>
      </c>
      <c r="L94" s="17">
        <f>IF($B94="","",MAX(0,الإعدادات!$B$10-IF(J94="",الإعدادات!$B$9,MAX(J94,الإعدادات!$B$9))+1-N('الإدخال اليومي'!G68))+SUMPRODUCT(('الإدخال اليومي'!$L68:$AA68&gt;0)*('الإدخال اليومي'!$L$3:$AA$3&gt;=MAX(الإعدادات!$B$10+1,N(J94)))*('الإدخال اليومي'!$L$3:$AA$3&lt;=الإعدادات!$B$2)))</f>
        <v>17</v>
      </c>
      <c r="M94" s="19">
        <f>IF($B94="","",IF(C94="امازون","",(IFERROR(INDEX(الإعدادات!$B$19:$B$22,MATCH(C94,الإعدادات!$A$19:$A$22,0)),الإعدادات!$B$3)/الإعدادات!$B$4)*L94))</f>
        <v>255</v>
      </c>
      <c r="N94" s="21">
        <f t="shared" si="1"/>
        <v>0.72156862745098038</v>
      </c>
      <c r="O94" s="19">
        <f>IF($B94="","",IF(OR(C94="امازون",L94=0),"",ROUND(F94/L94*الإعدادات!$B$4,0)))</f>
        <v>325</v>
      </c>
      <c r="P94" s="22" t="str">
        <f>IF($B94="","",IF('الإدخال اليومي'!AF68="لا يعمل","مستبعد (ترك العمل)",IF('الإدخال اليومي'!AF68="اجازه","مستبعد (اجازة)",IF(C94="امازون","امازون (شحنات)",IF(L94=0,"مستبعد (لم يعمل)",IF(F94&gt;=M94,"حقق",IF(F94&gt;=M94*الإعدادات!$B$8,"قريب","بعيد")))))))</f>
        <v>بعيد</v>
      </c>
      <c r="Q94" s="16" t="str">
        <f>IF($B94="","",TRIM('الإدخال اليومي'!H68&amp;IF(N('الإدخال اليومي'!AC68)&gt;0," | + "&amp;'الإدخال اليومي'!AC68&amp;" طلب من "&amp;'الإدخال اليومي'!AB68&amp;" (محسوبة في الإجمالي)","")))</f>
        <v>مريض ولم يستطع استكمال العمل</v>
      </c>
      <c r="R94" s="17">
        <f t="shared" si="2"/>
        <v>1</v>
      </c>
      <c r="S94" s="17" t="str">
        <f>IF($B94="","",IF('الإدخال اليومي'!AF68="","يعمل",'الإدخال اليومي'!AF68))</f>
        <v>يعمل</v>
      </c>
    </row>
    <row r="95" spans="1:19" x14ac:dyDescent="0.3">
      <c r="A95" s="15">
        <f>IF('الإدخال اليومي'!$B69="","",IF('الإدخال اليومي'!A69="","",'الإدخال اليومي'!A69))</f>
        <v>2565248214</v>
      </c>
      <c r="B95" s="16" t="str">
        <f>IF('الإدخال اليومي'!$B69="","",IF('الإدخال اليومي'!B69="","",'الإدخال اليومي'!B69))</f>
        <v>اسلام حلمي</v>
      </c>
      <c r="C95" s="17" t="str">
        <f>IF('الإدخال اليومي'!$B69="","",IF('الإدخال اليومي'!C69="","",'الإدخال اليومي'!C69))</f>
        <v>كيتا</v>
      </c>
      <c r="D95" s="17">
        <f>IF($B95="","",65)</f>
        <v>65</v>
      </c>
      <c r="E95" s="17" t="str">
        <f>IF('الإدخال اليومي'!$B69="","",IF('الإدخال اليومي'!AD69="","",'الإدخال اليومي'!AD69))</f>
        <v>فري لانسر</v>
      </c>
      <c r="F95" s="18">
        <f>IF($B95="","",'الإدخال اليومي'!I69)</f>
        <v>164</v>
      </c>
      <c r="G95" s="19" t="str">
        <f>IF($B95="","",IF(N('الإدخال اليومي'!AG69)=0,"",'الإدخال اليومي'!AG69))</f>
        <v/>
      </c>
      <c r="H95" s="17" t="str">
        <f>IF('الإدخال اليومي'!$B69="","",IF('الإدخال اليومي'!AE69="","",'الإدخال اليومي'!AE69))</f>
        <v>خالد عباس</v>
      </c>
      <c r="I95" s="17">
        <f>IF($B95="","",IFERROR(INDEX('الإدخال اليومي'!K69:AA69,MATCH(الإعدادات!$B$2,'الإدخال اليومي'!$K$3:$AA$3,0)),0))</f>
        <v>14</v>
      </c>
      <c r="J95" s="20">
        <f>IF('الإدخال اليومي'!$B69="","",IF('الإدخال اليومي'!F69="","",'الإدخال اليومي'!F69))</f>
        <v>46300</v>
      </c>
      <c r="K95" s="17">
        <f>IF($B95="","",N('الإدخال اليومي'!G69)+MAX(0,الإعدادات!$B$2-MAX(الإعدادات!$B$10+1,N(J95))+1)-SUMPRODUCT(('الإدخال اليومي'!$L69:$AA69&gt;0)*('الإدخال اليومي'!$L$3:$AA$3&gt;=MAX(الإعدادات!$B$10+1,N(J95)))*('الإدخال اليومي'!$L$3:$AA$3&lt;=الإعدادات!$B$2)))</f>
        <v>0</v>
      </c>
      <c r="L95" s="17">
        <f>IF($B95="","",MAX(0,الإعدادات!$B$10-IF(J95="",الإعدادات!$B$9,MAX(J95,الإعدادات!$B$9))+1-N('الإدخال اليومي'!G69))+SUMPRODUCT(('الإدخال اليومي'!$L69:$AA69&gt;0)*('الإدخال اليومي'!$L$3:$AA$3&gt;=MAX(الإعدادات!$B$10+1,N(J95)))*('الإدخال اليومي'!$L$3:$AA$3&lt;=الإعدادات!$B$2)))</f>
        <v>13</v>
      </c>
      <c r="M95" s="19">
        <f>IF($B95="","",IF(C95="امازون","",(IFERROR(INDEX(الإعدادات!$B$19:$B$22,MATCH(C95,الإعدادات!$A$19:$A$22,0)),الإعدادات!$B$3)/الإعدادات!$B$4)*L95))</f>
        <v>195</v>
      </c>
      <c r="N95" s="21">
        <f t="shared" ref="N95:N158" si="3">IF($B95="","",IF(OR(M95="",M95=0),"",F95/M95))</f>
        <v>0.84102564102564104</v>
      </c>
      <c r="O95" s="19">
        <f>IF($B95="","",IF(OR(C95="امازون",L95=0),"",ROUND(F95/L95*الإعدادات!$B$4,0)))</f>
        <v>378</v>
      </c>
      <c r="P95" s="22" t="str">
        <f>IF($B95="","",IF('الإدخال اليومي'!AF69="لا يعمل","مستبعد (ترك العمل)",IF('الإدخال اليومي'!AF69="اجازه","مستبعد (اجازة)",IF(C95="امازون","امازون (شحنات)",IF(L95=0,"مستبعد (لم يعمل)",IF(F95&gt;=M95,"حقق",IF(F95&gt;=M95*الإعدادات!$B$8,"قريب","بعيد")))))))</f>
        <v>قريب</v>
      </c>
      <c r="Q95" s="16" t="str">
        <f>IF($B95="","",TRIM('الإدخال اليومي'!H69&amp;IF(N('الإدخال اليومي'!AC69)&gt;0," | + "&amp;'الإدخال اليومي'!AC69&amp;" طلب من "&amp;'الإدخال اليومي'!AB69&amp;" (محسوبة في الإجمالي)","")))</f>
        <v>اسناد ضعيف</v>
      </c>
      <c r="R95" s="17">
        <f t="shared" ref="R95:R158" si="4">IF($B95="",0,SUBTOTAL(103,B95))</f>
        <v>1</v>
      </c>
      <c r="S95" s="17" t="str">
        <f>IF($B95="","",IF('الإدخال اليومي'!AF69="","يعمل",'الإدخال اليومي'!AF69))</f>
        <v>يعمل</v>
      </c>
    </row>
    <row r="96" spans="1:19" x14ac:dyDescent="0.3">
      <c r="A96" s="15">
        <f>IF('الإدخال اليومي'!$B70="","",IF('الإدخال اليومي'!A70="","",'الإدخال اليومي'!A70))</f>
        <v>2608015794</v>
      </c>
      <c r="B96" s="16" t="str">
        <f>IF('الإدخال اليومي'!$B70="","",IF('الإدخال اليومي'!B70="","",'الإدخال اليومي'!B70))</f>
        <v>اشرف عبدالمجيد</v>
      </c>
      <c r="C96" s="17" t="str">
        <f>IF('الإدخال اليومي'!$B70="","",IF('الإدخال اليومي'!C70="","",'الإدخال اليومي'!C70))</f>
        <v>كيتا</v>
      </c>
      <c r="D96" s="17">
        <f>IF($B96="","",66)</f>
        <v>66</v>
      </c>
      <c r="E96" s="17" t="str">
        <f>IF('الإدخال اليومي'!$B70="","",IF('الإدخال اليومي'!AD70="","",'الإدخال اليومي'!AD70))</f>
        <v>فري لانسر</v>
      </c>
      <c r="F96" s="18">
        <f>IF($B96="","",'الإدخال اليومي'!I70)</f>
        <v>152</v>
      </c>
      <c r="G96" s="19" t="str">
        <f>IF($B96="","",IF(N('الإدخال اليومي'!AG70)=0,"",'الإدخال اليومي'!AG70))</f>
        <v/>
      </c>
      <c r="H96" s="17" t="str">
        <f>IF('الإدخال اليومي'!$B70="","",IF('الإدخال اليومي'!AE70="","",'الإدخال اليومي'!AE70))</f>
        <v>خالد عباس</v>
      </c>
      <c r="I96" s="17">
        <f>IF($B96="","",IFERROR(INDEX('الإدخال اليومي'!K70:AA70,MATCH(الإعدادات!$B$2,'الإدخال اليومي'!$K$3:$AA$3,0)),0))</f>
        <v>9</v>
      </c>
      <c r="J96" s="20">
        <f>IF('الإدخال اليومي'!$B70="","",IF('الإدخال اليومي'!F70="","",'الإدخال اليومي'!F70))</f>
        <v>46259</v>
      </c>
      <c r="K96" s="17">
        <f>IF($B96="","",N('الإدخال اليومي'!G70)+MAX(0,الإعدادات!$B$2-MAX(الإعدادات!$B$10+1,N(J96))+1)-SUMPRODUCT(('الإدخال اليومي'!$L70:$AA70&gt;0)*('الإدخال اليومي'!$L$3:$AA$3&gt;=MAX(الإعدادات!$B$10+1,N(J96)))*('الإدخال اليومي'!$L$3:$AA$3&lt;=الإعدادات!$B$2)))</f>
        <v>0</v>
      </c>
      <c r="L96" s="17">
        <f>IF($B96="","",MAX(0,الإعدادات!$B$10-IF(J96="",الإعدادات!$B$9,MAX(J96,الإعدادات!$B$9))+1-N('الإدخال اليومي'!G70))+SUMPRODUCT(('الإدخال اليومي'!$L70:$AA70&gt;0)*('الإدخال اليومي'!$L$3:$AA$3&gt;=MAX(الإعدادات!$B$10+1,N(J96)))*('الإدخال اليومي'!$L$3:$AA$3&lt;=الإعدادات!$B$2)))</f>
        <v>17</v>
      </c>
      <c r="M96" s="19">
        <f>IF($B96="","",IF(C96="امازون","",(IFERROR(INDEX(الإعدادات!$B$19:$B$22,MATCH(C96,الإعدادات!$A$19:$A$22,0)),الإعدادات!$B$3)/الإعدادات!$B$4)*L96))</f>
        <v>255</v>
      </c>
      <c r="N96" s="21">
        <f t="shared" si="3"/>
        <v>0.59607843137254901</v>
      </c>
      <c r="O96" s="19">
        <f>IF($B96="","",IF(OR(C96="امازون",L96=0),"",ROUND(F96/L96*الإعدادات!$B$4,0)))</f>
        <v>268</v>
      </c>
      <c r="P96" s="22" t="str">
        <f>IF($B96="","",IF('الإدخال اليومي'!AF70="لا يعمل","مستبعد (ترك العمل)",IF('الإدخال اليومي'!AF70="اجازه","مستبعد (اجازة)",IF(C96="امازون","امازون (شحنات)",IF(L96=0,"مستبعد (لم يعمل)",IF(F96&gt;=M96,"حقق",IF(F96&gt;=M96*الإعدادات!$B$8,"قريب","بعيد")))))))</f>
        <v>بعيد</v>
      </c>
      <c r="Q96" s="16" t="str">
        <f>IF($B96="","",TRIM('الإدخال اليومي'!H70&amp;IF(N('الإدخال اليومي'!AC70)&gt;0," | + "&amp;'الإدخال اليومي'!AC70&amp;" طلب من "&amp;'الإدخال اليومي'!AB70&amp;" (محسوبة في الإجمالي)","")))</f>
        <v>حادث ولم يستطع استكمال</v>
      </c>
      <c r="R96" s="17">
        <f t="shared" si="4"/>
        <v>1</v>
      </c>
      <c r="S96" s="17" t="str">
        <f>IF($B96="","",IF('الإدخال اليومي'!AF70="","يعمل",'الإدخال اليومي'!AF70))</f>
        <v>يعمل</v>
      </c>
    </row>
    <row r="97" spans="1:19" x14ac:dyDescent="0.3">
      <c r="A97" s="15">
        <f>IF('الإدخال اليومي'!$B71="","",IF('الإدخال اليومي'!A71="","",'الإدخال اليومي'!A71))</f>
        <v>2583732645</v>
      </c>
      <c r="B97" s="16" t="str">
        <f>IF('الإدخال اليومي'!$B71="","",IF('الإدخال اليومي'!B71="","",'الإدخال اليومي'!B71))</f>
        <v>فارس وائل</v>
      </c>
      <c r="C97" s="17" t="str">
        <f>IF('الإدخال اليومي'!$B71="","",IF('الإدخال اليومي'!C71="","",'الإدخال اليومي'!C71))</f>
        <v>كيتا</v>
      </c>
      <c r="D97" s="17">
        <f>IF($B97="","",67)</f>
        <v>67</v>
      </c>
      <c r="E97" s="17" t="str">
        <f>IF('الإدخال اليومي'!$B71="","",IF('الإدخال اليومي'!AD71="","",'الإدخال اليومي'!AD71))</f>
        <v>فري لانسر</v>
      </c>
      <c r="F97" s="18">
        <f>IF($B97="","",'الإدخال اليومي'!I71)</f>
        <v>114</v>
      </c>
      <c r="G97" s="19" t="str">
        <f>IF($B97="","",IF(N('الإدخال اليومي'!AG71)=0,"",'الإدخال اليومي'!AG71))</f>
        <v/>
      </c>
      <c r="H97" s="17" t="str">
        <f>IF('الإدخال اليومي'!$B71="","",IF('الإدخال اليومي'!AE71="","",'الإدخال اليومي'!AE71))</f>
        <v>خالد عباس</v>
      </c>
      <c r="I97" s="17">
        <f>IF($B97="","",IFERROR(INDEX('الإدخال اليومي'!K71:AA71,MATCH(الإعدادات!$B$2,'الإدخال اليومي'!$K$3:$AA$3,0)),0))</f>
        <v>16</v>
      </c>
      <c r="J97" s="20">
        <f>IF('الإدخال اليومي'!$B71="","",IF('الإدخال اليومي'!F71="","",'الإدخال اليومي'!F71))</f>
        <v>46301</v>
      </c>
      <c r="K97" s="17">
        <f>IF($B97="","",N('الإدخال اليومي'!G71)+MAX(0,الإعدادات!$B$2-MAX(الإعدادات!$B$10+1,N(J97))+1)-SUMPRODUCT(('الإدخال اليومي'!$L71:$AA71&gt;0)*('الإدخال اليومي'!$L$3:$AA$3&gt;=MAX(الإعدادات!$B$10+1,N(J97)))*('الإدخال اليومي'!$L$3:$AA$3&lt;=الإعدادات!$B$2)))</f>
        <v>0</v>
      </c>
      <c r="L97" s="17">
        <f>IF($B97="","",MAX(0,الإعدادات!$B$10-IF(J97="",الإعدادات!$B$9,MAX(J97,الإعدادات!$B$9))+1-N('الإدخال اليومي'!G71))+SUMPRODUCT(('الإدخال اليومي'!$L71:$AA71&gt;0)*('الإدخال اليومي'!$L$3:$AA$3&gt;=MAX(الإعدادات!$B$10+1,N(J97)))*('الإدخال اليومي'!$L$3:$AA$3&lt;=الإعدادات!$B$2)))</f>
        <v>12</v>
      </c>
      <c r="M97" s="19">
        <f>IF($B97="","",IF(C97="امازون","",(IFERROR(INDEX(الإعدادات!$B$19:$B$22,MATCH(C97,الإعدادات!$A$19:$A$22,0)),الإعدادات!$B$3)/الإعدادات!$B$4)*L97))</f>
        <v>180</v>
      </c>
      <c r="N97" s="21">
        <f t="shared" si="3"/>
        <v>0.6333333333333333</v>
      </c>
      <c r="O97" s="19">
        <f>IF($B97="","",IF(OR(C97="امازون",L97=0),"",ROUND(F97/L97*الإعدادات!$B$4,0)))</f>
        <v>285</v>
      </c>
      <c r="P97" s="22" t="str">
        <f>IF($B97="","",IF('الإدخال اليومي'!AF71="لا يعمل","مستبعد (ترك العمل)",IF('الإدخال اليومي'!AF71="اجازه","مستبعد (اجازة)",IF(C97="امازون","امازون (شحنات)",IF(L97=0,"مستبعد (لم يعمل)",IF(F97&gt;=M97,"حقق",IF(F97&gt;=M97*الإعدادات!$B$8,"قريب","بعيد")))))))</f>
        <v>بعيد</v>
      </c>
      <c r="Q97" s="16" t="str">
        <f>IF($B97="","",TRIM('الإدخال اليومي'!H71&amp;IF(N('الإدخال اليومي'!AC71)&gt;0," | + "&amp;'الإدخال اليومي'!AC71&amp;" طلب من "&amp;'الإدخال اليومي'!AB71&amp;" (محسوبة في الإجمالي)","")))</f>
        <v>أسناد ضعيف</v>
      </c>
      <c r="R97" s="17">
        <f t="shared" si="4"/>
        <v>1</v>
      </c>
      <c r="S97" s="17" t="str">
        <f>IF($B97="","",IF('الإدخال اليومي'!AF71="","يعمل",'الإدخال اليومي'!AF71))</f>
        <v>يعمل</v>
      </c>
    </row>
    <row r="98" spans="1:19" x14ac:dyDescent="0.3">
      <c r="A98" s="15">
        <f>IF('الإدخال اليومي'!$B72="","",IF('الإدخال اليومي'!A72="","",'الإدخال اليومي'!A72))</f>
        <v>2626575647</v>
      </c>
      <c r="B98" s="16" t="str">
        <f>IF('الإدخال اليومي'!$B72="","",IF('الإدخال اليومي'!B72="","",'الإدخال اليومي'!B72))</f>
        <v>جمال حسين</v>
      </c>
      <c r="C98" s="17" t="str">
        <f>IF('الإدخال اليومي'!$B72="","",IF('الإدخال اليومي'!C72="","",'الإدخال اليومي'!C72))</f>
        <v>كيتا</v>
      </c>
      <c r="D98" s="17">
        <f>IF($B98="","",68)</f>
        <v>68</v>
      </c>
      <c r="E98" s="17" t="str">
        <f>IF('الإدخال اليومي'!$B72="","",IF('الإدخال اليومي'!AD72="","",'الإدخال اليومي'!AD72))</f>
        <v>فري لانسر</v>
      </c>
      <c r="F98" s="18">
        <f>IF($B98="","",'الإدخال اليومي'!I72)</f>
        <v>83</v>
      </c>
      <c r="G98" s="19" t="str">
        <f>IF($B98="","",IF(N('الإدخال اليومي'!AG72)=0,"",'الإدخال اليومي'!AG72))</f>
        <v/>
      </c>
      <c r="H98" s="17" t="str">
        <f>IF('الإدخال اليومي'!$B72="","",IF('الإدخال اليومي'!AE72="","",'الإدخال اليومي'!AE72))</f>
        <v>خالد عباس</v>
      </c>
      <c r="I98" s="17">
        <f>IF($B98="","",IFERROR(INDEX('الإدخال اليومي'!K72:AA72,MATCH(الإعدادات!$B$2,'الإدخال اليومي'!$K$3:$AA$3,0)),0))</f>
        <v>0</v>
      </c>
      <c r="J98" s="20">
        <f>IF('الإدخال اليومي'!$B72="","",IF('الإدخال اليومي'!F72="","",'الإدخال اليومي'!F72))</f>
        <v>46305</v>
      </c>
      <c r="K98" s="17">
        <f>IF($B98="","",N('الإدخال اليومي'!G72)+MAX(0,الإعدادات!$B$2-MAX(الإعدادات!$B$10+1,N(J98))+1)-SUMPRODUCT(('الإدخال اليومي'!$L72:$AA72&gt;0)*('الإدخال اليومي'!$L$3:$AA$3&gt;=MAX(الإعدادات!$B$10+1,N(J98)))*('الإدخال اليومي'!$L$3:$AA$3&lt;=الإعدادات!$B$2)))</f>
        <v>1</v>
      </c>
      <c r="L98" s="17">
        <f>IF($B98="","",MAX(0,الإعدادات!$B$10-IF(J98="",الإعدادات!$B$9,MAX(J98,الإعدادات!$B$9))+1-N('الإدخال اليومي'!G72))+SUMPRODUCT(('الإدخال اليومي'!$L72:$AA72&gt;0)*('الإدخال اليومي'!$L$3:$AA$3&gt;=MAX(الإعدادات!$B$10+1,N(J98)))*('الإدخال اليومي'!$L$3:$AA$3&lt;=الإعدادات!$B$2)))</f>
        <v>7</v>
      </c>
      <c r="M98" s="19">
        <f>IF($B98="","",IF(C98="امازون","",(IFERROR(INDEX(الإعدادات!$B$19:$B$22,MATCH(C98,الإعدادات!$A$19:$A$22,0)),الإعدادات!$B$3)/الإعدادات!$B$4)*L98))</f>
        <v>105</v>
      </c>
      <c r="N98" s="21">
        <f t="shared" si="3"/>
        <v>0.79047619047619044</v>
      </c>
      <c r="O98" s="19">
        <f>IF($B98="","",IF(OR(C98="امازون",L98=0),"",ROUND(F98/L98*الإعدادات!$B$4,0)))</f>
        <v>356</v>
      </c>
      <c r="P98" s="22" t="str">
        <f>IF($B98="","",IF('الإدخال اليومي'!AF72="لا يعمل","مستبعد (ترك العمل)",IF('الإدخال اليومي'!AF72="اجازه","مستبعد (اجازة)",IF(C98="امازون","امازون (شحنات)",IF(L98=0,"مستبعد (لم يعمل)",IF(F98&gt;=M98,"حقق",IF(F98&gt;=M98*الإعدادات!$B$8,"قريب","بعيد")))))))</f>
        <v>بعيد</v>
      </c>
      <c r="Q98" s="16" t="str">
        <f>IF($B98="","",TRIM('الإدخال اليومي'!H72&amp;IF(N('الإدخال اليومي'!AC72)&gt;0," | + "&amp;'الإدخال اليومي'!AC72&amp;" طلب من "&amp;'الإدخال اليومي'!AB72&amp;" (محسوبة في الإجمالي)","")))</f>
        <v/>
      </c>
      <c r="R98" s="17">
        <f t="shared" si="4"/>
        <v>1</v>
      </c>
      <c r="S98" s="17" t="str">
        <f>IF($B98="","",IF('الإدخال اليومي'!AF72="","يعمل",'الإدخال اليومي'!AF72))</f>
        <v>يعمل</v>
      </c>
    </row>
    <row r="99" spans="1:19" x14ac:dyDescent="0.3">
      <c r="A99" s="15">
        <f>IF('الإدخال اليومي'!$B73="","",IF('الإدخال اليومي'!A73="","",'الإدخال اليومي'!A73))</f>
        <v>2592846832</v>
      </c>
      <c r="B99" s="16" t="str">
        <f>IF('الإدخال اليومي'!$B73="","",IF('الإدخال اليومي'!B73="","",'الإدخال اليومي'!B73))</f>
        <v>محمد عويس محمد</v>
      </c>
      <c r="C99" s="17" t="str">
        <f>IF('الإدخال اليومي'!$B73="","",IF('الإدخال اليومي'!C73="","",'الإدخال اليومي'!C73))</f>
        <v>كيتا</v>
      </c>
      <c r="D99" s="17">
        <f>IF($B99="","",69)</f>
        <v>69</v>
      </c>
      <c r="E99" s="17" t="str">
        <f>IF('الإدخال اليومي'!$B73="","",IF('الإدخال اليومي'!AD73="","",'الإدخال اليومي'!AD73))</f>
        <v>فري لانسر</v>
      </c>
      <c r="F99" s="18">
        <f>IF($B99="","",'الإدخال اليومي'!I73)</f>
        <v>97</v>
      </c>
      <c r="G99" s="19" t="str">
        <f>IF($B99="","",IF(N('الإدخال اليومي'!AG73)=0,"",'الإدخال اليومي'!AG73))</f>
        <v/>
      </c>
      <c r="H99" s="17" t="str">
        <f>IF('الإدخال اليومي'!$B73="","",IF('الإدخال اليومي'!AE73="","",'الإدخال اليومي'!AE73))</f>
        <v>خالد عباس</v>
      </c>
      <c r="I99" s="17">
        <f>IF($B99="","",IFERROR(INDEX('الإدخال اليومي'!K73:AA73,MATCH(الإعدادات!$B$2,'الإدخال اليومي'!$K$3:$AA$3,0)),0))</f>
        <v>17</v>
      </c>
      <c r="J99" s="20">
        <f>IF('الإدخال اليومي'!$B73="","",IF('الإدخال اليومي'!F73="","",'الإدخال اليومي'!F73))</f>
        <v>46301</v>
      </c>
      <c r="K99" s="17">
        <f>IF($B99="","",N('الإدخال اليومي'!G73)+MAX(0,الإعدادات!$B$2-MAX(الإعدادات!$B$10+1,N(J99))+1)-SUMPRODUCT(('الإدخال اليومي'!$L73:$AA73&gt;0)*('الإدخال اليومي'!$L$3:$AA$3&gt;=MAX(الإعدادات!$B$10+1,N(J99)))*('الإدخال اليومي'!$L$3:$AA$3&lt;=الإعدادات!$B$2)))</f>
        <v>0</v>
      </c>
      <c r="L99" s="17">
        <f>IF($B99="","",MAX(0,الإعدادات!$B$10-IF(J99="",الإعدادات!$B$9,MAX(J99,الإعدادات!$B$9))+1-N('الإدخال اليومي'!G73))+SUMPRODUCT(('الإدخال اليومي'!$L73:$AA73&gt;0)*('الإدخال اليومي'!$L$3:$AA$3&gt;=MAX(الإعدادات!$B$10+1,N(J99)))*('الإدخال اليومي'!$L$3:$AA$3&lt;=الإعدادات!$B$2)))</f>
        <v>12</v>
      </c>
      <c r="M99" s="19">
        <f>IF($B99="","",IF(C99="امازون","",(IFERROR(INDEX(الإعدادات!$B$19:$B$22,MATCH(C99,الإعدادات!$A$19:$A$22,0)),الإعدادات!$B$3)/الإعدادات!$B$4)*L99))</f>
        <v>180</v>
      </c>
      <c r="N99" s="21">
        <f t="shared" si="3"/>
        <v>0.53888888888888886</v>
      </c>
      <c r="O99" s="19">
        <f>IF($B99="","",IF(OR(C99="امازون",L99=0),"",ROUND(F99/L99*الإعدادات!$B$4,0)))</f>
        <v>243</v>
      </c>
      <c r="P99" s="22" t="str">
        <f>IF($B99="","",IF('الإدخال اليومي'!AF73="لا يعمل","مستبعد (ترك العمل)",IF('الإدخال اليومي'!AF73="اجازه","مستبعد (اجازة)",IF(C99="امازون","امازون (شحنات)",IF(L99=0,"مستبعد (لم يعمل)",IF(F99&gt;=M99,"حقق",IF(F99&gt;=M99*الإعدادات!$B$8,"قريب","بعيد")))))))</f>
        <v>بعيد</v>
      </c>
      <c r="Q99" s="16" t="str">
        <f>IF($B99="","",TRIM('الإدخال اليومي'!H73&amp;IF(N('الإدخال اليومي'!AC73)&gt;0," | + "&amp;'الإدخال اليومي'!AC73&amp;" طلب من "&amp;'الإدخال اليومي'!AB73&amp;" (محسوبة في الإجمالي)","")))</f>
        <v>أسناد ضعيف</v>
      </c>
      <c r="R99" s="17">
        <f t="shared" si="4"/>
        <v>1</v>
      </c>
      <c r="S99" s="17" t="str">
        <f>IF($B99="","",IF('الإدخال اليومي'!AF73="","يعمل",'الإدخال اليومي'!AF73))</f>
        <v>يعمل</v>
      </c>
    </row>
    <row r="100" spans="1:19" x14ac:dyDescent="0.3">
      <c r="A100" s="15">
        <f>IF('الإدخال اليومي'!$B74="","",IF('الإدخال اليومي'!A74="","",'الإدخال اليومي'!A74))</f>
        <v>2568276055</v>
      </c>
      <c r="B100" s="16" t="str">
        <f>IF('الإدخال اليومي'!$B74="","",IF('الإدخال اليومي'!B74="","",'الإدخال اليومي'!B74))</f>
        <v>فخر الاسلام</v>
      </c>
      <c r="C100" s="17" t="str">
        <f>IF('الإدخال اليومي'!$B74="","",IF('الإدخال اليومي'!C74="","",'الإدخال اليومي'!C74))</f>
        <v>كيتا</v>
      </c>
      <c r="D100" s="17">
        <f>IF($B100="","",70)</f>
        <v>70</v>
      </c>
      <c r="E100" s="17" t="str">
        <f>IF('الإدخال اليومي'!$B74="","",IF('الإدخال اليومي'!AD74="","",'الإدخال اليومي'!AD74))</f>
        <v>فري لانسر</v>
      </c>
      <c r="F100" s="18">
        <f>IF($B100="","",'الإدخال اليومي'!I74)</f>
        <v>54</v>
      </c>
      <c r="G100" s="19" t="str">
        <f>IF($B100="","",IF(N('الإدخال اليومي'!AG74)=0,"",'الإدخال اليومي'!AG74))</f>
        <v/>
      </c>
      <c r="H100" s="17" t="str">
        <f>IF('الإدخال اليومي'!$B74="","",IF('الإدخال اليومي'!AE74="","",'الإدخال اليومي'!AE74))</f>
        <v>خالد عباس</v>
      </c>
      <c r="I100" s="17">
        <f>IF($B100="","",IFERROR(INDEX('الإدخال اليومي'!K74:AA74,MATCH(الإعدادات!$B$2,'الإدخال اليومي'!$K$3:$AA$3,0)),0))</f>
        <v>12</v>
      </c>
      <c r="J100" s="20">
        <f>IF('الإدخال اليومي'!$B74="","",IF('الإدخال اليومي'!F74="","",'الإدخال اليومي'!F74))</f>
        <v>46303</v>
      </c>
      <c r="K100" s="17">
        <f>IF($B100="","",N('الإدخال اليومي'!G74)+MAX(0,الإعدادات!$B$2-MAX(الإعدادات!$B$10+1,N(J100))+1)-SUMPRODUCT(('الإدخال اليومي'!$L74:$AA74&gt;0)*('الإدخال اليومي'!$L$3:$AA$3&gt;=MAX(الإعدادات!$B$10+1,N(J100)))*('الإدخال اليومي'!$L$3:$AA$3&lt;=الإعدادات!$B$2)))</f>
        <v>0</v>
      </c>
      <c r="L100" s="17">
        <f>IF($B100="","",MAX(0,الإعدادات!$B$10-IF(J100="",الإعدادات!$B$9,MAX(J100,الإعدادات!$B$9))+1-N('الإدخال اليومي'!G74))+SUMPRODUCT(('الإدخال اليومي'!$L74:$AA74&gt;0)*('الإدخال اليومي'!$L$3:$AA$3&gt;=MAX(الإعدادات!$B$10+1,N(J100)))*('الإدخال اليومي'!$L$3:$AA$3&lt;=الإعدادات!$B$2)))</f>
        <v>10</v>
      </c>
      <c r="M100" s="19">
        <f>IF($B100="","",IF(C100="امازون","",(IFERROR(INDEX(الإعدادات!$B$19:$B$22,MATCH(C100,الإعدادات!$A$19:$A$22,0)),الإعدادات!$B$3)/الإعدادات!$B$4)*L100))</f>
        <v>150</v>
      </c>
      <c r="N100" s="21">
        <f t="shared" si="3"/>
        <v>0.36</v>
      </c>
      <c r="O100" s="19">
        <f>IF($B100="","",IF(OR(C100="امازون",L100=0),"",ROUND(F100/L100*الإعدادات!$B$4,0)))</f>
        <v>162</v>
      </c>
      <c r="P100" s="22" t="str">
        <f>IF($B100="","",IF('الإدخال اليومي'!AF74="لا يعمل","مستبعد (ترك العمل)",IF('الإدخال اليومي'!AF74="اجازه","مستبعد (اجازة)",IF(C100="امازون","امازون (شحنات)",IF(L100=0,"مستبعد (لم يعمل)",IF(F100&gt;=M100,"حقق",IF(F100&gt;=M100*الإعدادات!$B$8,"قريب","بعيد")))))))</f>
        <v>بعيد</v>
      </c>
      <c r="Q100" s="16" t="str">
        <f>IF($B100="","",TRIM('الإدخال اليومي'!H74&amp;IF(N('الإدخال اليومي'!AC74)&gt;0," | + "&amp;'الإدخال اليومي'!AC74&amp;" طلب من "&amp;'الإدخال اليومي'!AB74&amp;" (محسوبة في الإجمالي)","")))</f>
        <v>اسناد ضعيف</v>
      </c>
      <c r="R100" s="17">
        <f t="shared" si="4"/>
        <v>1</v>
      </c>
      <c r="S100" s="17" t="str">
        <f>IF($B100="","",IF('الإدخال اليومي'!AF74="","يعمل",'الإدخال اليومي'!AF74))</f>
        <v>يعمل</v>
      </c>
    </row>
    <row r="101" spans="1:19" x14ac:dyDescent="0.3">
      <c r="A101" s="15">
        <f>IF('الإدخال اليومي'!$B75="","",IF('الإدخال اليومي'!A75="","",'الإدخال اليومي'!A75))</f>
        <v>2516832710</v>
      </c>
      <c r="B101" s="16" t="str">
        <f>IF('الإدخال اليومي'!$B75="","",IF('الإدخال اليومي'!B75="","",'الإدخال اليومي'!B75))</f>
        <v>معين دين حنيف</v>
      </c>
      <c r="C101" s="17" t="str">
        <f>IF('الإدخال اليومي'!$B75="","",IF('الإدخال اليومي'!C75="","",'الإدخال اليومي'!C75))</f>
        <v>كيتا</v>
      </c>
      <c r="D101" s="17">
        <f>IF($B101="","",71)</f>
        <v>71</v>
      </c>
      <c r="E101" s="17" t="str">
        <f>IF('الإدخال اليومي'!$B75="","",IF('الإدخال اليومي'!AD75="","",'الإدخال اليومي'!AD75))</f>
        <v>فري لانسر</v>
      </c>
      <c r="F101" s="18">
        <f>IF($B101="","",'الإدخال اليومي'!I75)</f>
        <v>62</v>
      </c>
      <c r="G101" s="19" t="str">
        <f>IF($B101="","",IF(N('الإدخال اليومي'!AG75)=0,"",'الإدخال اليومي'!AG75))</f>
        <v/>
      </c>
      <c r="H101" s="17" t="str">
        <f>IF('الإدخال اليومي'!$B75="","",IF('الإدخال اليومي'!AE75="","",'الإدخال اليومي'!AE75))</f>
        <v>خالد عباس</v>
      </c>
      <c r="I101" s="17">
        <f>IF($B101="","",IFERROR(INDEX('الإدخال اليومي'!K75:AA75,MATCH(الإعدادات!$B$2,'الإدخال اليومي'!$K$3:$AA$3,0)),0))</f>
        <v>19</v>
      </c>
      <c r="J101" s="20">
        <f>IF('الإدخال اليومي'!$B75="","",IF('الإدخال اليومي'!F75="","",'الإدخال اليومي'!F75))</f>
        <v>46303</v>
      </c>
      <c r="K101" s="17">
        <f>IF($B101="","",N('الإدخال اليومي'!G75)+MAX(0,الإعدادات!$B$2-MAX(الإعدادات!$B$10+1,N(J101))+1)-SUMPRODUCT(('الإدخال اليومي'!$L75:$AA75&gt;0)*('الإدخال اليومي'!$L$3:$AA$3&gt;=MAX(الإعدادات!$B$10+1,N(J101)))*('الإدخال اليومي'!$L$3:$AA$3&lt;=الإعدادات!$B$2)))</f>
        <v>0</v>
      </c>
      <c r="L101" s="17">
        <f>IF($B101="","",MAX(0,الإعدادات!$B$10-IF(J101="",الإعدادات!$B$9,MAX(J101,الإعدادات!$B$9))+1-N('الإدخال اليومي'!G75))+SUMPRODUCT(('الإدخال اليومي'!$L75:$AA75&gt;0)*('الإدخال اليومي'!$L$3:$AA$3&gt;=MAX(الإعدادات!$B$10+1,N(J101)))*('الإدخال اليومي'!$L$3:$AA$3&lt;=الإعدادات!$B$2)))</f>
        <v>10</v>
      </c>
      <c r="M101" s="19">
        <f>IF($B101="","",IF(C101="امازون","",(IFERROR(INDEX(الإعدادات!$B$19:$B$22,MATCH(C101,الإعدادات!$A$19:$A$22,0)),الإعدادات!$B$3)/الإعدادات!$B$4)*L101))</f>
        <v>150</v>
      </c>
      <c r="N101" s="21">
        <f t="shared" si="3"/>
        <v>0.41333333333333333</v>
      </c>
      <c r="O101" s="19">
        <f>IF($B101="","",IF(OR(C101="امازون",L101=0),"",ROUND(F101/L101*الإعدادات!$B$4,0)))</f>
        <v>186</v>
      </c>
      <c r="P101" s="22" t="str">
        <f>IF($B101="","",IF('الإدخال اليومي'!AF75="لا يعمل","مستبعد (ترك العمل)",IF('الإدخال اليومي'!AF75="اجازه","مستبعد (اجازة)",IF(C101="امازون","امازون (شحنات)",IF(L101=0,"مستبعد (لم يعمل)",IF(F101&gt;=M101,"حقق",IF(F101&gt;=M101*الإعدادات!$B$8,"قريب","بعيد")))))))</f>
        <v>بعيد</v>
      </c>
      <c r="Q101" s="16" t="str">
        <f>IF($B101="","",TRIM('الإدخال اليومي'!H75&amp;IF(N('الإدخال اليومي'!AC75)&gt;0," | + "&amp;'الإدخال اليومي'!AC75&amp;" طلب من "&amp;'الإدخال اليومي'!AB75&amp;" (محسوبة في الإجمالي)","")))</f>
        <v>تم توجية المندوب وتم انذارو</v>
      </c>
      <c r="R101" s="17">
        <f t="shared" si="4"/>
        <v>1</v>
      </c>
      <c r="S101" s="17" t="str">
        <f>IF($B101="","",IF('الإدخال اليومي'!AF75="","يعمل",'الإدخال اليومي'!AF75))</f>
        <v>يعمل</v>
      </c>
    </row>
    <row r="102" spans="1:19" x14ac:dyDescent="0.3">
      <c r="A102" s="15">
        <f>IF('الإدخال اليومي'!$B76="","",IF('الإدخال اليومي'!A76="","",'الإدخال اليومي'!A76))</f>
        <v>2562667267</v>
      </c>
      <c r="B102" s="16" t="str">
        <f>IF('الإدخال اليومي'!$B76="","",IF('الإدخال اليومي'!B76="","",'الإدخال اليومي'!B76))</f>
        <v>mohammad ali rojan ali</v>
      </c>
      <c r="C102" s="17" t="str">
        <f>IF('الإدخال اليومي'!$B76="","",IF('الإدخال اليومي'!C76="","",'الإدخال اليومي'!C76))</f>
        <v>كيتا</v>
      </c>
      <c r="D102" s="17">
        <f>IF($B102="","",72)</f>
        <v>72</v>
      </c>
      <c r="E102" s="17" t="str">
        <f>IF('الإدخال اليومي'!$B76="","",IF('الإدخال اليومي'!AD76="","",'الإدخال اليومي'!AD76))</f>
        <v>كفالة</v>
      </c>
      <c r="F102" s="18">
        <f>IF($B102="","",'الإدخال اليومي'!I76)</f>
        <v>0</v>
      </c>
      <c r="G102" s="19" t="str">
        <f>IF($B102="","",IF(N('الإدخال اليومي'!AG76)=0,"",'الإدخال اليومي'!AG76))</f>
        <v/>
      </c>
      <c r="H102" s="17" t="str">
        <f>IF('الإدخال اليومي'!$B76="","",IF('الإدخال اليومي'!AE76="","",'الإدخال اليومي'!AE76))</f>
        <v>محمود خطاب</v>
      </c>
      <c r="I102" s="17">
        <f>IF($B102="","",IFERROR(INDEX('الإدخال اليومي'!K76:AA76,MATCH(الإعدادات!$B$2,'الإدخال اليومي'!$K$3:$AA$3,0)),0))</f>
        <v>0</v>
      </c>
      <c r="J102" s="20">
        <f>IF('الإدخال اليومي'!$B76="","",IF('الإدخال اليومي'!F76="","",'الإدخال اليومي'!F76))</f>
        <v>45382</v>
      </c>
      <c r="K102" s="17">
        <f>IF($B102="","",N('الإدخال اليومي'!G76)+MAX(0,الإعدادات!$B$2-MAX(الإعدادات!$B$10+1,N(J102))+1)-SUMPRODUCT(('الإدخال اليومي'!$L76:$AA76&gt;0)*('الإدخال اليومي'!$L$3:$AA$3&gt;=MAX(الإعدادات!$B$10+1,N(J102)))*('الإدخال اليومي'!$L$3:$AA$3&lt;=الإعدادات!$B$2)))</f>
        <v>2</v>
      </c>
      <c r="L102" s="17">
        <f>IF($B102="","",MAX(0,الإعدادات!$B$10-IF(J102="",الإعدادات!$B$9,MAX(J102,الإعدادات!$B$9))+1-N('الإدخال اليومي'!G76))+SUMPRODUCT(('الإدخال اليومي'!$L76:$AA76&gt;0)*('الإدخال اليومي'!$L$3:$AA$3&gt;=MAX(الإعدادات!$B$10+1,N(J102)))*('الإدخال اليومي'!$L$3:$AA$3&lt;=الإعدادات!$B$2)))</f>
        <v>15</v>
      </c>
      <c r="M102" s="19">
        <f>IF($B102="","",IF(C102="امازون","",(IFERROR(INDEX(الإعدادات!$B$19:$B$22,MATCH(C102,الإعدادات!$A$19:$A$22,0)),الإعدادات!$B$3)/الإعدادات!$B$4)*L102))</f>
        <v>225</v>
      </c>
      <c r="N102" s="21">
        <f t="shared" si="3"/>
        <v>0</v>
      </c>
      <c r="O102" s="19">
        <f>IF($B102="","",IF(OR(C102="امازون",L102=0),"",ROUND(F102/L102*الإعدادات!$B$4,0)))</f>
        <v>0</v>
      </c>
      <c r="P102" s="22" t="str">
        <f>IF($B102="","",IF('الإدخال اليومي'!AF76="لا يعمل","مستبعد (ترك العمل)",IF('الإدخال اليومي'!AF76="اجازه","مستبعد (اجازة)",IF(C102="امازون","امازون (شحنات)",IF(L102=0,"مستبعد (لم يعمل)",IF(F102&gt;=M102,"حقق",IF(F102&gt;=M102*الإعدادات!$B$8,"قريب","بعيد")))))))</f>
        <v>مستبعد (اجازة)</v>
      </c>
      <c r="Q102" s="16" t="str">
        <f>IF($B102="","",TRIM('الإدخال اليومي'!H76&amp;IF(N('الإدخال اليومي'!AC76)&gt;0," | + "&amp;'الإدخال اليومي'!AC76&amp;" طلب من "&amp;'الإدخال اليومي'!AB76&amp;" (محسوبة في الإجمالي)","")))</f>
        <v/>
      </c>
      <c r="R102" s="17">
        <f t="shared" si="4"/>
        <v>1</v>
      </c>
      <c r="S102" s="17" t="str">
        <f>IF($B102="","",IF('الإدخال اليومي'!AF76="","يعمل",'الإدخال اليومي'!AF76))</f>
        <v>اجازه</v>
      </c>
    </row>
    <row r="103" spans="1:19" x14ac:dyDescent="0.3">
      <c r="A103" s="15">
        <f>IF('الإدخال اليومي'!$B77="","",IF('الإدخال اليومي'!A77="","",'الإدخال اليومي'!A77))</f>
        <v>2555618319</v>
      </c>
      <c r="B103" s="16" t="str">
        <f>IF('الإدخال اليومي'!$B77="","",IF('الإدخال اليومي'!B77="","",'الإدخال اليومي'!B77))</f>
        <v>حسام احمد السيد علام</v>
      </c>
      <c r="C103" s="17" t="str">
        <f>IF('الإدخال اليومي'!$B77="","",IF('الإدخال اليومي'!C77="","",'الإدخال اليومي'!C77))</f>
        <v>كيتا</v>
      </c>
      <c r="D103" s="17">
        <f>IF($B103="","",73)</f>
        <v>73</v>
      </c>
      <c r="E103" s="17" t="str">
        <f>IF('الإدخال اليومي'!$B77="","",IF('الإدخال اليومي'!AD77="","",'الإدخال اليومي'!AD77))</f>
        <v>كفالة</v>
      </c>
      <c r="F103" s="18">
        <f>IF($B103="","",'الإدخال اليومي'!I77)</f>
        <v>0</v>
      </c>
      <c r="G103" s="19" t="str">
        <f>IF($B103="","",IF(N('الإدخال اليومي'!AG77)=0,"",'الإدخال اليومي'!AG77))</f>
        <v/>
      </c>
      <c r="H103" s="17" t="str">
        <f>IF('الإدخال اليومي'!$B77="","",IF('الإدخال اليومي'!AE77="","",'الإدخال اليومي'!AE77))</f>
        <v>محمود خطاب</v>
      </c>
      <c r="I103" s="17">
        <f>IF($B103="","",IFERROR(INDEX('الإدخال اليومي'!K77:AA77,MATCH(الإعدادات!$B$2,'الإدخال اليومي'!$K$3:$AA$3,0)),0))</f>
        <v>0</v>
      </c>
      <c r="J103" s="20">
        <f>IF('الإدخال اليومي'!$B77="","",IF('الإدخال اليومي'!F77="","",'الإدخال اليومي'!F77))</f>
        <v>45322</v>
      </c>
      <c r="K103" s="17">
        <f>IF($B103="","",N('الإدخال اليومي'!G77)+MAX(0,الإعدادات!$B$2-MAX(الإعدادات!$B$10+1,N(J103))+1)-SUMPRODUCT(('الإدخال اليومي'!$L77:$AA77&gt;0)*('الإدخال اليومي'!$L$3:$AA$3&gt;=MAX(الإعدادات!$B$10+1,N(J103)))*('الإدخال اليومي'!$L$3:$AA$3&lt;=الإعدادات!$B$2)))</f>
        <v>2</v>
      </c>
      <c r="L103" s="17">
        <f>IF($B103="","",MAX(0,الإعدادات!$B$10-IF(J103="",الإعدادات!$B$9,MAX(J103,الإعدادات!$B$9))+1-N('الإدخال اليومي'!G77))+SUMPRODUCT(('الإدخال اليومي'!$L77:$AA77&gt;0)*('الإدخال اليومي'!$L$3:$AA$3&gt;=MAX(الإعدادات!$B$10+1,N(J103)))*('الإدخال اليومي'!$L$3:$AA$3&lt;=الإعدادات!$B$2)))</f>
        <v>15</v>
      </c>
      <c r="M103" s="19">
        <f>IF($B103="","",IF(C103="امازون","",(IFERROR(INDEX(الإعدادات!$B$19:$B$22,MATCH(C103,الإعدادات!$A$19:$A$22,0)),الإعدادات!$B$3)/الإعدادات!$B$4)*L103))</f>
        <v>225</v>
      </c>
      <c r="N103" s="21">
        <f t="shared" si="3"/>
        <v>0</v>
      </c>
      <c r="O103" s="19">
        <f>IF($B103="","",IF(OR(C103="امازون",L103=0),"",ROUND(F103/L103*الإعدادات!$B$4,0)))</f>
        <v>0</v>
      </c>
      <c r="P103" s="22" t="str">
        <f>IF($B103="","",IF('الإدخال اليومي'!AF77="لا يعمل","مستبعد (ترك العمل)",IF('الإدخال اليومي'!AF77="اجازه","مستبعد (اجازة)",IF(C103="امازون","امازون (شحنات)",IF(L103=0,"مستبعد (لم يعمل)",IF(F103&gt;=M103,"حقق",IF(F103&gt;=M103*الإعدادات!$B$8,"قريب","بعيد")))))))</f>
        <v>بعيد</v>
      </c>
      <c r="Q103" s="16" t="str">
        <f>IF($B103="","",TRIM('الإدخال اليومي'!H77&amp;IF(N('الإدخال اليومي'!AC77)&gt;0," | + "&amp;'الإدخال اليومي'!AC77&amp;" طلب من "&amp;'الإدخال اليومي'!AB77&amp;" (محسوبة في الإجمالي)","")))</f>
        <v/>
      </c>
      <c r="R103" s="17">
        <f t="shared" si="4"/>
        <v>1</v>
      </c>
      <c r="S103" s="17" t="str">
        <f>IF($B103="","",IF('الإدخال اليومي'!AF77="","يعمل",'الإدخال اليومي'!AF77))</f>
        <v>يعمل</v>
      </c>
    </row>
    <row r="104" spans="1:19" x14ac:dyDescent="0.3">
      <c r="A104" s="15">
        <f>IF('الإدخال اليومي'!$B78="","",IF('الإدخال اليومي'!A78="","",'الإدخال اليومي'!A78))</f>
        <v>2641745423</v>
      </c>
      <c r="B104" s="16" t="str">
        <f>IF('الإدخال اليومي'!$B78="","",IF('الإدخال اليومي'!B78="","",'الإدخال اليومي'!B78))</f>
        <v>نور محمد عبد اللطيف الشريف</v>
      </c>
      <c r="C104" s="17" t="str">
        <f>IF('الإدخال اليومي'!$B78="","",IF('الإدخال اليومي'!C78="","",'الإدخال اليومي'!C78))</f>
        <v>كيتا</v>
      </c>
      <c r="D104" s="17">
        <f>IF($B104="","",74)</f>
        <v>74</v>
      </c>
      <c r="E104" s="17" t="str">
        <f>IF('الإدخال اليومي'!$B78="","",IF('الإدخال اليومي'!AD78="","",'الإدخال اليومي'!AD78))</f>
        <v>فري لانسر</v>
      </c>
      <c r="F104" s="18">
        <f>IF($B104="","",'الإدخال اليومي'!I78)</f>
        <v>0</v>
      </c>
      <c r="G104" s="19" t="str">
        <f>IF($B104="","",IF(N('الإدخال اليومي'!AG78)=0,"",'الإدخال اليومي'!AG78))</f>
        <v/>
      </c>
      <c r="H104" s="17" t="str">
        <f>IF('الإدخال اليومي'!$B78="","",IF('الإدخال اليومي'!AE78="","",'الإدخال اليومي'!AE78))</f>
        <v>خالد عباس</v>
      </c>
      <c r="I104" s="17">
        <f>IF($B104="","",IFERROR(INDEX('الإدخال اليومي'!K78:AA78,MATCH(الإعدادات!$B$2,'الإدخال اليومي'!$K$3:$AA$3,0)),0))</f>
        <v>0</v>
      </c>
      <c r="J104" s="20" t="str">
        <f>IF('الإدخال اليومي'!$B78="","",IF('الإدخال اليومي'!F78="","",'الإدخال اليومي'!F78))</f>
        <v/>
      </c>
      <c r="K104" s="17">
        <f>IF($B104="","",N('الإدخال اليومي'!G78)+MAX(0,الإعدادات!$B$2-MAX(الإعدادات!$B$10+1,N(J104))+1)-SUMPRODUCT(('الإدخال اليومي'!$L78:$AA78&gt;0)*('الإدخال اليومي'!$L$3:$AA$3&gt;=MAX(الإعدادات!$B$10+1,N(J104)))*('الإدخال اليومي'!$L$3:$AA$3&lt;=الإعدادات!$B$2)))</f>
        <v>2</v>
      </c>
      <c r="L104" s="17">
        <f>IF($B104="","",MAX(0,الإعدادات!$B$10-IF(J104="",الإعدادات!$B$9,MAX(J104,الإعدادات!$B$9))+1-N('الإدخال اليومي'!G78))+SUMPRODUCT(('الإدخال اليومي'!$L78:$AA78&gt;0)*('الإدخال اليومي'!$L$3:$AA$3&gt;=MAX(الإعدادات!$B$10+1,N(J104)))*('الإدخال اليومي'!$L$3:$AA$3&lt;=الإعدادات!$B$2)))</f>
        <v>15</v>
      </c>
      <c r="M104" s="19">
        <f>IF($B104="","",IF(C104="امازون","",(IFERROR(INDEX(الإعدادات!$B$19:$B$22,MATCH(C104,الإعدادات!$A$19:$A$22,0)),الإعدادات!$B$3)/الإعدادات!$B$4)*L104))</f>
        <v>225</v>
      </c>
      <c r="N104" s="21">
        <f t="shared" si="3"/>
        <v>0</v>
      </c>
      <c r="O104" s="19">
        <f>IF($B104="","",IF(OR(C104="امازون",L104=0),"",ROUND(F104/L104*الإعدادات!$B$4,0)))</f>
        <v>0</v>
      </c>
      <c r="P104" s="22" t="str">
        <f>IF($B104="","",IF('الإدخال اليومي'!AF78="لا يعمل","مستبعد (ترك العمل)",IF('الإدخال اليومي'!AF78="اجازه","مستبعد (اجازة)",IF(C104="امازون","امازون (شحنات)",IF(L104=0,"مستبعد (لم يعمل)",IF(F104&gt;=M104,"حقق",IF(F104&gt;=M104*الإعدادات!$B$8,"قريب","بعيد")))))))</f>
        <v>مستبعد (ترك العمل)</v>
      </c>
      <c r="Q104" s="16" t="str">
        <f>IF($B104="","",TRIM('الإدخال اليومي'!H78&amp;IF(N('الإدخال اليومي'!AC78)&gt;0," | + "&amp;'الإدخال اليومي'!AC78&amp;" طلب من "&amp;'الإدخال اليومي'!AB78&amp;" (محسوبة في الإجمالي)","")))</f>
        <v/>
      </c>
      <c r="R104" s="17">
        <f t="shared" si="4"/>
        <v>1</v>
      </c>
      <c r="S104" s="17" t="str">
        <f>IF($B104="","",IF('الإدخال اليومي'!AF78="","يعمل",'الإدخال اليومي'!AF78))</f>
        <v>لا يعمل</v>
      </c>
    </row>
    <row r="105" spans="1:19" x14ac:dyDescent="0.3">
      <c r="A105" s="15">
        <f>IF('الإدخال اليومي'!$B79="","",IF('الإدخال اليومي'!A79="","",'الإدخال اليومي'!A79))</f>
        <v>2589282835</v>
      </c>
      <c r="B105" s="16" t="str">
        <f>IF('الإدخال اليومي'!$B79="","",IF('الإدخال اليومي'!B79="","",'الإدخال اليومي'!B79))</f>
        <v>محمد شكيب عابدين شبانه</v>
      </c>
      <c r="C105" s="17" t="str">
        <f>IF('الإدخال اليومي'!$B79="","",IF('الإدخال اليومي'!C79="","",'الإدخال اليومي'!C79))</f>
        <v>كيتا</v>
      </c>
      <c r="D105" s="17">
        <f>IF($B105="","",75)</f>
        <v>75</v>
      </c>
      <c r="E105" s="17" t="str">
        <f>IF('الإدخال اليومي'!$B79="","",IF('الإدخال اليومي'!AD79="","",'الإدخال اليومي'!AD79))</f>
        <v>كفالة</v>
      </c>
      <c r="F105" s="18">
        <f>IF($B105="","",'الإدخال اليومي'!I79)</f>
        <v>18</v>
      </c>
      <c r="G105" s="19" t="str">
        <f>IF($B105="","",IF(N('الإدخال اليومي'!AG79)=0,"",'الإدخال اليومي'!AG79))</f>
        <v/>
      </c>
      <c r="H105" s="17" t="str">
        <f>IF('الإدخال اليومي'!$B79="","",IF('الإدخال اليومي'!AE79="","",'الإدخال اليومي'!AE79))</f>
        <v>خالد عباس</v>
      </c>
      <c r="I105" s="17">
        <f>IF($B105="","",IFERROR(INDEX('الإدخال اليومي'!K79:AA79,MATCH(الإعدادات!$B$2,'الإدخال اليومي'!$K$3:$AA$3,0)),0))</f>
        <v>7</v>
      </c>
      <c r="J105" s="20">
        <f>IF('الإدخال اليومي'!$B79="","",IF('الإدخال اليومي'!F79="","",'الإدخال اليومي'!F79))</f>
        <v>46310</v>
      </c>
      <c r="K105" s="17">
        <f>IF($B105="","",N('الإدخال اليومي'!G79)+MAX(0,الإعدادات!$B$2-MAX(الإعدادات!$B$10+1,N(J105))+1)-SUMPRODUCT(('الإدخال اليومي'!$L79:$AA79&gt;0)*('الإدخال اليومي'!$L$3:$AA$3&gt;=MAX(الإعدادات!$B$10+1,N(J105)))*('الإدخال اليومي'!$L$3:$AA$3&lt;=الإعدادات!$B$2)))</f>
        <v>0</v>
      </c>
      <c r="L105" s="17">
        <f>IF($B105="","",MAX(0,الإعدادات!$B$10-IF(J105="",الإعدادات!$B$9,MAX(J105,الإعدادات!$B$9))+1-N('الإدخال اليومي'!G79))+SUMPRODUCT(('الإدخال اليومي'!$L79:$AA79&gt;0)*('الإدخال اليومي'!$L$3:$AA$3&gt;=MAX(الإعدادات!$B$10+1,N(J105)))*('الإدخال اليومي'!$L$3:$AA$3&lt;=الإعدادات!$B$2)))</f>
        <v>3</v>
      </c>
      <c r="M105" s="19">
        <f>IF($B105="","",IF(C105="امازون","",(IFERROR(INDEX(الإعدادات!$B$19:$B$22,MATCH(C105,الإعدادات!$A$19:$A$22,0)),الإعدادات!$B$3)/الإعدادات!$B$4)*L105))</f>
        <v>45</v>
      </c>
      <c r="N105" s="21">
        <f t="shared" si="3"/>
        <v>0.4</v>
      </c>
      <c r="O105" s="19">
        <f>IF($B105="","",IF(OR(C105="امازون",L105=0),"",ROUND(F105/L105*الإعدادات!$B$4,0)))</f>
        <v>180</v>
      </c>
      <c r="P105" s="22" t="str">
        <f>IF($B105="","",IF('الإدخال اليومي'!AF79="لا يعمل","مستبعد (ترك العمل)",IF('الإدخال اليومي'!AF79="اجازه","مستبعد (اجازة)",IF(C105="امازون","امازون (شحنات)",IF(L105=0,"مستبعد (لم يعمل)",IF(F105&gt;=M105,"حقق",IF(F105&gt;=M105*الإعدادات!$B$8,"قريب","بعيد")))))))</f>
        <v>بعيد</v>
      </c>
      <c r="Q105" s="16" t="str">
        <f>IF($B105="","",TRIM('الإدخال اليومي'!H79&amp;IF(N('الإدخال اليومي'!AC79)&gt;0," | + "&amp;'الإدخال اليومي'!AC79&amp;" طلب من "&amp;'الإدخال اليومي'!AB79&amp;" (محسوبة في الإجمالي)","")))</f>
        <v/>
      </c>
      <c r="R105" s="17">
        <f t="shared" si="4"/>
        <v>1</v>
      </c>
      <c r="S105" s="17" t="str">
        <f>IF($B105="","",IF('الإدخال اليومي'!AF79="","يعمل",'الإدخال اليومي'!AF79))</f>
        <v>يعمل</v>
      </c>
    </row>
    <row r="106" spans="1:19" x14ac:dyDescent="0.3">
      <c r="A106" s="15">
        <f>IF('الإدخال اليومي'!$B80="","",IF('الإدخال اليومي'!A80="","",'الإدخال اليومي'!A80))</f>
        <v>2562204699</v>
      </c>
      <c r="B106" s="16" t="str">
        <f>IF('الإدخال اليومي'!$B80="","",IF('الإدخال اليومي'!B80="","",'الإدخال اليومي'!B80))</f>
        <v>MOHSAN FAREED JAVID</v>
      </c>
      <c r="C106" s="17" t="str">
        <f>IF('الإدخال اليومي'!$B80="","",IF('الإدخال اليومي'!C80="","",'الإدخال اليومي'!C80))</f>
        <v>هنجرستيشن</v>
      </c>
      <c r="D106" s="17">
        <f>IF($B106="","",76)</f>
        <v>76</v>
      </c>
      <c r="E106" s="17" t="str">
        <f>IF('الإدخال اليومي'!$B80="","",IF('الإدخال اليومي'!AD80="","",'الإدخال اليومي'!AD80))</f>
        <v>كفالة</v>
      </c>
      <c r="F106" s="18">
        <f>IF($B106="","",'الإدخال اليومي'!I80)</f>
        <v>359</v>
      </c>
      <c r="G106" s="19" t="str">
        <f>IF($B106="","",IF(N('الإدخال اليومي'!AG80)=0,"",'الإدخال اليومي'!AG80))</f>
        <v/>
      </c>
      <c r="H106" s="17" t="str">
        <f>IF('الإدخال اليومي'!$B80="","",IF('الإدخال اليومي'!AE80="","",'الإدخال اليومي'!AE80))</f>
        <v>محمود خطاب</v>
      </c>
      <c r="I106" s="17">
        <f>IF($B106="","",IFERROR(INDEX('الإدخال اليومي'!K80:AA80,MATCH(الإعدادات!$B$2,'الإدخال اليومي'!$K$3:$AA$3,0)),0))</f>
        <v>21</v>
      </c>
      <c r="J106" s="20">
        <f>IF('الإدخال اليومي'!$B80="","",IF('الإدخال اليومي'!F80="","",'الإدخال اليومي'!F80))</f>
        <v>45382</v>
      </c>
      <c r="K106" s="17">
        <f>IF($B106="","",N('الإدخال اليومي'!G80)+MAX(0,الإعدادات!$B$2-MAX(الإعدادات!$B$10+1,N(J106))+1)-SUMPRODUCT(('الإدخال اليومي'!$L80:$AA80&gt;0)*('الإدخال اليومي'!$L$3:$AA$3&gt;=MAX(الإعدادات!$B$10+1,N(J106)))*('الإدخال اليومي'!$L$3:$AA$3&lt;=الإعدادات!$B$2)))</f>
        <v>0</v>
      </c>
      <c r="L106" s="17">
        <f>IF($B106="","",MAX(0,الإعدادات!$B$10-IF(J106="",الإعدادات!$B$9,MAX(J106,الإعدادات!$B$9))+1-N('الإدخال اليومي'!G80))+SUMPRODUCT(('الإدخال اليومي'!$L80:$AA80&gt;0)*('الإدخال اليومي'!$L$3:$AA$3&gt;=MAX(الإعدادات!$B$10+1,N(J106)))*('الإدخال اليومي'!$L$3:$AA$3&lt;=الإعدادات!$B$2)))</f>
        <v>17</v>
      </c>
      <c r="M106" s="19">
        <f>IF($B106="","",IF(C106="امازون","",(IFERROR(INDEX(الإعدادات!$B$19:$B$22,MATCH(C106,الإعدادات!$A$19:$A$22,0)),الإعدادات!$B$3)/الإعدادات!$B$4)*L106))</f>
        <v>255</v>
      </c>
      <c r="N106" s="21">
        <f t="shared" si="3"/>
        <v>1.4078431372549021</v>
      </c>
      <c r="O106" s="19">
        <f>IF($B106="","",IF(OR(C106="امازون",L106=0),"",ROUND(F106/L106*الإعدادات!$B$4,0)))</f>
        <v>634</v>
      </c>
      <c r="P106" s="22" t="str">
        <f>IF($B106="","",IF('الإدخال اليومي'!AF80="لا يعمل","مستبعد (ترك العمل)",IF('الإدخال اليومي'!AF80="اجازه","مستبعد (اجازة)",IF(C106="امازون","امازون (شحنات)",IF(L106=0,"مستبعد (لم يعمل)",IF(F106&gt;=M106,"حقق",IF(F106&gt;=M106*الإعدادات!$B$8,"قريب","بعيد")))))))</f>
        <v>حقق</v>
      </c>
      <c r="Q106" s="16" t="str">
        <f>IF($B106="","",TRIM('الإدخال اليومي'!H80&amp;IF(N('الإدخال اليومي'!AC80)&gt;0," | + "&amp;'الإدخال اليومي'!AC80&amp;" طلب من "&amp;'الإدخال اليومي'!AB80&amp;" (محسوبة في الإجمالي)","")))</f>
        <v/>
      </c>
      <c r="R106" s="17">
        <f t="shared" si="4"/>
        <v>1</v>
      </c>
      <c r="S106" s="17" t="str">
        <f>IF($B106="","",IF('الإدخال اليومي'!AF80="","يعمل",'الإدخال اليومي'!AF80))</f>
        <v>يعمل</v>
      </c>
    </row>
    <row r="107" spans="1:19" x14ac:dyDescent="0.3">
      <c r="A107" s="15">
        <f>IF('الإدخال اليومي'!$B81="","",IF('الإدخال اليومي'!A81="","",'الإدخال اليومي'!A81))</f>
        <v>2567991191</v>
      </c>
      <c r="B107" s="16" t="str">
        <f>IF('الإدخال اليومي'!$B81="","",IF('الإدخال اليومي'!B81="","",'الإدخال اليومي'!B81))</f>
        <v>NURE - - HASANUZZAMAN</v>
      </c>
      <c r="C107" s="17" t="str">
        <f>IF('الإدخال اليومي'!$B81="","",IF('الإدخال اليومي'!C81="","",'الإدخال اليومي'!C81))</f>
        <v>هنجرستيشن</v>
      </c>
      <c r="D107" s="17">
        <f>IF($B107="","",77)</f>
        <v>77</v>
      </c>
      <c r="E107" s="17" t="str">
        <f>IF('الإدخال اليومي'!$B81="","",IF('الإدخال اليومي'!AD81="","",'الإدخال اليومي'!AD81))</f>
        <v>كفالة</v>
      </c>
      <c r="F107" s="18">
        <f>IF($B107="","",'الإدخال اليومي'!I81)</f>
        <v>347</v>
      </c>
      <c r="G107" s="19" t="str">
        <f>IF($B107="","",IF(N('الإدخال اليومي'!AG81)=0,"",'الإدخال اليومي'!AG81))</f>
        <v/>
      </c>
      <c r="H107" s="17" t="str">
        <f>IF('الإدخال اليومي'!$B81="","",IF('الإدخال اليومي'!AE81="","",'الإدخال اليومي'!AE81))</f>
        <v>محمود خطاب</v>
      </c>
      <c r="I107" s="17">
        <f>IF($B107="","",IFERROR(INDEX('الإدخال اليومي'!K81:AA81,MATCH(الإعدادات!$B$2,'الإدخال اليومي'!$K$3:$AA$3,0)),0))</f>
        <v>24</v>
      </c>
      <c r="J107" s="20">
        <f>IF('الإدخال اليومي'!$B81="","",IF('الإدخال اليومي'!F81="","",'الإدخال اليومي'!F81))</f>
        <v>45412</v>
      </c>
      <c r="K107" s="17">
        <f>IF($B107="","",N('الإدخال اليومي'!G81)+MAX(0,الإعدادات!$B$2-MAX(الإعدادات!$B$10+1,N(J107))+1)-SUMPRODUCT(('الإدخال اليومي'!$L81:$AA81&gt;0)*('الإدخال اليومي'!$L$3:$AA$3&gt;=MAX(الإعدادات!$B$10+1,N(J107)))*('الإدخال اليومي'!$L$3:$AA$3&lt;=الإعدادات!$B$2)))</f>
        <v>0</v>
      </c>
      <c r="L107" s="17">
        <f>IF($B107="","",MAX(0,الإعدادات!$B$10-IF(J107="",الإعدادات!$B$9,MAX(J107,الإعدادات!$B$9))+1-N('الإدخال اليومي'!G81))+SUMPRODUCT(('الإدخال اليومي'!$L81:$AA81&gt;0)*('الإدخال اليومي'!$L$3:$AA$3&gt;=MAX(الإعدادات!$B$10+1,N(J107)))*('الإدخال اليومي'!$L$3:$AA$3&lt;=الإعدادات!$B$2)))</f>
        <v>17</v>
      </c>
      <c r="M107" s="19">
        <f>IF($B107="","",IF(C107="امازون","",(IFERROR(INDEX(الإعدادات!$B$19:$B$22,MATCH(C107,الإعدادات!$A$19:$A$22,0)),الإعدادات!$B$3)/الإعدادات!$B$4)*L107))</f>
        <v>255</v>
      </c>
      <c r="N107" s="21">
        <f t="shared" si="3"/>
        <v>1.3607843137254902</v>
      </c>
      <c r="O107" s="19">
        <f>IF($B107="","",IF(OR(C107="امازون",L107=0),"",ROUND(F107/L107*الإعدادات!$B$4,0)))</f>
        <v>612</v>
      </c>
      <c r="P107" s="22" t="str">
        <f>IF($B107="","",IF('الإدخال اليومي'!AF81="لا يعمل","مستبعد (ترك العمل)",IF('الإدخال اليومي'!AF81="اجازه","مستبعد (اجازة)",IF(C107="امازون","امازون (شحنات)",IF(L107=0,"مستبعد (لم يعمل)",IF(F107&gt;=M107,"حقق",IF(F107&gt;=M107*الإعدادات!$B$8,"قريب","بعيد")))))))</f>
        <v>حقق</v>
      </c>
      <c r="Q107" s="16" t="str">
        <f>IF($B107="","",TRIM('الإدخال اليومي'!H81&amp;IF(N('الإدخال اليومي'!AC81)&gt;0," | + "&amp;'الإدخال اليومي'!AC81&amp;" طلب من "&amp;'الإدخال اليومي'!AB81&amp;" (محسوبة في الإجمالي)","")))</f>
        <v/>
      </c>
      <c r="R107" s="17">
        <f t="shared" si="4"/>
        <v>1</v>
      </c>
      <c r="S107" s="17" t="str">
        <f>IF($B107="","",IF('الإدخال اليومي'!AF81="","يعمل",'الإدخال اليومي'!AF81))</f>
        <v>يعمل</v>
      </c>
    </row>
    <row r="108" spans="1:19" x14ac:dyDescent="0.3">
      <c r="A108" s="15">
        <f>IF('الإدخال اليومي'!$B82="","",IF('الإدخال اليومي'!A82="","",'الإدخال اليومي'!A82))</f>
        <v>2570718409</v>
      </c>
      <c r="B108" s="16" t="str">
        <f>IF('الإدخال اليومي'!$B82="","",IF('الإدخال اليومي'!B82="","",'الإدخال اليومي'!B82))</f>
        <v>ABUL HASAN - - SEIKH</v>
      </c>
      <c r="C108" s="17" t="str">
        <f>IF('الإدخال اليومي'!$B82="","",IF('الإدخال اليومي'!C82="","",'الإدخال اليومي'!C82))</f>
        <v>هنجرستيشن</v>
      </c>
      <c r="D108" s="17">
        <f>IF($B108="","",78)</f>
        <v>78</v>
      </c>
      <c r="E108" s="17" t="str">
        <f>IF('الإدخال اليومي'!$B82="","",IF('الإدخال اليومي'!AD82="","",'الإدخال اليومي'!AD82))</f>
        <v>كفالة</v>
      </c>
      <c r="F108" s="18">
        <f>IF($B108="","",'الإدخال اليومي'!I82)</f>
        <v>324</v>
      </c>
      <c r="G108" s="19" t="str">
        <f>IF($B108="","",IF(N('الإدخال اليومي'!AG82)=0,"",'الإدخال اليومي'!AG82))</f>
        <v/>
      </c>
      <c r="H108" s="17" t="str">
        <f>IF('الإدخال اليومي'!$B82="","",IF('الإدخال اليومي'!AE82="","",'الإدخال اليومي'!AE82))</f>
        <v>محمود خطاب</v>
      </c>
      <c r="I108" s="17">
        <f>IF($B108="","",IFERROR(INDEX('الإدخال اليومي'!K82:AA82,MATCH(الإعدادات!$B$2,'الإدخال اليومي'!$K$3:$AA$3,0)),0))</f>
        <v>20</v>
      </c>
      <c r="J108" s="20">
        <f>IF('الإدخال اليومي'!$B82="","",IF('الإدخال اليومي'!F82="","",'الإدخال اليومي'!F82))</f>
        <v>45443</v>
      </c>
      <c r="K108" s="17">
        <f>IF($B108="","",N('الإدخال اليومي'!G82)+MAX(0,الإعدادات!$B$2-MAX(الإعدادات!$B$10+1,N(J108))+1)-SUMPRODUCT(('الإدخال اليومي'!$L82:$AA82&gt;0)*('الإدخال اليومي'!$L$3:$AA$3&gt;=MAX(الإعدادات!$B$10+1,N(J108)))*('الإدخال اليومي'!$L$3:$AA$3&lt;=الإعدادات!$B$2)))</f>
        <v>0</v>
      </c>
      <c r="L108" s="17">
        <f>IF($B108="","",MAX(0,الإعدادات!$B$10-IF(J108="",الإعدادات!$B$9,MAX(J108,الإعدادات!$B$9))+1-N('الإدخال اليومي'!G82))+SUMPRODUCT(('الإدخال اليومي'!$L82:$AA82&gt;0)*('الإدخال اليومي'!$L$3:$AA$3&gt;=MAX(الإعدادات!$B$10+1,N(J108)))*('الإدخال اليومي'!$L$3:$AA$3&lt;=الإعدادات!$B$2)))</f>
        <v>17</v>
      </c>
      <c r="M108" s="19">
        <f>IF($B108="","",IF(C108="امازون","",(IFERROR(INDEX(الإعدادات!$B$19:$B$22,MATCH(C108,الإعدادات!$A$19:$A$22,0)),الإعدادات!$B$3)/الإعدادات!$B$4)*L108))</f>
        <v>255</v>
      </c>
      <c r="N108" s="21">
        <f t="shared" si="3"/>
        <v>1.2705882352941176</v>
      </c>
      <c r="O108" s="19">
        <f>IF($B108="","",IF(OR(C108="امازون",L108=0),"",ROUND(F108/L108*الإعدادات!$B$4,0)))</f>
        <v>572</v>
      </c>
      <c r="P108" s="22" t="str">
        <f>IF($B108="","",IF('الإدخال اليومي'!AF82="لا يعمل","مستبعد (ترك العمل)",IF('الإدخال اليومي'!AF82="اجازه","مستبعد (اجازة)",IF(C108="امازون","امازون (شحنات)",IF(L108=0,"مستبعد (لم يعمل)",IF(F108&gt;=M108,"حقق",IF(F108&gt;=M108*الإعدادات!$B$8,"قريب","بعيد")))))))</f>
        <v>حقق</v>
      </c>
      <c r="Q108" s="16" t="str">
        <f>IF($B108="","",TRIM('الإدخال اليومي'!H82&amp;IF(N('الإدخال اليومي'!AC82)&gt;0," | + "&amp;'الإدخال اليومي'!AC82&amp;" طلب من "&amp;'الإدخال اليومي'!AB82&amp;" (محسوبة في الإجمالي)","")))</f>
        <v/>
      </c>
      <c r="R108" s="17">
        <f t="shared" si="4"/>
        <v>1</v>
      </c>
      <c r="S108" s="17" t="str">
        <f>IF($B108="","",IF('الإدخال اليومي'!AF82="","يعمل",'الإدخال اليومي'!AF82))</f>
        <v>يعمل</v>
      </c>
    </row>
    <row r="109" spans="1:19" x14ac:dyDescent="0.3">
      <c r="A109" s="15">
        <f>IF('الإدخال اليومي'!$B83="","",IF('الإدخال اليومي'!A83="","",'الإدخال اليومي'!A83))</f>
        <v>2560884062</v>
      </c>
      <c r="B109" s="16" t="str">
        <f>IF('الإدخال اليومي'!$B83="","",IF('الإدخال اليومي'!B83="","",'الإدخال اليومي'!B83))</f>
        <v>MANSUR MIAH</v>
      </c>
      <c r="C109" s="17" t="str">
        <f>IF('الإدخال اليومي'!$B83="","",IF('الإدخال اليومي'!C83="","",'الإدخال اليومي'!C83))</f>
        <v>هنجرستيشن</v>
      </c>
      <c r="D109" s="17">
        <f>IF($B109="","",79)</f>
        <v>79</v>
      </c>
      <c r="E109" s="17" t="str">
        <f>IF('الإدخال اليومي'!$B83="","",IF('الإدخال اليومي'!AD83="","",'الإدخال اليومي'!AD83))</f>
        <v>كفالة</v>
      </c>
      <c r="F109" s="18">
        <f>IF($B109="","",'الإدخال اليومي'!I83)</f>
        <v>312</v>
      </c>
      <c r="G109" s="19" t="str">
        <f>IF($B109="","",IF(N('الإدخال اليومي'!AG83)=0,"",'الإدخال اليومي'!AG83))</f>
        <v/>
      </c>
      <c r="H109" s="17" t="str">
        <f>IF('الإدخال اليومي'!$B83="","",IF('الإدخال اليومي'!AE83="","",'الإدخال اليومي'!AE83))</f>
        <v>محمود خطاب</v>
      </c>
      <c r="I109" s="17">
        <f>IF($B109="","",IFERROR(INDEX('الإدخال اليومي'!K83:AA83,MATCH(الإعدادات!$B$2,'الإدخال اليومي'!$K$3:$AA$3,0)),0))</f>
        <v>21</v>
      </c>
      <c r="J109" s="20">
        <f>IF('الإدخال اليومي'!$B83="","",IF('الإدخال اليومي'!F83="","",'الإدخال اليومي'!F83))</f>
        <v>45382</v>
      </c>
      <c r="K109" s="17">
        <f>IF($B109="","",N('الإدخال اليومي'!G83)+MAX(0,الإعدادات!$B$2-MAX(الإعدادات!$B$10+1,N(J109))+1)-SUMPRODUCT(('الإدخال اليومي'!$L83:$AA83&gt;0)*('الإدخال اليومي'!$L$3:$AA$3&gt;=MAX(الإعدادات!$B$10+1,N(J109)))*('الإدخال اليومي'!$L$3:$AA$3&lt;=الإعدادات!$B$2)))</f>
        <v>0</v>
      </c>
      <c r="L109" s="17">
        <f>IF($B109="","",MAX(0,الإعدادات!$B$10-IF(J109="",الإعدادات!$B$9,MAX(J109,الإعدادات!$B$9))+1-N('الإدخال اليومي'!G83))+SUMPRODUCT(('الإدخال اليومي'!$L83:$AA83&gt;0)*('الإدخال اليومي'!$L$3:$AA$3&gt;=MAX(الإعدادات!$B$10+1,N(J109)))*('الإدخال اليومي'!$L$3:$AA$3&lt;=الإعدادات!$B$2)))</f>
        <v>17</v>
      </c>
      <c r="M109" s="19">
        <f>IF($B109="","",IF(C109="امازون","",(IFERROR(INDEX(الإعدادات!$B$19:$B$22,MATCH(C109,الإعدادات!$A$19:$A$22,0)),الإعدادات!$B$3)/الإعدادات!$B$4)*L109))</f>
        <v>255</v>
      </c>
      <c r="N109" s="21">
        <f t="shared" si="3"/>
        <v>1.223529411764706</v>
      </c>
      <c r="O109" s="19">
        <f>IF($B109="","",IF(OR(C109="امازون",L109=0),"",ROUND(F109/L109*الإعدادات!$B$4,0)))</f>
        <v>551</v>
      </c>
      <c r="P109" s="22" t="str">
        <f>IF($B109="","",IF('الإدخال اليومي'!AF83="لا يعمل","مستبعد (ترك العمل)",IF('الإدخال اليومي'!AF83="اجازه","مستبعد (اجازة)",IF(C109="امازون","امازون (شحنات)",IF(L109=0,"مستبعد (لم يعمل)",IF(F109&gt;=M109,"حقق",IF(F109&gt;=M109*الإعدادات!$B$8,"قريب","بعيد")))))))</f>
        <v>حقق</v>
      </c>
      <c r="Q109" s="16" t="str">
        <f>IF($B109="","",TRIM('الإدخال اليومي'!H83&amp;IF(N('الإدخال اليومي'!AC83)&gt;0," | + "&amp;'الإدخال اليومي'!AC83&amp;" طلب من "&amp;'الإدخال اليومي'!AB83&amp;" (محسوبة في الإجمالي)","")))</f>
        <v/>
      </c>
      <c r="R109" s="17">
        <f t="shared" si="4"/>
        <v>1</v>
      </c>
      <c r="S109" s="17" t="str">
        <f>IF($B109="","",IF('الإدخال اليومي'!AF83="","يعمل",'الإدخال اليومي'!AF83))</f>
        <v>يعمل</v>
      </c>
    </row>
    <row r="110" spans="1:19" x14ac:dyDescent="0.3">
      <c r="A110" s="15">
        <f>IF('الإدخال اليومي'!$B84="","",IF('الإدخال اليومي'!A84="","",'الإدخال اليومي'!A84))</f>
        <v>2567989229</v>
      </c>
      <c r="B110" s="16" t="str">
        <f>IF('الإدخال اليومي'!$B84="","",IF('الإدخال اليومي'!B84="","",'الإدخال اليومي'!B84))</f>
        <v>MIRZA EKBAL - - HOSSAIN</v>
      </c>
      <c r="C110" s="17" t="str">
        <f>IF('الإدخال اليومي'!$B84="","",IF('الإدخال اليومي'!C84="","",'الإدخال اليومي'!C84))</f>
        <v>هنجرستيشن</v>
      </c>
      <c r="D110" s="17">
        <f>IF($B110="","",80)</f>
        <v>80</v>
      </c>
      <c r="E110" s="17" t="str">
        <f>IF('الإدخال اليومي'!$B84="","",IF('الإدخال اليومي'!AD84="","",'الإدخال اليومي'!AD84))</f>
        <v>كفالة</v>
      </c>
      <c r="F110" s="18">
        <f>IF($B110="","",'الإدخال اليومي'!I84)</f>
        <v>308</v>
      </c>
      <c r="G110" s="19" t="str">
        <f>IF($B110="","",IF(N('الإدخال اليومي'!AG84)=0,"",'الإدخال اليومي'!AG84))</f>
        <v/>
      </c>
      <c r="H110" s="17" t="str">
        <f>IF('الإدخال اليومي'!$B84="","",IF('الإدخال اليومي'!AE84="","",'الإدخال اليومي'!AE84))</f>
        <v>محمود خطاب</v>
      </c>
      <c r="I110" s="17">
        <f>IF($B110="","",IFERROR(INDEX('الإدخال اليومي'!K84:AA84,MATCH(الإعدادات!$B$2,'الإدخال اليومي'!$K$3:$AA$3,0)),0))</f>
        <v>18</v>
      </c>
      <c r="J110" s="20">
        <f>IF('الإدخال اليومي'!$B84="","",IF('الإدخال اليومي'!F84="","",'الإدخال اليومي'!F84))</f>
        <v>45412</v>
      </c>
      <c r="K110" s="17">
        <f>IF($B110="","",N('الإدخال اليومي'!G84)+MAX(0,الإعدادات!$B$2-MAX(الإعدادات!$B$10+1,N(J110))+1)-SUMPRODUCT(('الإدخال اليومي'!$L84:$AA84&gt;0)*('الإدخال اليومي'!$L$3:$AA$3&gt;=MAX(الإعدادات!$B$10+1,N(J110)))*('الإدخال اليومي'!$L$3:$AA$3&lt;=الإعدادات!$B$2)))</f>
        <v>0</v>
      </c>
      <c r="L110" s="17">
        <f>IF($B110="","",MAX(0,الإعدادات!$B$10-IF(J110="",الإعدادات!$B$9,MAX(J110,الإعدادات!$B$9))+1-N('الإدخال اليومي'!G84))+SUMPRODUCT(('الإدخال اليومي'!$L84:$AA84&gt;0)*('الإدخال اليومي'!$L$3:$AA$3&gt;=MAX(الإعدادات!$B$10+1,N(J110)))*('الإدخال اليومي'!$L$3:$AA$3&lt;=الإعدادات!$B$2)))</f>
        <v>17</v>
      </c>
      <c r="M110" s="19">
        <f>IF($B110="","",IF(C110="امازون","",(IFERROR(INDEX(الإعدادات!$B$19:$B$22,MATCH(C110,الإعدادات!$A$19:$A$22,0)),الإعدادات!$B$3)/الإعدادات!$B$4)*L110))</f>
        <v>255</v>
      </c>
      <c r="N110" s="21">
        <f t="shared" si="3"/>
        <v>1.2078431372549019</v>
      </c>
      <c r="O110" s="19">
        <f>IF($B110="","",IF(OR(C110="امازون",L110=0),"",ROUND(F110/L110*الإعدادات!$B$4,0)))</f>
        <v>544</v>
      </c>
      <c r="P110" s="22" t="str">
        <f>IF($B110="","",IF('الإدخال اليومي'!AF84="لا يعمل","مستبعد (ترك العمل)",IF('الإدخال اليومي'!AF84="اجازه","مستبعد (اجازة)",IF(C110="امازون","امازون (شحنات)",IF(L110=0,"مستبعد (لم يعمل)",IF(F110&gt;=M110,"حقق",IF(F110&gt;=M110*الإعدادات!$B$8,"قريب","بعيد")))))))</f>
        <v>حقق</v>
      </c>
      <c r="Q110" s="16" t="str">
        <f>IF($B110="","",TRIM('الإدخال اليومي'!H84&amp;IF(N('الإدخال اليومي'!AC84)&gt;0," | + "&amp;'الإدخال اليومي'!AC84&amp;" طلب من "&amp;'الإدخال اليومي'!AB84&amp;" (محسوبة في الإجمالي)","")))</f>
        <v/>
      </c>
      <c r="R110" s="17">
        <f t="shared" si="4"/>
        <v>1</v>
      </c>
      <c r="S110" s="17" t="str">
        <f>IF($B110="","",IF('الإدخال اليومي'!AF84="","يعمل",'الإدخال اليومي'!AF84))</f>
        <v>يعمل</v>
      </c>
    </row>
    <row r="111" spans="1:19" x14ac:dyDescent="0.3">
      <c r="A111" s="15">
        <f>IF('الإدخال اليومي'!$B85="","",IF('الإدخال اليومي'!A85="","",'الإدخال اليومي'!A85))</f>
        <v>2557508864</v>
      </c>
      <c r="B111" s="16" t="str">
        <f>IF('الإدخال اليومي'!$B85="","",IF('الإدخال اليومي'!B85="","",'الإدخال اليومي'!B85))</f>
        <v>احمد رميح محمد رميح</v>
      </c>
      <c r="C111" s="17" t="str">
        <f>IF('الإدخال اليومي'!$B85="","",IF('الإدخال اليومي'!C85="","",'الإدخال اليومي'!C85))</f>
        <v>هنجرستيشن</v>
      </c>
      <c r="D111" s="17">
        <f>IF($B111="","",81)</f>
        <v>81</v>
      </c>
      <c r="E111" s="17" t="str">
        <f>IF('الإدخال اليومي'!$B85="","",IF('الإدخال اليومي'!AD85="","",'الإدخال اليومي'!AD85))</f>
        <v>كفالة</v>
      </c>
      <c r="F111" s="18">
        <f>IF($B111="","",'الإدخال اليومي'!I85)</f>
        <v>308</v>
      </c>
      <c r="G111" s="19" t="str">
        <f>IF($B111="","",IF(N('الإدخال اليومي'!AG85)=0,"",'الإدخال اليومي'!AG85))</f>
        <v/>
      </c>
      <c r="H111" s="17" t="str">
        <f>IF('الإدخال اليومي'!$B85="","",IF('الإدخال اليومي'!AE85="","",'الإدخال اليومي'!AE85))</f>
        <v>محمود خطاب</v>
      </c>
      <c r="I111" s="17">
        <f>IF($B111="","",IFERROR(INDEX('الإدخال اليومي'!K85:AA85,MATCH(الإعدادات!$B$2,'الإدخال اليومي'!$K$3:$AA$3,0)),0))</f>
        <v>17</v>
      </c>
      <c r="J111" s="20">
        <f>IF('الإدخال اليومي'!$B85="","",IF('الإدخال اليومي'!F85="","",'الإدخال اليومي'!F85))</f>
        <v>45351</v>
      </c>
      <c r="K111" s="17">
        <f>IF($B111="","",N('الإدخال اليومي'!G85)+MAX(0,الإعدادات!$B$2-MAX(الإعدادات!$B$10+1,N(J111))+1)-SUMPRODUCT(('الإدخال اليومي'!$L85:$AA85&gt;0)*('الإدخال اليومي'!$L$3:$AA$3&gt;=MAX(الإعدادات!$B$10+1,N(J111)))*('الإدخال اليومي'!$L$3:$AA$3&lt;=الإعدادات!$B$2)))</f>
        <v>0</v>
      </c>
      <c r="L111" s="17">
        <f>IF($B111="","",MAX(0,الإعدادات!$B$10-IF(J111="",الإعدادات!$B$9,MAX(J111,الإعدادات!$B$9))+1-N('الإدخال اليومي'!G85))+SUMPRODUCT(('الإدخال اليومي'!$L85:$AA85&gt;0)*('الإدخال اليومي'!$L$3:$AA$3&gt;=MAX(الإعدادات!$B$10+1,N(J111)))*('الإدخال اليومي'!$L$3:$AA$3&lt;=الإعدادات!$B$2)))</f>
        <v>17</v>
      </c>
      <c r="M111" s="19">
        <f>IF($B111="","",IF(C111="امازون","",(IFERROR(INDEX(الإعدادات!$B$19:$B$22,MATCH(C111,الإعدادات!$A$19:$A$22,0)),الإعدادات!$B$3)/الإعدادات!$B$4)*L111))</f>
        <v>255</v>
      </c>
      <c r="N111" s="21">
        <f t="shared" si="3"/>
        <v>1.2078431372549019</v>
      </c>
      <c r="O111" s="19">
        <f>IF($B111="","",IF(OR(C111="امازون",L111=0),"",ROUND(F111/L111*الإعدادات!$B$4,0)))</f>
        <v>544</v>
      </c>
      <c r="P111" s="22" t="str">
        <f>IF($B111="","",IF('الإدخال اليومي'!AF85="لا يعمل","مستبعد (ترك العمل)",IF('الإدخال اليومي'!AF85="اجازه","مستبعد (اجازة)",IF(C111="امازون","امازون (شحنات)",IF(L111=0,"مستبعد (لم يعمل)",IF(F111&gt;=M111,"حقق",IF(F111&gt;=M111*الإعدادات!$B$8,"قريب","بعيد")))))))</f>
        <v>حقق</v>
      </c>
      <c r="Q111" s="16" t="str">
        <f>IF($B111="","",TRIM('الإدخال اليومي'!H85&amp;IF(N('الإدخال اليومي'!AC85)&gt;0," | + "&amp;'الإدخال اليومي'!AC85&amp;" طلب من "&amp;'الإدخال اليومي'!AB85&amp;" (محسوبة في الإجمالي)","")))</f>
        <v/>
      </c>
      <c r="R111" s="17">
        <f t="shared" si="4"/>
        <v>1</v>
      </c>
      <c r="S111" s="17" t="str">
        <f>IF($B111="","",IF('الإدخال اليومي'!AF85="","يعمل",'الإدخال اليومي'!AF85))</f>
        <v>يعمل</v>
      </c>
    </row>
    <row r="112" spans="1:19" x14ac:dyDescent="0.3">
      <c r="A112" s="15">
        <f>IF('الإدخال اليومي'!$B86="","",IF('الإدخال اليومي'!A86="","",'الإدخال اليومي'!A86))</f>
        <v>2559188822</v>
      </c>
      <c r="B112" s="16" t="str">
        <f>IF('الإدخال اليومي'!$B86="","",IF('الإدخال اليومي'!B86="","",'الإدخال اليومي'!B86))</f>
        <v>محمد حمدى محمد عبد الرحمن</v>
      </c>
      <c r="C112" s="17" t="str">
        <f>IF('الإدخال اليومي'!$B86="","",IF('الإدخال اليومي'!C86="","",'الإدخال اليومي'!C86))</f>
        <v>هنجرستيشن</v>
      </c>
      <c r="D112" s="17">
        <f>IF($B112="","",82)</f>
        <v>82</v>
      </c>
      <c r="E112" s="17" t="str">
        <f>IF('الإدخال اليومي'!$B86="","",IF('الإدخال اليومي'!AD86="","",'الإدخال اليومي'!AD86))</f>
        <v>كفالة</v>
      </c>
      <c r="F112" s="18">
        <f>IF($B112="","",'الإدخال اليومي'!I86)</f>
        <v>270</v>
      </c>
      <c r="G112" s="19" t="str">
        <f>IF($B112="","",IF(N('الإدخال اليومي'!AG86)=0,"",'الإدخال اليومي'!AG86))</f>
        <v/>
      </c>
      <c r="H112" s="17" t="str">
        <f>IF('الإدخال اليومي'!$B86="","",IF('الإدخال اليومي'!AE86="","",'الإدخال اليومي'!AE86))</f>
        <v>محمود خطاب</v>
      </c>
      <c r="I112" s="17">
        <f>IF($B112="","",IFERROR(INDEX('الإدخال اليومي'!K86:AA86,MATCH(الإعدادات!$B$2,'الإدخال اليومي'!$K$3:$AA$3,0)),0))</f>
        <v>0</v>
      </c>
      <c r="J112" s="20">
        <f>IF('الإدخال اليومي'!$B86="","",IF('الإدخال اليومي'!F86="","",'الإدخال اليومي'!F86))</f>
        <v>45315</v>
      </c>
      <c r="K112" s="17">
        <f>IF($B112="","",N('الإدخال اليومي'!G86)+MAX(0,الإعدادات!$B$2-MAX(الإعدادات!$B$10+1,N(J112))+1)-SUMPRODUCT(('الإدخال اليومي'!$L86:$AA86&gt;0)*('الإدخال اليومي'!$L$3:$AA$3&gt;=MAX(الإعدادات!$B$10+1,N(J112)))*('الإدخال اليومي'!$L$3:$AA$3&lt;=الإعدادات!$B$2)))</f>
        <v>2</v>
      </c>
      <c r="L112" s="17">
        <f>IF($B112="","",MAX(0,الإعدادات!$B$10-IF(J112="",الإعدادات!$B$9,MAX(J112,الإعدادات!$B$9))+1-N('الإدخال اليومي'!G86))+SUMPRODUCT(('الإدخال اليومي'!$L86:$AA86&gt;0)*('الإدخال اليومي'!$L$3:$AA$3&gt;=MAX(الإعدادات!$B$10+1,N(J112)))*('الإدخال اليومي'!$L$3:$AA$3&lt;=الإعدادات!$B$2)))</f>
        <v>15</v>
      </c>
      <c r="M112" s="19">
        <f>IF($B112="","",IF(C112="امازون","",(IFERROR(INDEX(الإعدادات!$B$19:$B$22,MATCH(C112,الإعدادات!$A$19:$A$22,0)),الإعدادات!$B$3)/الإعدادات!$B$4)*L112))</f>
        <v>225</v>
      </c>
      <c r="N112" s="21">
        <f t="shared" si="3"/>
        <v>1.2</v>
      </c>
      <c r="O112" s="19">
        <f>IF($B112="","",IF(OR(C112="امازون",L112=0),"",ROUND(F112/L112*الإعدادات!$B$4,0)))</f>
        <v>540</v>
      </c>
      <c r="P112" s="22" t="str">
        <f>IF($B112="","",IF('الإدخال اليومي'!AF86="لا يعمل","مستبعد (ترك العمل)",IF('الإدخال اليومي'!AF86="اجازه","مستبعد (اجازة)",IF(C112="امازون","امازون (شحنات)",IF(L112=0,"مستبعد (لم يعمل)",IF(F112&gt;=M112,"حقق",IF(F112&gt;=M112*الإعدادات!$B$8,"قريب","بعيد")))))))</f>
        <v>حقق</v>
      </c>
      <c r="Q112" s="16" t="str">
        <f>IF($B112="","",TRIM('الإدخال اليومي'!H86&amp;IF(N('الإدخال اليومي'!AC86)&gt;0," | + "&amp;'الإدخال اليومي'!AC86&amp;" طلب من "&amp;'الإدخال اليومي'!AB86&amp;" (محسوبة في الإجمالي)","")))</f>
        <v>حادث ولم يستطع العمل</v>
      </c>
      <c r="R112" s="17">
        <f t="shared" si="4"/>
        <v>1</v>
      </c>
      <c r="S112" s="17" t="str">
        <f>IF($B112="","",IF('الإدخال اليومي'!AF86="","يعمل",'الإدخال اليومي'!AF86))</f>
        <v>يعمل</v>
      </c>
    </row>
    <row r="113" spans="1:19" x14ac:dyDescent="0.3">
      <c r="A113" s="15">
        <f>IF('الإدخال اليومي'!$B87="","",IF('الإدخال اليومي'!A87="","",'الإدخال اليومي'!A87))</f>
        <v>2548466255</v>
      </c>
      <c r="B113" s="16" t="str">
        <f>IF('الإدخال اليومي'!$B87="","",IF('الإدخال اليومي'!B87="","",'الإدخال اليومي'!B87))</f>
        <v>MD ALAMGIR</v>
      </c>
      <c r="C113" s="17" t="str">
        <f>IF('الإدخال اليومي'!$B87="","",IF('الإدخال اليومي'!C87="","",'الإدخال اليومي'!C87))</f>
        <v>هنجرستيشن</v>
      </c>
      <c r="D113" s="17">
        <f>IF($B113="","",83)</f>
        <v>83</v>
      </c>
      <c r="E113" s="17" t="str">
        <f>IF('الإدخال اليومي'!$B87="","",IF('الإدخال اليومي'!AD87="","",'الإدخال اليومي'!AD87))</f>
        <v>كفالة</v>
      </c>
      <c r="F113" s="18">
        <f>IF($B113="","",'الإدخال اليومي'!I87)</f>
        <v>298</v>
      </c>
      <c r="G113" s="19" t="str">
        <f>IF($B113="","",IF(N('الإدخال اليومي'!AG87)=0,"",'الإدخال اليومي'!AG87))</f>
        <v/>
      </c>
      <c r="H113" s="17" t="str">
        <f>IF('الإدخال اليومي'!$B87="","",IF('الإدخال اليومي'!AE87="","",'الإدخال اليومي'!AE87))</f>
        <v>محمود خطاب</v>
      </c>
      <c r="I113" s="17">
        <f>IF($B113="","",IFERROR(INDEX('الإدخال اليومي'!K87:AA87,MATCH(الإعدادات!$B$2,'الإدخال اليومي'!$K$3:$AA$3,0)),0))</f>
        <v>20</v>
      </c>
      <c r="J113" s="20">
        <f>IF('الإدخال اليومي'!$B87="","",IF('الإدخال اليومي'!F87="","",'الإدخال اليومي'!F87))</f>
        <v>45351</v>
      </c>
      <c r="K113" s="17">
        <f>IF($B113="","",N('الإدخال اليومي'!G87)+MAX(0,الإعدادات!$B$2-MAX(الإعدادات!$B$10+1,N(J113))+1)-SUMPRODUCT(('الإدخال اليومي'!$L87:$AA87&gt;0)*('الإدخال اليومي'!$L$3:$AA$3&gt;=MAX(الإعدادات!$B$10+1,N(J113)))*('الإدخال اليومي'!$L$3:$AA$3&lt;=الإعدادات!$B$2)))</f>
        <v>0</v>
      </c>
      <c r="L113" s="17">
        <f>IF($B113="","",MAX(0,الإعدادات!$B$10-IF(J113="",الإعدادات!$B$9,MAX(J113,الإعدادات!$B$9))+1-N('الإدخال اليومي'!G87))+SUMPRODUCT(('الإدخال اليومي'!$L87:$AA87&gt;0)*('الإدخال اليومي'!$L$3:$AA$3&gt;=MAX(الإعدادات!$B$10+1,N(J113)))*('الإدخال اليومي'!$L$3:$AA$3&lt;=الإعدادات!$B$2)))</f>
        <v>17</v>
      </c>
      <c r="M113" s="19">
        <f>IF($B113="","",IF(C113="امازون","",(IFERROR(INDEX(الإعدادات!$B$19:$B$22,MATCH(C113,الإعدادات!$A$19:$A$22,0)),الإعدادات!$B$3)/الإعدادات!$B$4)*L113))</f>
        <v>255</v>
      </c>
      <c r="N113" s="21">
        <f t="shared" si="3"/>
        <v>1.1686274509803922</v>
      </c>
      <c r="O113" s="19">
        <f>IF($B113="","",IF(OR(C113="امازون",L113=0),"",ROUND(F113/L113*الإعدادات!$B$4,0)))</f>
        <v>526</v>
      </c>
      <c r="P113" s="22" t="str">
        <f>IF($B113="","",IF('الإدخال اليومي'!AF87="لا يعمل","مستبعد (ترك العمل)",IF('الإدخال اليومي'!AF87="اجازه","مستبعد (اجازة)",IF(C113="امازون","امازون (شحنات)",IF(L113=0,"مستبعد (لم يعمل)",IF(F113&gt;=M113,"حقق",IF(F113&gt;=M113*الإعدادات!$B$8,"قريب","بعيد")))))))</f>
        <v>حقق</v>
      </c>
      <c r="Q113" s="16" t="str">
        <f>IF($B113="","",TRIM('الإدخال اليومي'!H87&amp;IF(N('الإدخال اليومي'!AC87)&gt;0," | + "&amp;'الإدخال اليومي'!AC87&amp;" طلب من "&amp;'الإدخال اليومي'!AB87&amp;" (محسوبة في الإجمالي)","")))</f>
        <v/>
      </c>
      <c r="R113" s="17">
        <f t="shared" si="4"/>
        <v>1</v>
      </c>
      <c r="S113" s="17" t="str">
        <f>IF($B113="","",IF('الإدخال اليومي'!AF87="","يعمل",'الإدخال اليومي'!AF87))</f>
        <v>يعمل</v>
      </c>
    </row>
    <row r="114" spans="1:19" x14ac:dyDescent="0.3">
      <c r="A114" s="15">
        <f>IF('الإدخال اليومي'!$B88="","",IF('الإدخال اليومي'!A88="","",'الإدخال اليومي'!A88))</f>
        <v>2562666103</v>
      </c>
      <c r="B114" s="16" t="str">
        <f>IF('الإدخال اليومي'!$B88="","",IF('الإدخال اليومي'!B88="","",'الإدخال اليومي'!B88))</f>
        <v>SHAKLEN MOHAMMAD HANIF</v>
      </c>
      <c r="C114" s="17" t="str">
        <f>IF('الإدخال اليومي'!$B88="","",IF('الإدخال اليومي'!C88="","",'الإدخال اليومي'!C88))</f>
        <v>هنجرستيشن</v>
      </c>
      <c r="D114" s="17">
        <f>IF($B114="","",84)</f>
        <v>84</v>
      </c>
      <c r="E114" s="17" t="str">
        <f>IF('الإدخال اليومي'!$B88="","",IF('الإدخال اليومي'!AD88="","",'الإدخال اليومي'!AD88))</f>
        <v>كفالة</v>
      </c>
      <c r="F114" s="18">
        <f>IF($B114="","",'الإدخال اليومي'!I88)</f>
        <v>288</v>
      </c>
      <c r="G114" s="19" t="str">
        <f>IF($B114="","",IF(N('الإدخال اليومي'!AG88)=0,"",'الإدخال اليومي'!AG88))</f>
        <v/>
      </c>
      <c r="H114" s="17" t="str">
        <f>IF('الإدخال اليومي'!$B88="","",IF('الإدخال اليومي'!AE88="","",'الإدخال اليومي'!AE88))</f>
        <v>محمود خطاب</v>
      </c>
      <c r="I114" s="17">
        <f>IF($B114="","",IFERROR(INDEX('الإدخال اليومي'!K88:AA88,MATCH(الإعدادات!$B$2,'الإدخال اليومي'!$K$3:$AA$3,0)),0))</f>
        <v>17</v>
      </c>
      <c r="J114" s="20">
        <f>IF('الإدخال اليومي'!$B88="","",IF('الإدخال اليومي'!F88="","",'الإدخال اليومي'!F88))</f>
        <v>45382</v>
      </c>
      <c r="K114" s="17">
        <f>IF($B114="","",N('الإدخال اليومي'!G88)+MAX(0,الإعدادات!$B$2-MAX(الإعدادات!$B$10+1,N(J114))+1)-SUMPRODUCT(('الإدخال اليومي'!$L88:$AA88&gt;0)*('الإدخال اليومي'!$L$3:$AA$3&gt;=MAX(الإعدادات!$B$10+1,N(J114)))*('الإدخال اليومي'!$L$3:$AA$3&lt;=الإعدادات!$B$2)))</f>
        <v>0</v>
      </c>
      <c r="L114" s="17">
        <f>IF($B114="","",MAX(0,الإعدادات!$B$10-IF(J114="",الإعدادات!$B$9,MAX(J114,الإعدادات!$B$9))+1-N('الإدخال اليومي'!G88))+SUMPRODUCT(('الإدخال اليومي'!$L88:$AA88&gt;0)*('الإدخال اليومي'!$L$3:$AA$3&gt;=MAX(الإعدادات!$B$10+1,N(J114)))*('الإدخال اليومي'!$L$3:$AA$3&lt;=الإعدادات!$B$2)))</f>
        <v>17</v>
      </c>
      <c r="M114" s="19">
        <f>IF($B114="","",IF(C114="امازون","",(IFERROR(INDEX(الإعدادات!$B$19:$B$22,MATCH(C114,الإعدادات!$A$19:$A$22,0)),الإعدادات!$B$3)/الإعدادات!$B$4)*L114))</f>
        <v>255</v>
      </c>
      <c r="N114" s="21">
        <f t="shared" si="3"/>
        <v>1.1294117647058823</v>
      </c>
      <c r="O114" s="19">
        <f>IF($B114="","",IF(OR(C114="امازون",L114=0),"",ROUND(F114/L114*الإعدادات!$B$4,0)))</f>
        <v>508</v>
      </c>
      <c r="P114" s="22" t="str">
        <f>IF($B114="","",IF('الإدخال اليومي'!AF88="لا يعمل","مستبعد (ترك العمل)",IF('الإدخال اليومي'!AF88="اجازه","مستبعد (اجازة)",IF(C114="امازون","امازون (شحنات)",IF(L114=0,"مستبعد (لم يعمل)",IF(F114&gt;=M114,"حقق",IF(F114&gt;=M114*الإعدادات!$B$8,"قريب","بعيد")))))))</f>
        <v>حقق</v>
      </c>
      <c r="Q114" s="16" t="str">
        <f>IF($B114="","",TRIM('الإدخال اليومي'!H88&amp;IF(N('الإدخال اليومي'!AC88)&gt;0," | + "&amp;'الإدخال اليومي'!AC88&amp;" طلب من "&amp;'الإدخال اليومي'!AB88&amp;" (محسوبة في الإجمالي)","")))</f>
        <v/>
      </c>
      <c r="R114" s="17">
        <f t="shared" si="4"/>
        <v>1</v>
      </c>
      <c r="S114" s="17" t="str">
        <f>IF($B114="","",IF('الإدخال اليومي'!AF88="","يعمل",'الإدخال اليومي'!AF88))</f>
        <v>يعمل</v>
      </c>
    </row>
    <row r="115" spans="1:19" x14ac:dyDescent="0.3">
      <c r="A115" s="15">
        <f>IF('الإدخال اليومي'!$B89="","",IF('الإدخال اليومي'!A89="","",'الإدخال اليومي'!A89))</f>
        <v>2562667341</v>
      </c>
      <c r="B115" s="16" t="str">
        <f>IF('الإدخال اليومي'!$B89="","",IF('الإدخال اليومي'!B89="","",'الإدخال اليومي'!B89))</f>
        <v>NURUL ISLAM</v>
      </c>
      <c r="C115" s="17" t="str">
        <f>IF('الإدخال اليومي'!$B89="","",IF('الإدخال اليومي'!C89="","",'الإدخال اليومي'!C89))</f>
        <v>هنجرستيشن</v>
      </c>
      <c r="D115" s="17">
        <f>IF($B115="","",85)</f>
        <v>85</v>
      </c>
      <c r="E115" s="17" t="str">
        <f>IF('الإدخال اليومي'!$B89="","",IF('الإدخال اليومي'!AD89="","",'الإدخال اليومي'!AD89))</f>
        <v>كفالة</v>
      </c>
      <c r="F115" s="18">
        <f>IF($B115="","",'الإدخال اليومي'!I89)</f>
        <v>278</v>
      </c>
      <c r="G115" s="19" t="str">
        <f>IF($B115="","",IF(N('الإدخال اليومي'!AG89)=0,"",'الإدخال اليومي'!AG89))</f>
        <v/>
      </c>
      <c r="H115" s="17" t="str">
        <f>IF('الإدخال اليومي'!$B89="","",IF('الإدخال اليومي'!AE89="","",'الإدخال اليومي'!AE89))</f>
        <v>محمود خطاب</v>
      </c>
      <c r="I115" s="17">
        <f>IF($B115="","",IFERROR(INDEX('الإدخال اليومي'!K89:AA89,MATCH(الإعدادات!$B$2,'الإدخال اليومي'!$K$3:$AA$3,0)),0))</f>
        <v>16</v>
      </c>
      <c r="J115" s="20">
        <f>IF('الإدخال اليومي'!$B89="","",IF('الإدخال اليومي'!F89="","",'الإدخال اليومي'!F89))</f>
        <v>45382</v>
      </c>
      <c r="K115" s="17">
        <f>IF($B115="","",N('الإدخال اليومي'!G89)+MAX(0,الإعدادات!$B$2-MAX(الإعدادات!$B$10+1,N(J115))+1)-SUMPRODUCT(('الإدخال اليومي'!$L89:$AA89&gt;0)*('الإدخال اليومي'!$L$3:$AA$3&gt;=MAX(الإعدادات!$B$10+1,N(J115)))*('الإدخال اليومي'!$L$3:$AA$3&lt;=الإعدادات!$B$2)))</f>
        <v>0</v>
      </c>
      <c r="L115" s="17">
        <f>IF($B115="","",MAX(0,الإعدادات!$B$10-IF(J115="",الإعدادات!$B$9,MAX(J115,الإعدادات!$B$9))+1-N('الإدخال اليومي'!G89))+SUMPRODUCT(('الإدخال اليومي'!$L89:$AA89&gt;0)*('الإدخال اليومي'!$L$3:$AA$3&gt;=MAX(الإعدادات!$B$10+1,N(J115)))*('الإدخال اليومي'!$L$3:$AA$3&lt;=الإعدادات!$B$2)))</f>
        <v>17</v>
      </c>
      <c r="M115" s="19">
        <f>IF($B115="","",IF(C115="امازون","",(IFERROR(INDEX(الإعدادات!$B$19:$B$22,MATCH(C115,الإعدادات!$A$19:$A$22,0)),الإعدادات!$B$3)/الإعدادات!$B$4)*L115))</f>
        <v>255</v>
      </c>
      <c r="N115" s="21">
        <f t="shared" si="3"/>
        <v>1.0901960784313725</v>
      </c>
      <c r="O115" s="19">
        <f>IF($B115="","",IF(OR(C115="امازون",L115=0),"",ROUND(F115/L115*الإعدادات!$B$4,0)))</f>
        <v>491</v>
      </c>
      <c r="P115" s="22" t="str">
        <f>IF($B115="","",IF('الإدخال اليومي'!AF89="لا يعمل","مستبعد (ترك العمل)",IF('الإدخال اليومي'!AF89="اجازه","مستبعد (اجازة)",IF(C115="امازون","امازون (شحنات)",IF(L115=0,"مستبعد (لم يعمل)",IF(F115&gt;=M115,"حقق",IF(F115&gt;=M115*الإعدادات!$B$8,"قريب","بعيد")))))))</f>
        <v>حقق</v>
      </c>
      <c r="Q115" s="16" t="str">
        <f>IF($B115="","",TRIM('الإدخال اليومي'!H89&amp;IF(N('الإدخال اليومي'!AC89)&gt;0," | + "&amp;'الإدخال اليومي'!AC89&amp;" طلب من "&amp;'الإدخال اليومي'!AB89&amp;" (محسوبة في الإجمالي)","")))</f>
        <v/>
      </c>
      <c r="R115" s="17">
        <f t="shared" si="4"/>
        <v>1</v>
      </c>
      <c r="S115" s="17" t="str">
        <f>IF($B115="","",IF('الإدخال اليومي'!AF89="","يعمل",'الإدخال اليومي'!AF89))</f>
        <v>يعمل</v>
      </c>
    </row>
    <row r="116" spans="1:19" x14ac:dyDescent="0.3">
      <c r="A116" s="15">
        <f>IF('الإدخال اليومي'!$B90="","",IF('الإدخال اليومي'!A90="","",'الإدخال اليومي'!A90))</f>
        <v>2570718912</v>
      </c>
      <c r="B116" s="16" t="str">
        <f>IF('الإدخال اليومي'!$B90="","",IF('الإدخال اليومي'!B90="","",'الإدخال اليومي'!B90))</f>
        <v>ZIYARUL RAHAMAN</v>
      </c>
      <c r="C116" s="17" t="str">
        <f>IF('الإدخال اليومي'!$B90="","",IF('الإدخال اليومي'!C90="","",'الإدخال اليومي'!C90))</f>
        <v>هنجرستيشن</v>
      </c>
      <c r="D116" s="17">
        <f>IF($B116="","",86)</f>
        <v>86</v>
      </c>
      <c r="E116" s="17" t="str">
        <f>IF('الإدخال اليومي'!$B90="","",IF('الإدخال اليومي'!AD90="","",'الإدخال اليومي'!AD90))</f>
        <v>كفالة</v>
      </c>
      <c r="F116" s="18">
        <f>IF($B116="","",'الإدخال اليومي'!I90)</f>
        <v>283</v>
      </c>
      <c r="G116" s="19" t="str">
        <f>IF($B116="","",IF(N('الإدخال اليومي'!AG90)=0,"",'الإدخال اليومي'!AG90))</f>
        <v/>
      </c>
      <c r="H116" s="17" t="str">
        <f>IF('الإدخال اليومي'!$B90="","",IF('الإدخال اليومي'!AE90="","",'الإدخال اليومي'!AE90))</f>
        <v>محمود خطاب</v>
      </c>
      <c r="I116" s="17">
        <f>IF($B116="","",IFERROR(INDEX('الإدخال اليومي'!K90:AA90,MATCH(الإعدادات!$B$2,'الإدخال اليومي'!$K$3:$AA$3,0)),0))</f>
        <v>17</v>
      </c>
      <c r="J116" s="20">
        <f>IF('الإدخال اليومي'!$B90="","",IF('الإدخال اليومي'!F90="","",'الإدخال اليومي'!F90))</f>
        <v>45443</v>
      </c>
      <c r="K116" s="17">
        <f>IF($B116="","",N('الإدخال اليومي'!G90)+MAX(0,الإعدادات!$B$2-MAX(الإعدادات!$B$10+1,N(J116))+1)-SUMPRODUCT(('الإدخال اليومي'!$L90:$AA90&gt;0)*('الإدخال اليومي'!$L$3:$AA$3&gt;=MAX(الإعدادات!$B$10+1,N(J116)))*('الإدخال اليومي'!$L$3:$AA$3&lt;=الإعدادات!$B$2)))</f>
        <v>0</v>
      </c>
      <c r="L116" s="17">
        <f>IF($B116="","",MAX(0,الإعدادات!$B$10-IF(J116="",الإعدادات!$B$9,MAX(J116,الإعدادات!$B$9))+1-N('الإدخال اليومي'!G90))+SUMPRODUCT(('الإدخال اليومي'!$L90:$AA90&gt;0)*('الإدخال اليومي'!$L$3:$AA$3&gt;=MAX(الإعدادات!$B$10+1,N(J116)))*('الإدخال اليومي'!$L$3:$AA$3&lt;=الإعدادات!$B$2)))</f>
        <v>17</v>
      </c>
      <c r="M116" s="19">
        <f>IF($B116="","",IF(C116="امازون","",(IFERROR(INDEX(الإعدادات!$B$19:$B$22,MATCH(C116,الإعدادات!$A$19:$A$22,0)),الإعدادات!$B$3)/الإعدادات!$B$4)*L116))</f>
        <v>255</v>
      </c>
      <c r="N116" s="21">
        <f t="shared" si="3"/>
        <v>1.1098039215686275</v>
      </c>
      <c r="O116" s="19">
        <f>IF($B116="","",IF(OR(C116="امازون",L116=0),"",ROUND(F116/L116*الإعدادات!$B$4,0)))</f>
        <v>499</v>
      </c>
      <c r="P116" s="22" t="str">
        <f>IF($B116="","",IF('الإدخال اليومي'!AF90="لا يعمل","مستبعد (ترك العمل)",IF('الإدخال اليومي'!AF90="اجازه","مستبعد (اجازة)",IF(C116="امازون","امازون (شحنات)",IF(L116=0,"مستبعد (لم يعمل)",IF(F116&gt;=M116,"حقق",IF(F116&gt;=M116*الإعدادات!$B$8,"قريب","بعيد")))))))</f>
        <v>حقق</v>
      </c>
      <c r="Q116" s="16" t="str">
        <f>IF($B116="","",TRIM('الإدخال اليومي'!H90&amp;IF(N('الإدخال اليومي'!AC90)&gt;0," | + "&amp;'الإدخال اليومي'!AC90&amp;" طلب من "&amp;'الإدخال اليومي'!AB90&amp;" (محسوبة في الإجمالي)","")))</f>
        <v/>
      </c>
      <c r="R116" s="17">
        <f t="shared" si="4"/>
        <v>1</v>
      </c>
      <c r="S116" s="17" t="str">
        <f>IF($B116="","",IF('الإدخال اليومي'!AF90="","يعمل",'الإدخال اليومي'!AF90))</f>
        <v>يعمل</v>
      </c>
    </row>
    <row r="117" spans="1:19" x14ac:dyDescent="0.3">
      <c r="A117" s="15">
        <f>IF('الإدخال اليومي'!$B91="","",IF('الإدخال اليومي'!A91="","",'الإدخال اليومي'!A91))</f>
        <v>2567988858</v>
      </c>
      <c r="B117" s="16" t="str">
        <f>IF('الإدخال اليومي'!$B91="","",IF('الإدخال اليومي'!B91="","",'الإدخال اليومي'!B91))</f>
        <v>MD ASLAM - - SEIKH</v>
      </c>
      <c r="C117" s="17" t="str">
        <f>IF('الإدخال اليومي'!$B91="","",IF('الإدخال اليومي'!C91="","",'الإدخال اليومي'!C91))</f>
        <v>هنجرستيشن</v>
      </c>
      <c r="D117" s="17">
        <f>IF($B117="","",87)</f>
        <v>87</v>
      </c>
      <c r="E117" s="17" t="str">
        <f>IF('الإدخال اليومي'!$B91="","",IF('الإدخال اليومي'!AD91="","",'الإدخال اليومي'!AD91))</f>
        <v>كفالة</v>
      </c>
      <c r="F117" s="18">
        <f>IF($B117="","",'الإدخال اليومي'!I91)</f>
        <v>272</v>
      </c>
      <c r="G117" s="19" t="str">
        <f>IF($B117="","",IF(N('الإدخال اليومي'!AG91)=0,"",'الإدخال اليومي'!AG91))</f>
        <v/>
      </c>
      <c r="H117" s="17" t="str">
        <f>IF('الإدخال اليومي'!$B91="","",IF('الإدخال اليومي'!AE91="","",'الإدخال اليومي'!AE91))</f>
        <v>محمود خطاب</v>
      </c>
      <c r="I117" s="17">
        <f>IF($B117="","",IFERROR(INDEX('الإدخال اليومي'!K91:AA91,MATCH(الإعدادات!$B$2,'الإدخال اليومي'!$K$3:$AA$3,0)),0))</f>
        <v>10</v>
      </c>
      <c r="J117" s="20">
        <f>IF('الإدخال اليومي'!$B91="","",IF('الإدخال اليومي'!F91="","",'الإدخال اليومي'!F91))</f>
        <v>45412</v>
      </c>
      <c r="K117" s="17">
        <f>IF($B117="","",N('الإدخال اليومي'!G91)+MAX(0,الإعدادات!$B$2-MAX(الإعدادات!$B$10+1,N(J117))+1)-SUMPRODUCT(('الإدخال اليومي'!$L91:$AA91&gt;0)*('الإدخال اليومي'!$L$3:$AA$3&gt;=MAX(الإعدادات!$B$10+1,N(J117)))*('الإدخال اليومي'!$L$3:$AA$3&lt;=الإعدادات!$B$2)))</f>
        <v>0</v>
      </c>
      <c r="L117" s="17">
        <f>IF($B117="","",MAX(0,الإعدادات!$B$10-IF(J117="",الإعدادات!$B$9,MAX(J117,الإعدادات!$B$9))+1-N('الإدخال اليومي'!G91))+SUMPRODUCT(('الإدخال اليومي'!$L91:$AA91&gt;0)*('الإدخال اليومي'!$L$3:$AA$3&gt;=MAX(الإعدادات!$B$10+1,N(J117)))*('الإدخال اليومي'!$L$3:$AA$3&lt;=الإعدادات!$B$2)))</f>
        <v>17</v>
      </c>
      <c r="M117" s="19">
        <f>IF($B117="","",IF(C117="امازون","",(IFERROR(INDEX(الإعدادات!$B$19:$B$22,MATCH(C117,الإعدادات!$A$19:$A$22,0)),الإعدادات!$B$3)/الإعدادات!$B$4)*L117))</f>
        <v>255</v>
      </c>
      <c r="N117" s="21">
        <f t="shared" si="3"/>
        <v>1.0666666666666667</v>
      </c>
      <c r="O117" s="19">
        <f>IF($B117="","",IF(OR(C117="امازون",L117=0),"",ROUND(F117/L117*الإعدادات!$B$4,0)))</f>
        <v>480</v>
      </c>
      <c r="P117" s="22" t="str">
        <f>IF($B117="","",IF('الإدخال اليومي'!AF91="لا يعمل","مستبعد (ترك العمل)",IF('الإدخال اليومي'!AF91="اجازه","مستبعد (اجازة)",IF(C117="امازون","امازون (شحنات)",IF(L117=0,"مستبعد (لم يعمل)",IF(F117&gt;=M117,"حقق",IF(F117&gt;=M117*الإعدادات!$B$8,"قريب","بعيد")))))))</f>
        <v>حقق</v>
      </c>
      <c r="Q117" s="16" t="str">
        <f>IF($B117="","",TRIM('الإدخال اليومي'!H91&amp;IF(N('الإدخال اليومي'!AC91)&gt;0," | + "&amp;'الإدخال اليومي'!AC91&amp;" طلب من "&amp;'الإدخال اليومي'!AB91&amp;" (محسوبة في الإجمالي)","")))</f>
        <v>تم التحدث مع المندوب وتم انذارو وجاري توجيه</v>
      </c>
      <c r="R117" s="17">
        <f t="shared" si="4"/>
        <v>1</v>
      </c>
      <c r="S117" s="17" t="str">
        <f>IF($B117="","",IF('الإدخال اليومي'!AF91="","يعمل",'الإدخال اليومي'!AF91))</f>
        <v>يعمل</v>
      </c>
    </row>
    <row r="118" spans="1:19" x14ac:dyDescent="0.3">
      <c r="A118" s="15">
        <f>IF('الإدخال اليومي'!$B92="","",IF('الإدخال اليومي'!A92="","",'الإدخال اليومي'!A92))</f>
        <v>2591942483</v>
      </c>
      <c r="B118" s="16" t="str">
        <f>IF('الإدخال اليومي'!$B92="","",IF('الإدخال اليومي'!B92="","",'الإدخال اليومي'!B92))</f>
        <v>zeeshn akram muhammad</v>
      </c>
      <c r="C118" s="17" t="str">
        <f>IF('الإدخال اليومي'!$B92="","",IF('الإدخال اليومي'!C92="","",'الإدخال اليومي'!C92))</f>
        <v>هنجرستيشن</v>
      </c>
      <c r="D118" s="17">
        <f>IF($B118="","",88)</f>
        <v>88</v>
      </c>
      <c r="E118" s="17" t="str">
        <f>IF('الإدخال اليومي'!$B92="","",IF('الإدخال اليومي'!AD92="","",'الإدخال اليومي'!AD92))</f>
        <v>كفالة</v>
      </c>
      <c r="F118" s="18">
        <f>IF($B118="","",'الإدخال اليومي'!I92)</f>
        <v>271</v>
      </c>
      <c r="G118" s="19" t="str">
        <f>IF($B118="","",IF(N('الإدخال اليومي'!AG92)=0,"",'الإدخال اليومي'!AG92))</f>
        <v/>
      </c>
      <c r="H118" s="17" t="str">
        <f>IF('الإدخال اليومي'!$B92="","",IF('الإدخال اليومي'!AE92="","",'الإدخال اليومي'!AE92))</f>
        <v>محمود خطاب</v>
      </c>
      <c r="I118" s="17">
        <f>IF($B118="","",IFERROR(INDEX('الإدخال اليومي'!K92:AA92,MATCH(الإعدادات!$B$2,'الإدخال اليومي'!$K$3:$AA$3,0)),0))</f>
        <v>16</v>
      </c>
      <c r="J118" s="20">
        <f>IF('الإدخال اليومي'!$B92="","",IF('الإدخال اليومي'!F92="","",'الإدخال اليومي'!F92))</f>
        <v>46159</v>
      </c>
      <c r="K118" s="17">
        <f>IF($B118="","",N('الإدخال اليومي'!G92)+MAX(0,الإعدادات!$B$2-MAX(الإعدادات!$B$10+1,N(J118))+1)-SUMPRODUCT(('الإدخال اليومي'!$L92:$AA92&gt;0)*('الإدخال اليومي'!$L$3:$AA$3&gt;=MAX(الإعدادات!$B$10+1,N(J118)))*('الإدخال اليومي'!$L$3:$AA$3&lt;=الإعدادات!$B$2)))</f>
        <v>0</v>
      </c>
      <c r="L118" s="17">
        <f>IF($B118="","",MAX(0,الإعدادات!$B$10-IF(J118="",الإعدادات!$B$9,MAX(J118,الإعدادات!$B$9))+1-N('الإدخال اليومي'!G92))+SUMPRODUCT(('الإدخال اليومي'!$L92:$AA92&gt;0)*('الإدخال اليومي'!$L$3:$AA$3&gt;=MAX(الإعدادات!$B$10+1,N(J118)))*('الإدخال اليومي'!$L$3:$AA$3&lt;=الإعدادات!$B$2)))</f>
        <v>17</v>
      </c>
      <c r="M118" s="19">
        <f>IF($B118="","",IF(C118="امازون","",(IFERROR(INDEX(الإعدادات!$B$19:$B$22,MATCH(C118,الإعدادات!$A$19:$A$22,0)),الإعدادات!$B$3)/الإعدادات!$B$4)*L118))</f>
        <v>255</v>
      </c>
      <c r="N118" s="21">
        <f t="shared" si="3"/>
        <v>1.0627450980392157</v>
      </c>
      <c r="O118" s="19">
        <f>IF($B118="","",IF(OR(C118="امازون",L118=0),"",ROUND(F118/L118*الإعدادات!$B$4,0)))</f>
        <v>478</v>
      </c>
      <c r="P118" s="22" t="str">
        <f>IF($B118="","",IF('الإدخال اليومي'!AF92="لا يعمل","مستبعد (ترك العمل)",IF('الإدخال اليومي'!AF92="اجازه","مستبعد (اجازة)",IF(C118="امازون","امازون (شحنات)",IF(L118=0,"مستبعد (لم يعمل)",IF(F118&gt;=M118,"حقق",IF(F118&gt;=M118*الإعدادات!$B$8,"قريب","بعيد")))))))</f>
        <v>حقق</v>
      </c>
      <c r="Q118" s="16" t="str">
        <f>IF($B118="","",TRIM('الإدخال اليومي'!H92&amp;IF(N('الإدخال اليومي'!AC92)&gt;0," | + "&amp;'الإدخال اليومي'!AC92&amp;" طلب من "&amp;'الإدخال اليومي'!AB92&amp;" (محسوبة في الإجمالي)","")))</f>
        <v/>
      </c>
      <c r="R118" s="17">
        <f t="shared" si="4"/>
        <v>1</v>
      </c>
      <c r="S118" s="17" t="str">
        <f>IF($B118="","",IF('الإدخال اليومي'!AF92="","يعمل",'الإدخال اليومي'!AF92))</f>
        <v>يعمل</v>
      </c>
    </row>
    <row r="119" spans="1:19" x14ac:dyDescent="0.3">
      <c r="A119" s="15">
        <f>IF('الإدخال اليومي'!$B93="","",IF('الإدخال اليومي'!A93="","",'الإدخال اليومي'!A93))</f>
        <v>2560883809</v>
      </c>
      <c r="B119" s="16" t="str">
        <f>IF('الإدخال اليومي'!$B93="","",IF('الإدخال اليومي'!B93="","",'الإدخال اليومي'!B93))</f>
        <v>KASHIM UDDIN</v>
      </c>
      <c r="C119" s="17" t="str">
        <f>IF('الإدخال اليومي'!$B93="","",IF('الإدخال اليومي'!C93="","",'الإدخال اليومي'!C93))</f>
        <v>هنجرستيشن</v>
      </c>
      <c r="D119" s="17">
        <f>IF($B119="","",89)</f>
        <v>89</v>
      </c>
      <c r="E119" s="17" t="str">
        <f>IF('الإدخال اليومي'!$B93="","",IF('الإدخال اليومي'!AD93="","",'الإدخال اليومي'!AD93))</f>
        <v>كفالة</v>
      </c>
      <c r="F119" s="18">
        <f>IF($B119="","",'الإدخال اليومي'!I93)</f>
        <v>273</v>
      </c>
      <c r="G119" s="19" t="str">
        <f>IF($B119="","",IF(N('الإدخال اليومي'!AG93)=0,"",'الإدخال اليومي'!AG93))</f>
        <v/>
      </c>
      <c r="H119" s="17" t="str">
        <f>IF('الإدخال اليومي'!$B93="","",IF('الإدخال اليومي'!AE93="","",'الإدخال اليومي'!AE93))</f>
        <v>محمود خطاب</v>
      </c>
      <c r="I119" s="17">
        <f>IF($B119="","",IFERROR(INDEX('الإدخال اليومي'!K93:AA93,MATCH(الإعدادات!$B$2,'الإدخال اليومي'!$K$3:$AA$3,0)),0))</f>
        <v>20</v>
      </c>
      <c r="J119" s="20">
        <f>IF('الإدخال اليومي'!$B93="","",IF('الإدخال اليومي'!F93="","",'الإدخال اليومي'!F93))</f>
        <v>45382</v>
      </c>
      <c r="K119" s="17">
        <f>IF($B119="","",N('الإدخال اليومي'!G93)+MAX(0,الإعدادات!$B$2-MAX(الإعدادات!$B$10+1,N(J119))+1)-SUMPRODUCT(('الإدخال اليومي'!$L93:$AA93&gt;0)*('الإدخال اليومي'!$L$3:$AA$3&gt;=MAX(الإعدادات!$B$10+1,N(J119)))*('الإدخال اليومي'!$L$3:$AA$3&lt;=الإعدادات!$B$2)))</f>
        <v>0</v>
      </c>
      <c r="L119" s="17">
        <f>IF($B119="","",MAX(0,الإعدادات!$B$10-IF(J119="",الإعدادات!$B$9,MAX(J119,الإعدادات!$B$9))+1-N('الإدخال اليومي'!G93))+SUMPRODUCT(('الإدخال اليومي'!$L93:$AA93&gt;0)*('الإدخال اليومي'!$L$3:$AA$3&gt;=MAX(الإعدادات!$B$10+1,N(J119)))*('الإدخال اليومي'!$L$3:$AA$3&lt;=الإعدادات!$B$2)))</f>
        <v>17</v>
      </c>
      <c r="M119" s="19">
        <f>IF($B119="","",IF(C119="امازون","",(IFERROR(INDEX(الإعدادات!$B$19:$B$22,MATCH(C119,الإعدادات!$A$19:$A$22,0)),الإعدادات!$B$3)/الإعدادات!$B$4)*L119))</f>
        <v>255</v>
      </c>
      <c r="N119" s="21">
        <f t="shared" si="3"/>
        <v>1.0705882352941176</v>
      </c>
      <c r="O119" s="19">
        <f>IF($B119="","",IF(OR(C119="امازون",L119=0),"",ROUND(F119/L119*الإعدادات!$B$4,0)))</f>
        <v>482</v>
      </c>
      <c r="P119" s="22" t="str">
        <f>IF($B119="","",IF('الإدخال اليومي'!AF93="لا يعمل","مستبعد (ترك العمل)",IF('الإدخال اليومي'!AF93="اجازه","مستبعد (اجازة)",IF(C119="امازون","امازون (شحنات)",IF(L119=0,"مستبعد (لم يعمل)",IF(F119&gt;=M119,"حقق",IF(F119&gt;=M119*الإعدادات!$B$8,"قريب","بعيد")))))))</f>
        <v>حقق</v>
      </c>
      <c r="Q119" s="16" t="str">
        <f>IF($B119="","",TRIM('الإدخال اليومي'!H93&amp;IF(N('الإدخال اليومي'!AC93)&gt;0," | + "&amp;'الإدخال اليومي'!AC93&amp;" طلب من "&amp;'الإدخال اليومي'!AB93&amp;" (محسوبة في الإجمالي)","")))</f>
        <v/>
      </c>
      <c r="R119" s="17">
        <f t="shared" si="4"/>
        <v>1</v>
      </c>
      <c r="S119" s="17" t="str">
        <f>IF($B119="","",IF('الإدخال اليومي'!AF93="","يعمل",'الإدخال اليومي'!AF93))</f>
        <v>يعمل</v>
      </c>
    </row>
    <row r="120" spans="1:19" x14ac:dyDescent="0.3">
      <c r="A120" s="15">
        <f>IF('الإدخال اليومي'!$B94="","",IF('الإدخال اليومي'!A94="","",'الإدخال اليومي'!A94))</f>
        <v>2562205357</v>
      </c>
      <c r="B120" s="16" t="str">
        <f>IF('الإدخال اليومي'!$B94="","",IF('الإدخال اليومي'!B94="","",'الإدخال اليومي'!B94))</f>
        <v>MUHAMMAD UMAR GUJJAR</v>
      </c>
      <c r="C120" s="17" t="str">
        <f>IF('الإدخال اليومي'!$B94="","",IF('الإدخال اليومي'!C94="","",'الإدخال اليومي'!C94))</f>
        <v>هنجرستيشن</v>
      </c>
      <c r="D120" s="17">
        <f>IF($B120="","",90)</f>
        <v>90</v>
      </c>
      <c r="E120" s="17" t="str">
        <f>IF('الإدخال اليومي'!$B94="","",IF('الإدخال اليومي'!AD94="","",'الإدخال اليومي'!AD94))</f>
        <v>كفالة</v>
      </c>
      <c r="F120" s="18">
        <f>IF($B120="","",'الإدخال اليومي'!I94)</f>
        <v>243</v>
      </c>
      <c r="G120" s="19" t="str">
        <f>IF($B120="","",IF(N('الإدخال اليومي'!AG94)=0,"",'الإدخال اليومي'!AG94))</f>
        <v/>
      </c>
      <c r="H120" s="17" t="str">
        <f>IF('الإدخال اليومي'!$B94="","",IF('الإدخال اليومي'!AE94="","",'الإدخال اليومي'!AE94))</f>
        <v>محمود خطاب</v>
      </c>
      <c r="I120" s="17">
        <f>IF($B120="","",IFERROR(INDEX('الإدخال اليومي'!K94:AA94,MATCH(الإعدادات!$B$2,'الإدخال اليومي'!$K$3:$AA$3,0)),0))</f>
        <v>20</v>
      </c>
      <c r="J120" s="20">
        <f>IF('الإدخال اليومي'!$B94="","",IF('الإدخال اليومي'!F94="","",'الإدخال اليومي'!F94))</f>
        <v>45351</v>
      </c>
      <c r="K120" s="17">
        <f>IF($B120="","",N('الإدخال اليومي'!G94)+MAX(0,الإعدادات!$B$2-MAX(الإعدادات!$B$10+1,N(J120))+1)-SUMPRODUCT(('الإدخال اليومي'!$L94:$AA94&gt;0)*('الإدخال اليومي'!$L$3:$AA$3&gt;=MAX(الإعدادات!$B$10+1,N(J120)))*('الإدخال اليومي'!$L$3:$AA$3&lt;=الإعدادات!$B$2)))</f>
        <v>0</v>
      </c>
      <c r="L120" s="17">
        <f>IF($B120="","",MAX(0,الإعدادات!$B$10-IF(J120="",الإعدادات!$B$9,MAX(J120,الإعدادات!$B$9))+1-N('الإدخال اليومي'!G94))+SUMPRODUCT(('الإدخال اليومي'!$L94:$AA94&gt;0)*('الإدخال اليومي'!$L$3:$AA$3&gt;=MAX(الإعدادات!$B$10+1,N(J120)))*('الإدخال اليومي'!$L$3:$AA$3&lt;=الإعدادات!$B$2)))</f>
        <v>17</v>
      </c>
      <c r="M120" s="19">
        <f>IF($B120="","",IF(C120="امازون","",(IFERROR(INDEX(الإعدادات!$B$19:$B$22,MATCH(C120,الإعدادات!$A$19:$A$22,0)),الإعدادات!$B$3)/الإعدادات!$B$4)*L120))</f>
        <v>255</v>
      </c>
      <c r="N120" s="21">
        <f t="shared" si="3"/>
        <v>0.95294117647058818</v>
      </c>
      <c r="O120" s="19">
        <f>IF($B120="","",IF(OR(C120="امازون",L120=0),"",ROUND(F120/L120*الإعدادات!$B$4,0)))</f>
        <v>429</v>
      </c>
      <c r="P120" s="22" t="str">
        <f>IF($B120="","",IF('الإدخال اليومي'!AF94="لا يعمل","مستبعد (ترك العمل)",IF('الإدخال اليومي'!AF94="اجازه","مستبعد (اجازة)",IF(C120="امازون","امازون (شحنات)",IF(L120=0,"مستبعد (لم يعمل)",IF(F120&gt;=M120,"حقق",IF(F120&gt;=M120*الإعدادات!$B$8,"قريب","بعيد")))))))</f>
        <v>قريب</v>
      </c>
      <c r="Q120" s="16" t="str">
        <f>IF($B120="","",TRIM('الإدخال اليومي'!H94&amp;IF(N('الإدخال اليومي'!AC94)&gt;0," | + "&amp;'الإدخال اليومي'!AC94&amp;" طلب من "&amp;'الإدخال اليومي'!AB94&amp;" (محسوبة في الإجمالي)","")))</f>
        <v/>
      </c>
      <c r="R120" s="17">
        <f t="shared" si="4"/>
        <v>1</v>
      </c>
      <c r="S120" s="17" t="str">
        <f>IF($B120="","",IF('الإدخال اليومي'!AF94="","يعمل",'الإدخال اليومي'!AF94))</f>
        <v>يعمل</v>
      </c>
    </row>
    <row r="121" spans="1:19" x14ac:dyDescent="0.3">
      <c r="A121" s="15">
        <f>IF('الإدخال اليومي'!$B95="","",IF('الإدخال اليومي'!A95="","",'الإدخال اليومي'!A95))</f>
        <v>2566739211</v>
      </c>
      <c r="B121" s="16" t="str">
        <f>IF('الإدخال اليومي'!$B95="","",IF('الإدخال اليومي'!B95="","",'الإدخال اليومي'!B95))</f>
        <v>MUHAMMAD AJMAL</v>
      </c>
      <c r="C121" s="17" t="str">
        <f>IF('الإدخال اليومي'!$B95="","",IF('الإدخال اليومي'!C95="","",'الإدخال اليومي'!C95))</f>
        <v>هنجرستيشن</v>
      </c>
      <c r="D121" s="17">
        <f>IF($B121="","",91)</f>
        <v>91</v>
      </c>
      <c r="E121" s="17" t="str">
        <f>IF('الإدخال اليومي'!$B95="","",IF('الإدخال اليومي'!AD95="","",'الإدخال اليومي'!AD95))</f>
        <v>كفالة</v>
      </c>
      <c r="F121" s="18">
        <f>IF($B121="","",'الإدخال اليومي'!I95)</f>
        <v>194</v>
      </c>
      <c r="G121" s="19" t="str">
        <f>IF($B121="","",IF(N('الإدخال اليومي'!AG95)=0,"",'الإدخال اليومي'!AG95))</f>
        <v/>
      </c>
      <c r="H121" s="17" t="str">
        <f>IF('الإدخال اليومي'!$B95="","",IF('الإدخال اليومي'!AE95="","",'الإدخال اليومي'!AE95))</f>
        <v>محمود خطاب</v>
      </c>
      <c r="I121" s="17">
        <f>IF($B121="","",IFERROR(INDEX('الإدخال اليومي'!K95:AA95,MATCH(الإعدادات!$B$2,'الإدخال اليومي'!$K$3:$AA$3,0)),0))</f>
        <v>20</v>
      </c>
      <c r="J121" s="20">
        <f>IF('الإدخال اليومي'!$B95="","",IF('الإدخال اليومي'!F95="","",'الإدخال اليومي'!F95))</f>
        <v>45626</v>
      </c>
      <c r="K121" s="17">
        <f>IF($B121="","",N('الإدخال اليومي'!G95)+MAX(0,الإعدادات!$B$2-MAX(الإعدادات!$B$10+1,N(J121))+1)-SUMPRODUCT(('الإدخال اليومي'!$L95:$AA95&gt;0)*('الإدخال اليومي'!$L$3:$AA$3&gt;=MAX(الإعدادات!$B$10+1,N(J121)))*('الإدخال اليومي'!$L$3:$AA$3&lt;=الإعدادات!$B$2)))</f>
        <v>0</v>
      </c>
      <c r="L121" s="17">
        <f>IF($B121="","",MAX(0,الإعدادات!$B$10-IF(J121="",الإعدادات!$B$9,MAX(J121,الإعدادات!$B$9))+1-N('الإدخال اليومي'!G95))+SUMPRODUCT(('الإدخال اليومي'!$L95:$AA95&gt;0)*('الإدخال اليومي'!$L$3:$AA$3&gt;=MAX(الإعدادات!$B$10+1,N(J121)))*('الإدخال اليومي'!$L$3:$AA$3&lt;=الإعدادات!$B$2)))</f>
        <v>17</v>
      </c>
      <c r="M121" s="19">
        <f>IF($B121="","",IF(C121="امازون","",(IFERROR(INDEX(الإعدادات!$B$19:$B$22,MATCH(C121,الإعدادات!$A$19:$A$22,0)),الإعدادات!$B$3)/الإعدادات!$B$4)*L121))</f>
        <v>255</v>
      </c>
      <c r="N121" s="21">
        <f t="shared" si="3"/>
        <v>0.76078431372549016</v>
      </c>
      <c r="O121" s="19">
        <f>IF($B121="","",IF(OR(C121="امازون",L121=0),"",ROUND(F121/L121*الإعدادات!$B$4,0)))</f>
        <v>342</v>
      </c>
      <c r="P121" s="22" t="str">
        <f>IF($B121="","",IF('الإدخال اليومي'!AF95="لا يعمل","مستبعد (ترك العمل)",IF('الإدخال اليومي'!AF95="اجازه","مستبعد (اجازة)",IF(C121="امازون","امازون (شحنات)",IF(L121=0,"مستبعد (لم يعمل)",IF(F121&gt;=M121,"حقق",IF(F121&gt;=M121*الإعدادات!$B$8,"قريب","بعيد")))))))</f>
        <v>بعيد</v>
      </c>
      <c r="Q121" s="16" t="str">
        <f>IF($B121="","",TRIM('الإدخال اليومي'!H95&amp;IF(N('الإدخال اليومي'!AC95)&gt;0," | + "&amp;'الإدخال اليومي'!AC95&amp;" طلب من "&amp;'الإدخال اليومي'!AB95&amp;" (محسوبة في الإجمالي)","")))</f>
        <v>بدء العمل من يوم 8 اكتوبر</v>
      </c>
      <c r="R121" s="17">
        <f t="shared" si="4"/>
        <v>1</v>
      </c>
      <c r="S121" s="17" t="str">
        <f>IF($B121="","",IF('الإدخال اليومي'!AF95="","يعمل",'الإدخال اليومي'!AF95))</f>
        <v>يعمل</v>
      </c>
    </row>
    <row r="122" spans="1:19" x14ac:dyDescent="0.3">
      <c r="A122" s="15">
        <f>IF('الإدخال اليومي'!$B96="","",IF('الإدخال اليومي'!A96="","",'الإدخال اليومي'!A96))</f>
        <v>2566741944</v>
      </c>
      <c r="B122" s="16" t="str">
        <f>IF('الإدخال اليومي'!$B96="","",IF('الإدخال اليومي'!B96="","",'الإدخال اليومي'!B96))</f>
        <v>Muhammad Rizwan</v>
      </c>
      <c r="C122" s="17" t="str">
        <f>IF('الإدخال اليومي'!$B96="","",IF('الإدخال اليومي'!C96="","",'الإدخال اليومي'!C96))</f>
        <v>هنجرستيشن</v>
      </c>
      <c r="D122" s="17">
        <f>IF($B122="","",92)</f>
        <v>92</v>
      </c>
      <c r="E122" s="17" t="str">
        <f>IF('الإدخال اليومي'!$B96="","",IF('الإدخال اليومي'!AD96="","",'الإدخال اليومي'!AD96))</f>
        <v>كفالة</v>
      </c>
      <c r="F122" s="18">
        <f>IF($B122="","",'الإدخال اليومي'!I96)</f>
        <v>196</v>
      </c>
      <c r="G122" s="19" t="str">
        <f>IF($B122="","",IF(N('الإدخال اليومي'!AG96)=0,"",'الإدخال اليومي'!AG96))</f>
        <v/>
      </c>
      <c r="H122" s="17" t="str">
        <f>IF('الإدخال اليومي'!$B96="","",IF('الإدخال اليومي'!AE96="","",'الإدخال اليومي'!AE96))</f>
        <v>محمود خطاب</v>
      </c>
      <c r="I122" s="17">
        <f>IF($B122="","",IFERROR(INDEX('الإدخال اليومي'!K96:AA96,MATCH(الإعدادات!$B$2,'الإدخال اليومي'!$K$3:$AA$3,0)),0))</f>
        <v>20</v>
      </c>
      <c r="J122" s="20">
        <f>IF('الإدخال اليومي'!$B96="","",IF('الإدخال اليومي'!F96="","",'الإدخال اليومي'!F96))</f>
        <v>45534</v>
      </c>
      <c r="K122" s="17">
        <f>IF($B122="","",N('الإدخال اليومي'!G96)+MAX(0,الإعدادات!$B$2-MAX(الإعدادات!$B$10+1,N(J122))+1)-SUMPRODUCT(('الإدخال اليومي'!$L96:$AA96&gt;0)*('الإدخال اليومي'!$L$3:$AA$3&gt;=MAX(الإعدادات!$B$10+1,N(J122)))*('الإدخال اليومي'!$L$3:$AA$3&lt;=الإعدادات!$B$2)))</f>
        <v>0</v>
      </c>
      <c r="L122" s="17">
        <f>IF($B122="","",MAX(0,الإعدادات!$B$10-IF(J122="",الإعدادات!$B$9,MAX(J122,الإعدادات!$B$9))+1-N('الإدخال اليومي'!G96))+SUMPRODUCT(('الإدخال اليومي'!$L96:$AA96&gt;0)*('الإدخال اليومي'!$L$3:$AA$3&gt;=MAX(الإعدادات!$B$10+1,N(J122)))*('الإدخال اليومي'!$L$3:$AA$3&lt;=الإعدادات!$B$2)))</f>
        <v>17</v>
      </c>
      <c r="M122" s="19">
        <f>IF($B122="","",IF(C122="امازون","",(IFERROR(INDEX(الإعدادات!$B$19:$B$22,MATCH(C122,الإعدادات!$A$19:$A$22,0)),الإعدادات!$B$3)/الإعدادات!$B$4)*L122))</f>
        <v>255</v>
      </c>
      <c r="N122" s="21">
        <f t="shared" si="3"/>
        <v>0.7686274509803922</v>
      </c>
      <c r="O122" s="19">
        <f>IF($B122="","",IF(OR(C122="امازون",L122=0),"",ROUND(F122/L122*الإعدادات!$B$4,0)))</f>
        <v>346</v>
      </c>
      <c r="P122" s="22" t="str">
        <f>IF($B122="","",IF('الإدخال اليومي'!AF96="لا يعمل","مستبعد (ترك العمل)",IF('الإدخال اليومي'!AF96="اجازه","مستبعد (اجازة)",IF(C122="امازون","امازون (شحنات)",IF(L122=0,"مستبعد (لم يعمل)",IF(F122&gt;=M122,"حقق",IF(F122&gt;=M122*الإعدادات!$B$8,"قريب","بعيد")))))))</f>
        <v>بعيد</v>
      </c>
      <c r="Q122" s="16" t="str">
        <f>IF($B122="","",TRIM('الإدخال اليومي'!H96&amp;IF(N('الإدخال اليومي'!AC96)&gt;0," | + "&amp;'الإدخال اليومي'!AC96&amp;" طلب من "&amp;'الإدخال اليومي'!AB96&amp;" (محسوبة في الإجمالي)","")))</f>
        <v>بدء العمل من يوم 8 اكتوبر</v>
      </c>
      <c r="R122" s="17">
        <f t="shared" si="4"/>
        <v>1</v>
      </c>
      <c r="S122" s="17" t="str">
        <f>IF($B122="","",IF('الإدخال اليومي'!AF96="","يعمل",'الإدخال اليومي'!AF96))</f>
        <v>يعمل</v>
      </c>
    </row>
    <row r="123" spans="1:19" ht="27.6" x14ac:dyDescent="0.3">
      <c r="A123" s="15">
        <f>IF('الإدخال اليومي'!$B97="","",IF('الإدخال اليومي'!A97="","",'الإدخال اليومي'!A97))</f>
        <v>2558042285</v>
      </c>
      <c r="B123" s="16" t="str">
        <f>IF('الإدخال اليومي'!$B97="","",IF('الإدخال اليومي'!B97="","",'الإدخال اليومي'!B97))</f>
        <v>محمد حسنى رشاد عبدالله</v>
      </c>
      <c r="C123" s="17" t="str">
        <f>IF('الإدخال اليومي'!$B97="","",IF('الإدخال اليومي'!C97="","",'الإدخال اليومي'!C97))</f>
        <v>هنجرستيشن</v>
      </c>
      <c r="D123" s="17">
        <f>IF($B123="","",93)</f>
        <v>93</v>
      </c>
      <c r="E123" s="17" t="str">
        <f>IF('الإدخال اليومي'!$B97="","",IF('الإدخال اليومي'!AD97="","",'الإدخال اليومي'!AD97))</f>
        <v>كفالة</v>
      </c>
      <c r="F123" s="18">
        <f>IF($B123="","",'الإدخال اليومي'!I97)</f>
        <v>86</v>
      </c>
      <c r="G123" s="19" t="str">
        <f>IF($B123="","",IF(N('الإدخال اليومي'!AG97)=0,"",'الإدخال اليومي'!AG97))</f>
        <v/>
      </c>
      <c r="H123" s="17" t="str">
        <f>IF('الإدخال اليومي'!$B97="","",IF('الإدخال اليومي'!AE97="","",'الإدخال اليومي'!AE97))</f>
        <v>محمود خطاب</v>
      </c>
      <c r="I123" s="17">
        <f>IF($B123="","",IFERROR(INDEX('الإدخال اليومي'!K97:AA97,MATCH(الإعدادات!$B$2,'الإدخال اليومي'!$K$3:$AA$3,0)),0))</f>
        <v>9</v>
      </c>
      <c r="J123" s="20">
        <f>IF('الإدخال اليومي'!$B97="","",IF('الإدخال اليومي'!F97="","",'الإدخال اليومي'!F97))</f>
        <v>45473</v>
      </c>
      <c r="K123" s="17">
        <f>IF($B123="","",N('الإدخال اليومي'!G97)+MAX(0,الإعدادات!$B$2-MAX(الإعدادات!$B$10+1,N(J123))+1)-SUMPRODUCT(('الإدخال اليومي'!$L97:$AA97&gt;0)*('الإدخال اليومي'!$L$3:$AA$3&gt;=MAX(الإعدادات!$B$10+1,N(J123)))*('الإدخال اليومي'!$L$3:$AA$3&lt;=الإعدادات!$B$2)))</f>
        <v>0</v>
      </c>
      <c r="L123" s="17">
        <f>IF($B123="","",MAX(0,الإعدادات!$B$10-IF(J123="",الإعدادات!$B$9,MAX(J123,الإعدادات!$B$9))+1-N('الإدخال اليومي'!G97))+SUMPRODUCT(('الإدخال اليومي'!$L97:$AA97&gt;0)*('الإدخال اليومي'!$L$3:$AA$3&gt;=MAX(الإعدادات!$B$10+1,N(J123)))*('الإدخال اليومي'!$L$3:$AA$3&lt;=الإعدادات!$B$2)))</f>
        <v>17</v>
      </c>
      <c r="M123" s="19">
        <f>IF($B123="","",IF(C123="امازون","",(IFERROR(INDEX(الإعدادات!$B$19:$B$22,MATCH(C123,الإعدادات!$A$19:$A$22,0)),الإعدادات!$B$3)/الإعدادات!$B$4)*L123))</f>
        <v>255</v>
      </c>
      <c r="N123" s="21">
        <f t="shared" si="3"/>
        <v>0.33725490196078434</v>
      </c>
      <c r="O123" s="19">
        <f>IF($B123="","",IF(OR(C123="امازون",L123=0),"",ROUND(F123/L123*الإعدادات!$B$4,0)))</f>
        <v>152</v>
      </c>
      <c r="P123" s="22" t="str">
        <f>IF($B123="","",IF('الإدخال اليومي'!AF97="لا يعمل","مستبعد (ترك العمل)",IF('الإدخال اليومي'!AF97="اجازه","مستبعد (اجازة)",IF(C123="امازون","امازون (شحنات)",IF(L123=0,"مستبعد (لم يعمل)",IF(F123&gt;=M123,"حقق",IF(F123&gt;=M123*الإعدادات!$B$8,"قريب","بعيد")))))))</f>
        <v>بعيد</v>
      </c>
      <c r="Q123" s="16" t="str">
        <f>IF($B123="","",TRIM('الإدخال اليومي'!H97&amp;IF(N('الإدخال اليومي'!AC97)&gt;0," | + "&amp;'الإدخال اليومي'!AC97&amp;" طلب من "&amp;'الإدخال اليومي'!AB97&amp;" (محسوبة في الإجمالي)","")))</f>
        <v>بدء العمل من يوم 11 اكتوبر واصابة في القدم قصرت علي اداء المندوب يومين</v>
      </c>
      <c r="R123" s="17">
        <f t="shared" si="4"/>
        <v>1</v>
      </c>
      <c r="S123" s="17" t="str">
        <f>IF($B123="","",IF('الإدخال اليومي'!AF97="","يعمل",'الإدخال اليومي'!AF97))</f>
        <v>يعمل</v>
      </c>
    </row>
    <row r="124" spans="1:19" x14ac:dyDescent="0.3">
      <c r="A124" s="15">
        <f>IF('الإدخال اليومي'!$B98="","",IF('الإدخال اليومي'!A98="","",'الإدخال اليومي'!A98))</f>
        <v>2570719662</v>
      </c>
      <c r="B124" s="16" t="str">
        <f>IF('الإدخال اليومي'!$B98="","",IF('الإدخال اليومي'!B98="","",'الإدخال اليومي'!B98))</f>
        <v>RAHAMATTULLA - - SEIKH</v>
      </c>
      <c r="C124" s="17" t="str">
        <f>IF('الإدخال اليومي'!$B98="","",IF('الإدخال اليومي'!C98="","",'الإدخال اليومي'!C98))</f>
        <v>هنجرستيشن</v>
      </c>
      <c r="D124" s="17">
        <f>IF($B124="","",94)</f>
        <v>94</v>
      </c>
      <c r="E124" s="17" t="str">
        <f>IF('الإدخال اليومي'!$B98="","",IF('الإدخال اليومي'!AD98="","",'الإدخال اليومي'!AD98))</f>
        <v>كفالة</v>
      </c>
      <c r="F124" s="18">
        <f>IF($B124="","",'الإدخال اليومي'!I98)</f>
        <v>90</v>
      </c>
      <c r="G124" s="19" t="str">
        <f>IF($B124="","",IF(N('الإدخال اليومي'!AG98)=0,"",'الإدخال اليومي'!AG98))</f>
        <v/>
      </c>
      <c r="H124" s="17" t="str">
        <f>IF('الإدخال اليومي'!$B98="","",IF('الإدخال اليومي'!AE98="","",'الإدخال اليومي'!AE98))</f>
        <v>محمود خطاب</v>
      </c>
      <c r="I124" s="17">
        <f>IF($B124="","",IFERROR(INDEX('الإدخال اليومي'!K98:AA98,MATCH(الإعدادات!$B$2,'الإدخال اليومي'!$K$3:$AA$3,0)),0))</f>
        <v>18</v>
      </c>
      <c r="J124" s="20">
        <f>IF('الإدخال اليومي'!$B98="","",IF('الإدخال اليومي'!F98="","",'الإدخال اليومي'!F98))</f>
        <v>45443</v>
      </c>
      <c r="K124" s="17">
        <f>IF($B124="","",N('الإدخال اليومي'!G98)+MAX(0,الإعدادات!$B$2-MAX(الإعدادات!$B$10+1,N(J124))+1)-SUMPRODUCT(('الإدخال اليومي'!$L98:$AA98&gt;0)*('الإدخال اليومي'!$L$3:$AA$3&gt;=MAX(الإعدادات!$B$10+1,N(J124)))*('الإدخال اليومي'!$L$3:$AA$3&lt;=الإعدادات!$B$2)))</f>
        <v>0</v>
      </c>
      <c r="L124" s="17">
        <f>IF($B124="","",MAX(0,الإعدادات!$B$10-IF(J124="",الإعدادات!$B$9,MAX(J124,الإعدادات!$B$9))+1-N('الإدخال اليومي'!G98))+SUMPRODUCT(('الإدخال اليومي'!$L98:$AA98&gt;0)*('الإدخال اليومي'!$L$3:$AA$3&gt;=MAX(الإعدادات!$B$10+1,N(J124)))*('الإدخال اليومي'!$L$3:$AA$3&lt;=الإعدادات!$B$2)))</f>
        <v>17</v>
      </c>
      <c r="M124" s="19">
        <f>IF($B124="","",IF(C124="امازون","",(IFERROR(INDEX(الإعدادات!$B$19:$B$22,MATCH(C124,الإعدادات!$A$19:$A$22,0)),الإعدادات!$B$3)/الإعدادات!$B$4)*L124))</f>
        <v>255</v>
      </c>
      <c r="N124" s="21">
        <f t="shared" si="3"/>
        <v>0.35294117647058826</v>
      </c>
      <c r="O124" s="19">
        <f>IF($B124="","",IF(OR(C124="امازون",L124=0),"",ROUND(F124/L124*الإعدادات!$B$4,0)))</f>
        <v>159</v>
      </c>
      <c r="P124" s="22" t="str">
        <f>IF($B124="","",IF('الإدخال اليومي'!AF98="لا يعمل","مستبعد (ترك العمل)",IF('الإدخال اليومي'!AF98="اجازه","مستبعد (اجازة)",IF(C124="امازون","امازون (شحنات)",IF(L124=0,"مستبعد (لم يعمل)",IF(F124&gt;=M124,"حقق",IF(F124&gt;=M124*الإعدادات!$B$8,"قريب","بعيد")))))))</f>
        <v>بعيد</v>
      </c>
      <c r="Q124" s="16" t="str">
        <f>IF($B124="","",TRIM('الإدخال اليومي'!H98&amp;IF(N('الإدخال اليومي'!AC98)&gt;0," | + "&amp;'الإدخال اليومي'!AC98&amp;" طلب من "&amp;'الإدخال اليومي'!AB98&amp;" (محسوبة في الإجمالي)","")))</f>
        <v>بدء العمل يوم 13 اكتوبر</v>
      </c>
      <c r="R124" s="17">
        <f t="shared" si="4"/>
        <v>1</v>
      </c>
      <c r="S124" s="17" t="str">
        <f>IF($B124="","",IF('الإدخال اليومي'!AF98="","يعمل",'الإدخال اليومي'!AF98))</f>
        <v>يعمل</v>
      </c>
    </row>
    <row r="125" spans="1:19" x14ac:dyDescent="0.3">
      <c r="A125" s="15">
        <f>IF('الإدخال اليومي'!$B99="","",IF('الإدخال اليومي'!A99="","",'الإدخال اليومي'!A99))</f>
        <v>2624530818</v>
      </c>
      <c r="B125" s="16" t="str">
        <f>IF('الإدخال اليومي'!$B99="","",IF('الإدخال اليومي'!B99="","",'الإدخال اليومي'!B99))</f>
        <v>شوقي عنتر محمد أبوحمد</v>
      </c>
      <c r="C125" s="17" t="str">
        <f>IF('الإدخال اليومي'!$B99="","",IF('الإدخال اليومي'!C99="","",'الإدخال اليومي'!C99))</f>
        <v>هنجرستيشن</v>
      </c>
      <c r="D125" s="17">
        <f>IF($B125="","",95)</f>
        <v>95</v>
      </c>
      <c r="E125" s="17" t="str">
        <f>IF('الإدخال اليومي'!$B99="","",IF('الإدخال اليومي'!AD99="","",'الإدخال اليومي'!AD99))</f>
        <v>فري لانسر</v>
      </c>
      <c r="F125" s="18">
        <f>IF($B125="","",'الإدخال اليومي'!I99)</f>
        <v>74</v>
      </c>
      <c r="G125" s="19" t="str">
        <f>IF($B125="","",IF(N('الإدخال اليومي'!AG99)=0,"",'الإدخال اليومي'!AG99))</f>
        <v/>
      </c>
      <c r="H125" s="17" t="str">
        <f>IF('الإدخال اليومي'!$B99="","",IF('الإدخال اليومي'!AE99="","",'الإدخال اليومي'!AE99))</f>
        <v>محمود خطاب</v>
      </c>
      <c r="I125" s="17">
        <f>IF($B125="","",IFERROR(INDEX('الإدخال اليومي'!K99:AA99,MATCH(الإعدادات!$B$2,'الإدخال اليومي'!$K$3:$AA$3,0)),0))</f>
        <v>16</v>
      </c>
      <c r="J125" s="20">
        <f>IF('الإدخال اليومي'!$B99="","",IF('الإدخال اليومي'!F99="","",'الإدخال اليومي'!F99))</f>
        <v>46301</v>
      </c>
      <c r="K125" s="17">
        <f>IF($B125="","",N('الإدخال اليومي'!G99)+MAX(0,الإعدادات!$B$2-MAX(الإعدادات!$B$10+1,N(J125))+1)-SUMPRODUCT(('الإدخال اليومي'!$L99:$AA99&gt;0)*('الإدخال اليومي'!$L$3:$AA$3&gt;=MAX(الإعدادات!$B$10+1,N(J125)))*('الإدخال اليومي'!$L$3:$AA$3&lt;=الإعدادات!$B$2)))</f>
        <v>0</v>
      </c>
      <c r="L125" s="17">
        <f>IF($B125="","",MAX(0,الإعدادات!$B$10-IF(J125="",الإعدادات!$B$9,MAX(J125,الإعدادات!$B$9))+1-N('الإدخال اليومي'!G99))+SUMPRODUCT(('الإدخال اليومي'!$L99:$AA99&gt;0)*('الإدخال اليومي'!$L$3:$AA$3&gt;=MAX(الإعدادات!$B$10+1,N(J125)))*('الإدخال اليومي'!$L$3:$AA$3&lt;=الإعدادات!$B$2)))</f>
        <v>12</v>
      </c>
      <c r="M125" s="19">
        <f>IF($B125="","",IF(C125="امازون","",(IFERROR(INDEX(الإعدادات!$B$19:$B$22,MATCH(C125,الإعدادات!$A$19:$A$22,0)),الإعدادات!$B$3)/الإعدادات!$B$4)*L125))</f>
        <v>180</v>
      </c>
      <c r="N125" s="21">
        <f t="shared" si="3"/>
        <v>0.41111111111111109</v>
      </c>
      <c r="O125" s="19">
        <f>IF($B125="","",IF(OR(C125="امازون",L125=0),"",ROUND(F125/L125*الإعدادات!$B$4,0)))</f>
        <v>185</v>
      </c>
      <c r="P125" s="22" t="str">
        <f>IF($B125="","",IF('الإدخال اليومي'!AF99="لا يعمل","مستبعد (ترك العمل)",IF('الإدخال اليومي'!AF99="اجازه","مستبعد (اجازة)",IF(C125="امازون","امازون (شحنات)",IF(L125=0,"مستبعد (لم يعمل)",IF(F125&gt;=M125,"حقق",IF(F125&gt;=M125*الإعدادات!$B$8,"قريب","بعيد")))))))</f>
        <v>بعيد</v>
      </c>
      <c r="Q125" s="16" t="str">
        <f>IF($B125="","",TRIM('الإدخال اليومي'!H99&amp;IF(N('الإدخال اليومي'!AC99)&gt;0," | + "&amp;'الإدخال اليومي'!AC99&amp;" طلب من "&amp;'الإدخال اليومي'!AB99&amp;" (محسوبة في الإجمالي)","")))</f>
        <v>بدء العمل يوم 13 اكتوبر</v>
      </c>
      <c r="R125" s="17">
        <f t="shared" si="4"/>
        <v>1</v>
      </c>
      <c r="S125" s="17" t="str">
        <f>IF($B125="","",IF('الإدخال اليومي'!AF99="","يعمل",'الإدخال اليومي'!AF99))</f>
        <v>يعمل</v>
      </c>
    </row>
    <row r="126" spans="1:19" x14ac:dyDescent="0.3">
      <c r="A126" s="15">
        <f>IF('الإدخال اليومي'!$B100="","",IF('الإدخال اليومي'!A100="","",'الإدخال اليومي'!A100))</f>
        <v>2620943387</v>
      </c>
      <c r="B126" s="16" t="str">
        <f>IF('الإدخال اليومي'!$B100="","",IF('الإدخال اليومي'!B100="","",'الإدخال اليومي'!B100))</f>
        <v>محمد عبدالجابر شعبان</v>
      </c>
      <c r="C126" s="17" t="str">
        <f>IF('الإدخال اليومي'!$B100="","",IF('الإدخال اليومي'!C100="","",'الإدخال اليومي'!C100))</f>
        <v>هنجرستيشن</v>
      </c>
      <c r="D126" s="17">
        <f>IF($B126="","",96)</f>
        <v>96</v>
      </c>
      <c r="E126" s="17" t="str">
        <f>IF('الإدخال اليومي'!$B100="","",IF('الإدخال اليومي'!AD100="","",'الإدخال اليومي'!AD100))</f>
        <v>فري لانسر</v>
      </c>
      <c r="F126" s="18">
        <f>IF($B126="","",'الإدخال اليومي'!I100)</f>
        <v>84</v>
      </c>
      <c r="G126" s="19" t="str">
        <f>IF($B126="","",IF(N('الإدخال اليومي'!AG100)=0,"",'الإدخال اليومي'!AG100))</f>
        <v/>
      </c>
      <c r="H126" s="17" t="str">
        <f>IF('الإدخال اليومي'!$B100="","",IF('الإدخال اليومي'!AE100="","",'الإدخال اليومي'!AE100))</f>
        <v>محمود خطاب</v>
      </c>
      <c r="I126" s="17">
        <f>IF($B126="","",IFERROR(INDEX('الإدخال اليومي'!K100:AA100,MATCH(الإعدادات!$B$2,'الإدخال اليومي'!$K$3:$AA$3,0)),0))</f>
        <v>20</v>
      </c>
      <c r="J126" s="20">
        <f>IF('الإدخال اليومي'!$B100="","",IF('الإدخال اليومي'!F100="","",'الإدخال اليومي'!F100))</f>
        <v>46307</v>
      </c>
      <c r="K126" s="17">
        <f>IF($B126="","",N('الإدخال اليومي'!G100)+MAX(0,الإعدادات!$B$2-MAX(الإعدادات!$B$10+1,N(J126))+1)-SUMPRODUCT(('الإدخال اليومي'!$L100:$AA100&gt;0)*('الإدخال اليومي'!$L$3:$AA$3&gt;=MAX(الإعدادات!$B$10+1,N(J126)))*('الإدخال اليومي'!$L$3:$AA$3&lt;=الإعدادات!$B$2)))</f>
        <v>0</v>
      </c>
      <c r="L126" s="17">
        <f>IF($B126="","",MAX(0,الإعدادات!$B$10-IF(J126="",الإعدادات!$B$9,MAX(J126,الإعدادات!$B$9))+1-N('الإدخال اليومي'!G100))+SUMPRODUCT(('الإدخال اليومي'!$L100:$AA100&gt;0)*('الإدخال اليومي'!$L$3:$AA$3&gt;=MAX(الإعدادات!$B$10+1,N(J126)))*('الإدخال اليومي'!$L$3:$AA$3&lt;=الإعدادات!$B$2)))</f>
        <v>6</v>
      </c>
      <c r="M126" s="19">
        <f>IF($B126="","",IF(C126="امازون","",(IFERROR(INDEX(الإعدادات!$B$19:$B$22,MATCH(C126,الإعدادات!$A$19:$A$22,0)),الإعدادات!$B$3)/الإعدادات!$B$4)*L126))</f>
        <v>90</v>
      </c>
      <c r="N126" s="21">
        <f t="shared" si="3"/>
        <v>0.93333333333333335</v>
      </c>
      <c r="O126" s="19">
        <f>IF($B126="","",IF(OR(C126="امازون",L126=0),"",ROUND(F126/L126*الإعدادات!$B$4,0)))</f>
        <v>420</v>
      </c>
      <c r="P126" s="22" t="str">
        <f>IF($B126="","",IF('الإدخال اليومي'!AF100="لا يعمل","مستبعد (ترك العمل)",IF('الإدخال اليومي'!AF100="اجازه","مستبعد (اجازة)",IF(C126="امازون","امازون (شحنات)",IF(L126=0,"مستبعد (لم يعمل)",IF(F126&gt;=M126,"حقق",IF(F126&gt;=M126*الإعدادات!$B$8,"قريب","بعيد")))))))</f>
        <v>قريب</v>
      </c>
      <c r="Q126" s="16" t="str">
        <f>IF($B126="","",TRIM('الإدخال اليومي'!H100&amp;IF(N('الإدخال اليومي'!AC100)&gt;0," | + "&amp;'الإدخال اليومي'!AC100&amp;" طلب من "&amp;'الإدخال اليومي'!AB100&amp;" (محسوبة في الإجمالي)","")))</f>
        <v>بدء العمل يوم 14 اكتوبر</v>
      </c>
      <c r="R126" s="17">
        <f t="shared" si="4"/>
        <v>1</v>
      </c>
      <c r="S126" s="17" t="str">
        <f>IF($B126="","",IF('الإدخال اليومي'!AF100="","يعمل",'الإدخال اليومي'!AF100))</f>
        <v>يعمل</v>
      </c>
    </row>
    <row r="127" spans="1:19" x14ac:dyDescent="0.3">
      <c r="A127" s="15">
        <f>IF('الإدخال اليومي'!$B101="","",IF('الإدخال اليومي'!A101="","",'الإدخال اليومي'!A101))</f>
        <v>2619674852</v>
      </c>
      <c r="B127" s="16" t="str">
        <f>IF('الإدخال اليومي'!$B101="","",IF('الإدخال اليومي'!B101="","",'الإدخال اليومي'!B101))</f>
        <v>محمد حمدان السمان احمد</v>
      </c>
      <c r="C127" s="17" t="str">
        <f>IF('الإدخال اليومي'!$B101="","",IF('الإدخال اليومي'!C101="","",'الإدخال اليومي'!C101))</f>
        <v>هنجرستيشن</v>
      </c>
      <c r="D127" s="17">
        <f>IF($B127="","",97)</f>
        <v>97</v>
      </c>
      <c r="E127" s="17" t="str">
        <f>IF('الإدخال اليومي'!$B101="","",IF('الإدخال اليومي'!AD101="","",'الإدخال اليومي'!AD101))</f>
        <v>فري لانسر</v>
      </c>
      <c r="F127" s="18">
        <f>IF($B127="","",'الإدخال اليومي'!I101)</f>
        <v>79</v>
      </c>
      <c r="G127" s="19" t="str">
        <f>IF($B127="","",IF(N('الإدخال اليومي'!AG101)=0,"",'الإدخال اليومي'!AG101))</f>
        <v/>
      </c>
      <c r="H127" s="17" t="str">
        <f>IF('الإدخال اليومي'!$B101="","",IF('الإدخال اليومي'!AE101="","",'الإدخال اليومي'!AE101))</f>
        <v>محمود خطاب</v>
      </c>
      <c r="I127" s="17">
        <f>IF($B127="","",IFERROR(INDEX('الإدخال اليومي'!K101:AA101,MATCH(الإعدادات!$B$2,'الإدخال اليومي'!$K$3:$AA$3,0)),0))</f>
        <v>23</v>
      </c>
      <c r="J127" s="20">
        <f>IF('الإدخال اليومي'!$B101="","",IF('الإدخال اليومي'!F101="","",'الإدخال اليومي'!F101))</f>
        <v>46307</v>
      </c>
      <c r="K127" s="17">
        <f>IF($B127="","",N('الإدخال اليومي'!G101)+MAX(0,الإعدادات!$B$2-MAX(الإعدادات!$B$10+1,N(J127))+1)-SUMPRODUCT(('الإدخال اليومي'!$L101:$AA101&gt;0)*('الإدخال اليومي'!$L$3:$AA$3&gt;=MAX(الإعدادات!$B$10+1,N(J127)))*('الإدخال اليومي'!$L$3:$AA$3&lt;=الإعدادات!$B$2)))</f>
        <v>0</v>
      </c>
      <c r="L127" s="17">
        <f>IF($B127="","",MAX(0,الإعدادات!$B$10-IF(J127="",الإعدادات!$B$9,MAX(J127,الإعدادات!$B$9))+1-N('الإدخال اليومي'!G101))+SUMPRODUCT(('الإدخال اليومي'!$L101:$AA101&gt;0)*('الإدخال اليومي'!$L$3:$AA$3&gt;=MAX(الإعدادات!$B$10+1,N(J127)))*('الإدخال اليومي'!$L$3:$AA$3&lt;=الإعدادات!$B$2)))</f>
        <v>6</v>
      </c>
      <c r="M127" s="19">
        <f>IF($B127="","",IF(C127="امازون","",(IFERROR(INDEX(الإعدادات!$B$19:$B$22,MATCH(C127,الإعدادات!$A$19:$A$22,0)),الإعدادات!$B$3)/الإعدادات!$B$4)*L127))</f>
        <v>90</v>
      </c>
      <c r="N127" s="21">
        <f t="shared" si="3"/>
        <v>0.87777777777777777</v>
      </c>
      <c r="O127" s="19">
        <f>IF($B127="","",IF(OR(C127="امازون",L127=0),"",ROUND(F127/L127*الإعدادات!$B$4,0)))</f>
        <v>395</v>
      </c>
      <c r="P127" s="22" t="str">
        <f>IF($B127="","",IF('الإدخال اليومي'!AF101="لا يعمل","مستبعد (ترك العمل)",IF('الإدخال اليومي'!AF101="اجازه","مستبعد (اجازة)",IF(C127="امازون","امازون (شحنات)",IF(L127=0,"مستبعد (لم يعمل)",IF(F127&gt;=M127,"حقق",IF(F127&gt;=M127*الإعدادات!$B$8,"قريب","بعيد")))))))</f>
        <v>قريب</v>
      </c>
      <c r="Q127" s="16" t="str">
        <f>IF($B127="","",TRIM('الإدخال اليومي'!H101&amp;IF(N('الإدخال اليومي'!AC101)&gt;0," | + "&amp;'الإدخال اليومي'!AC101&amp;" طلب من "&amp;'الإدخال اليومي'!AB101&amp;" (محسوبة في الإجمالي)","")))</f>
        <v>بدء العمل يوم 14 اكتوبر</v>
      </c>
      <c r="R127" s="17">
        <f t="shared" si="4"/>
        <v>1</v>
      </c>
      <c r="S127" s="17" t="str">
        <f>IF($B127="","",IF('الإدخال اليومي'!AF101="","يعمل",'الإدخال اليومي'!AF101))</f>
        <v>يعمل</v>
      </c>
    </row>
    <row r="128" spans="1:19" x14ac:dyDescent="0.3">
      <c r="A128" s="15">
        <f>IF('الإدخال اليومي'!$B102="","",IF('الإدخال اليومي'!A102="","",'الإدخال اليومي'!A102))</f>
        <v>2593487362</v>
      </c>
      <c r="B128" s="16" t="str">
        <f>IF('الإدخال اليومي'!$B102="","",IF('الإدخال اليومي'!B102="","",'الإدخال اليومي'!B102))</f>
        <v>BIJOY CHAND ALAM CHAND</v>
      </c>
      <c r="C128" s="17" t="str">
        <f>IF('الإدخال اليومي'!$B102="","",IF('الإدخال اليومي'!C102="","",'الإدخال اليومي'!C102))</f>
        <v>هنجرستيشن</v>
      </c>
      <c r="D128" s="17">
        <f>IF($B128="","",98)</f>
        <v>98</v>
      </c>
      <c r="E128" s="17" t="str">
        <f>IF('الإدخال اليومي'!$B102="","",IF('الإدخال اليومي'!AD102="","",'الإدخال اليومي'!AD102))</f>
        <v>فري لانسر</v>
      </c>
      <c r="F128" s="18">
        <f>IF($B128="","",'الإدخال اليومي'!I102)</f>
        <v>81</v>
      </c>
      <c r="G128" s="19" t="str">
        <f>IF($B128="","",IF(N('الإدخال اليومي'!AG102)=0,"",'الإدخال اليومي'!AG102))</f>
        <v/>
      </c>
      <c r="H128" s="17" t="str">
        <f>IF('الإدخال اليومي'!$B102="","",IF('الإدخال اليومي'!AE102="","",'الإدخال اليومي'!AE102))</f>
        <v>محمود خطاب</v>
      </c>
      <c r="I128" s="17">
        <f>IF($B128="","",IFERROR(INDEX('الإدخال اليومي'!K102:AA102,MATCH(الإعدادات!$B$2,'الإدخال اليومي'!$K$3:$AA$3,0)),0))</f>
        <v>21</v>
      </c>
      <c r="J128" s="20">
        <f>IF('الإدخال اليومي'!$B102="","",IF('الإدخال اليومي'!F102="","",'الإدخال اليومي'!F102))</f>
        <v>46306</v>
      </c>
      <c r="K128" s="17">
        <f>IF($B128="","",N('الإدخال اليومي'!G102)+MAX(0,الإعدادات!$B$2-MAX(الإعدادات!$B$10+1,N(J128))+1)-SUMPRODUCT(('الإدخال اليومي'!$L102:$AA102&gt;0)*('الإدخال اليومي'!$L$3:$AA$3&gt;=MAX(الإعدادات!$B$10+1,N(J128)))*('الإدخال اليومي'!$L$3:$AA$3&lt;=الإعدادات!$B$2)))</f>
        <v>0</v>
      </c>
      <c r="L128" s="17">
        <f>IF($B128="","",MAX(0,الإعدادات!$B$10-IF(J128="",الإعدادات!$B$9,MAX(J128,الإعدادات!$B$9))+1-N('الإدخال اليومي'!G102))+SUMPRODUCT(('الإدخال اليومي'!$L102:$AA102&gt;0)*('الإدخال اليومي'!$L$3:$AA$3&gt;=MAX(الإعدادات!$B$10+1,N(J128)))*('الإدخال اليومي'!$L$3:$AA$3&lt;=الإعدادات!$B$2)))</f>
        <v>7</v>
      </c>
      <c r="M128" s="19">
        <f>IF($B128="","",IF(C128="امازون","",(IFERROR(INDEX(الإعدادات!$B$19:$B$22,MATCH(C128,الإعدادات!$A$19:$A$22,0)),الإعدادات!$B$3)/الإعدادات!$B$4)*L128))</f>
        <v>105</v>
      </c>
      <c r="N128" s="21">
        <f t="shared" si="3"/>
        <v>0.77142857142857146</v>
      </c>
      <c r="O128" s="19">
        <f>IF($B128="","",IF(OR(C128="امازون",L128=0),"",ROUND(F128/L128*الإعدادات!$B$4,0)))</f>
        <v>347</v>
      </c>
      <c r="P128" s="22" t="str">
        <f>IF($B128="","",IF('الإدخال اليومي'!AF102="لا يعمل","مستبعد (ترك العمل)",IF('الإدخال اليومي'!AF102="اجازه","مستبعد (اجازة)",IF(C128="امازون","امازون (شحنات)",IF(L128=0,"مستبعد (لم يعمل)",IF(F128&gt;=M128,"حقق",IF(F128&gt;=M128*الإعدادات!$B$8,"قريب","بعيد")))))))</f>
        <v>بعيد</v>
      </c>
      <c r="Q128" s="16" t="str">
        <f>IF($B128="","",TRIM('الإدخال اليومي'!H102&amp;IF(N('الإدخال اليومي'!AC102)&gt;0," | + "&amp;'الإدخال اليومي'!AC102&amp;" طلب من "&amp;'الإدخال اليومي'!AB102&amp;" (محسوبة في الإجمالي)","")))</f>
        <v>بدء العمل يوم 13 اكتوبر</v>
      </c>
      <c r="R128" s="17">
        <f t="shared" si="4"/>
        <v>1</v>
      </c>
      <c r="S128" s="17" t="str">
        <f>IF($B128="","",IF('الإدخال اليومي'!AF102="","يعمل",'الإدخال اليومي'!AF102))</f>
        <v>يعمل</v>
      </c>
    </row>
    <row r="129" spans="1:19" x14ac:dyDescent="0.3">
      <c r="A129" s="15">
        <f>IF('الإدخال اليومي'!$B103="","",IF('الإدخال اليومي'!A103="","",'الإدخال اليومي'!A103))</f>
        <v>2557509342</v>
      </c>
      <c r="B129" s="16" t="str">
        <f>IF('الإدخال اليومي'!$B103="","",IF('الإدخال اليومي'!B103="","",'الإدخال اليومي'!B103))</f>
        <v>محمد رميح محمد رميح</v>
      </c>
      <c r="C129" s="17" t="str">
        <f>IF('الإدخال اليومي'!$B103="","",IF('الإدخال اليومي'!C103="","",'الإدخال اليومي'!C103))</f>
        <v>هنجرستيشن</v>
      </c>
      <c r="D129" s="17">
        <f>IF($B129="","",99)</f>
        <v>99</v>
      </c>
      <c r="E129" s="17" t="str">
        <f>IF('الإدخال اليومي'!$B103="","",IF('الإدخال اليومي'!AD103="","",'الإدخال اليومي'!AD103))</f>
        <v>كفالة</v>
      </c>
      <c r="F129" s="18">
        <f>IF($B129="","",'الإدخال اليومي'!I103)</f>
        <v>38</v>
      </c>
      <c r="G129" s="19" t="str">
        <f>IF($B129="","",IF(N('الإدخال اليومي'!AG103)=0,"",'الإدخال اليومي'!AG103))</f>
        <v/>
      </c>
      <c r="H129" s="17" t="str">
        <f>IF('الإدخال اليومي'!$B103="","",IF('الإدخال اليومي'!AE103="","",'الإدخال اليومي'!AE103))</f>
        <v>محمود خطاب</v>
      </c>
      <c r="I129" s="17">
        <f>IF($B129="","",IFERROR(INDEX('الإدخال اليومي'!K103:AA103,MATCH(الإعدادات!$B$2,'الإدخال اليومي'!$K$3:$AA$3,0)),0))</f>
        <v>0</v>
      </c>
      <c r="J129" s="20">
        <f>IF('الإدخال اليومي'!$B103="","",IF('الإدخال اليومي'!F103="","",'الإدخال اليومي'!F103))</f>
        <v>45322</v>
      </c>
      <c r="K129" s="17">
        <f>IF($B129="","",N('الإدخال اليومي'!G103)+MAX(0,الإعدادات!$B$2-MAX(الإعدادات!$B$10+1,N(J129))+1)-SUMPRODUCT(('الإدخال اليومي'!$L103:$AA103&gt;0)*('الإدخال اليومي'!$L$3:$AA$3&gt;=MAX(الإعدادات!$B$10+1,N(J129)))*('الإدخال اليومي'!$L$3:$AA$3&lt;=الإعدادات!$B$2)))</f>
        <v>1</v>
      </c>
      <c r="L129" s="17">
        <f>IF($B129="","",MAX(0,الإعدادات!$B$10-IF(J129="",الإعدادات!$B$9,MAX(J129,الإعدادات!$B$9))+1-N('الإدخال اليومي'!G103))+SUMPRODUCT(('الإدخال اليومي'!$L103:$AA103&gt;0)*('الإدخال اليومي'!$L$3:$AA$3&gt;=MAX(الإعدادات!$B$10+1,N(J129)))*('الإدخال اليومي'!$L$3:$AA$3&lt;=الإعدادات!$B$2)))</f>
        <v>16</v>
      </c>
      <c r="M129" s="19">
        <f>IF($B129="","",IF(C129="امازون","",(IFERROR(INDEX(الإعدادات!$B$19:$B$22,MATCH(C129,الإعدادات!$A$19:$A$22,0)),الإعدادات!$B$3)/الإعدادات!$B$4)*L129))</f>
        <v>240</v>
      </c>
      <c r="N129" s="21">
        <f t="shared" si="3"/>
        <v>0.15833333333333333</v>
      </c>
      <c r="O129" s="19">
        <f>IF($B129="","",IF(OR(C129="امازون",L129=0),"",ROUND(F129/L129*الإعدادات!$B$4,0)))</f>
        <v>71</v>
      </c>
      <c r="P129" s="22" t="str">
        <f>IF($B129="","",IF('الإدخال اليومي'!AF103="لا يعمل","مستبعد (ترك العمل)",IF('الإدخال اليومي'!AF103="اجازه","مستبعد (اجازة)",IF(C129="امازون","امازون (شحنات)",IF(L129=0,"مستبعد (لم يعمل)",IF(F129&gt;=M129,"حقق",IF(F129&gt;=M129*الإعدادات!$B$8,"قريب","بعيد")))))))</f>
        <v>بعيد</v>
      </c>
      <c r="Q129" s="16" t="str">
        <f>IF($B129="","",TRIM('الإدخال اليومي'!H103&amp;IF(N('الإدخال اليومي'!AC103)&gt;0," | + "&amp;'الإدخال اليومي'!AC103&amp;" طلب من "&amp;'الإدخال اليومي'!AB103&amp;" (محسوبة في الإجمالي)","")))</f>
        <v>توقف المندوب عن العمل وعايز خروج نهائي</v>
      </c>
      <c r="R129" s="17">
        <f t="shared" si="4"/>
        <v>1</v>
      </c>
      <c r="S129" s="17" t="str">
        <f>IF($B129="","",IF('الإدخال اليومي'!AF103="","يعمل",'الإدخال اليومي'!AF103))</f>
        <v>يعمل</v>
      </c>
    </row>
    <row r="130" spans="1:19" x14ac:dyDescent="0.3">
      <c r="A130" s="15">
        <f>IF('الإدخال اليومي'!$B104="","",IF('الإدخال اليومي'!A104="","",'الإدخال اليومي'!A104))</f>
        <v>2567992678</v>
      </c>
      <c r="B130" s="16" t="str">
        <f>IF('الإدخال اليومي'!$B104="","",IF('الإدخال اليومي'!B104="","",'الإدخال اليومي'!B104))</f>
        <v>SARIFUL - - ISLAM</v>
      </c>
      <c r="C130" s="17" t="str">
        <f>IF('الإدخال اليومي'!$B104="","",IF('الإدخال اليومي'!C104="","",'الإدخال اليومي'!C104))</f>
        <v>هنجرستيشن</v>
      </c>
      <c r="D130" s="17">
        <f>IF($B130="","",100)</f>
        <v>100</v>
      </c>
      <c r="E130" s="17" t="str">
        <f>IF('الإدخال اليومي'!$B104="","",IF('الإدخال اليومي'!AD104="","",'الإدخال اليومي'!AD104))</f>
        <v>كفالة</v>
      </c>
      <c r="F130" s="18">
        <f>IF($B130="","",'الإدخال اليومي'!I104)</f>
        <v>65</v>
      </c>
      <c r="G130" s="19" t="str">
        <f>IF($B130="","",IF(N('الإدخال اليومي'!AG104)=0,"",'الإدخال اليومي'!AG104))</f>
        <v/>
      </c>
      <c r="H130" s="17" t="str">
        <f>IF('الإدخال اليومي'!$B104="","",IF('الإدخال اليومي'!AE104="","",'الإدخال اليومي'!AE104))</f>
        <v>محمود خطاب</v>
      </c>
      <c r="I130" s="17">
        <f>IF($B130="","",IFERROR(INDEX('الإدخال اليومي'!K104:AA104,MATCH(الإعدادات!$B$2,'الإدخال اليومي'!$K$3:$AA$3,0)),0))</f>
        <v>21</v>
      </c>
      <c r="J130" s="20">
        <f>IF('الإدخال اليومي'!$B104="","",IF('الإدخال اليومي'!F104="","",'الإدخال اليومي'!F104))</f>
        <v>45412</v>
      </c>
      <c r="K130" s="17">
        <f>IF($B130="","",N('الإدخال اليومي'!G104)+MAX(0,الإعدادات!$B$2-MAX(الإعدادات!$B$10+1,N(J130))+1)-SUMPRODUCT(('الإدخال اليومي'!$L104:$AA104&gt;0)*('الإدخال اليومي'!$L$3:$AA$3&gt;=MAX(الإعدادات!$B$10+1,N(J130)))*('الإدخال اليومي'!$L$3:$AA$3&lt;=الإعدادات!$B$2)))</f>
        <v>0</v>
      </c>
      <c r="L130" s="17">
        <f>IF($B130="","",MAX(0,الإعدادات!$B$10-IF(J130="",الإعدادات!$B$9,MAX(J130,الإعدادات!$B$9))+1-N('الإدخال اليومي'!G104))+SUMPRODUCT(('الإدخال اليومي'!$L104:$AA104&gt;0)*('الإدخال اليومي'!$L$3:$AA$3&gt;=MAX(الإعدادات!$B$10+1,N(J130)))*('الإدخال اليومي'!$L$3:$AA$3&lt;=الإعدادات!$B$2)))</f>
        <v>17</v>
      </c>
      <c r="M130" s="19">
        <f>IF($B130="","",IF(C130="امازون","",(IFERROR(INDEX(الإعدادات!$B$19:$B$22,MATCH(C130,الإعدادات!$A$19:$A$22,0)),الإعدادات!$B$3)/الإعدادات!$B$4)*L130))</f>
        <v>255</v>
      </c>
      <c r="N130" s="21">
        <f t="shared" si="3"/>
        <v>0.25490196078431371</v>
      </c>
      <c r="O130" s="19">
        <f>IF($B130="","",IF(OR(C130="امازون",L130=0),"",ROUND(F130/L130*الإعدادات!$B$4,0)))</f>
        <v>115</v>
      </c>
      <c r="P130" s="22" t="str">
        <f>IF($B130="","",IF('الإدخال اليومي'!AF104="لا يعمل","مستبعد (ترك العمل)",IF('الإدخال اليومي'!AF104="اجازه","مستبعد (اجازة)",IF(C130="امازون","امازون (شحنات)",IF(L130=0,"مستبعد (لم يعمل)",IF(F130&gt;=M130,"حقق",IF(F130&gt;=M130*الإعدادات!$B$8,"قريب","بعيد")))))))</f>
        <v>بعيد</v>
      </c>
      <c r="Q130" s="16" t="str">
        <f>IF($B130="","",TRIM('الإدخال اليومي'!H104&amp;IF(N('الإدخال اليومي'!AC104)&gt;0," | + "&amp;'الإدخال اليومي'!AC104&amp;" طلب من "&amp;'الإدخال اليومي'!AB104&amp;" (محسوبة في الإجمالي)","")))</f>
        <v>بدء العمل يوم 15 اكتوبر</v>
      </c>
      <c r="R130" s="17">
        <f t="shared" si="4"/>
        <v>1</v>
      </c>
      <c r="S130" s="17" t="str">
        <f>IF($B130="","",IF('الإدخال اليومي'!AF104="","يعمل",'الإدخال اليومي'!AF104))</f>
        <v>يعمل</v>
      </c>
    </row>
    <row r="131" spans="1:19" x14ac:dyDescent="0.3">
      <c r="A131" s="15">
        <f>IF('الإدخال اليومي'!$B105="","",IF('الإدخال اليومي'!A105="","",'الإدخال اليومي'!A105))</f>
        <v>2562666756</v>
      </c>
      <c r="B131" s="16" t="str">
        <f>IF('الإدخال اليومي'!$B105="","",IF('الإدخال اليومي'!B105="","",'الإدخال اليومي'!B105))</f>
        <v>INJAMAM UL HOQUE</v>
      </c>
      <c r="C131" s="17" t="str">
        <f>IF('الإدخال اليومي'!$B105="","",IF('الإدخال اليومي'!C105="","",'الإدخال اليومي'!C105))</f>
        <v>هنجرستيشن</v>
      </c>
      <c r="D131" s="17">
        <f>IF($B131="","",101)</f>
        <v>101</v>
      </c>
      <c r="E131" s="17" t="str">
        <f>IF('الإدخال اليومي'!$B105="","",IF('الإدخال اليومي'!AD105="","",'الإدخال اليومي'!AD105))</f>
        <v>كفالة</v>
      </c>
      <c r="F131" s="18">
        <f>IF($B131="","",'الإدخال اليومي'!I105)</f>
        <v>0</v>
      </c>
      <c r="G131" s="19" t="str">
        <f>IF($B131="","",IF(N('الإدخال اليومي'!AG105)=0,"",'الإدخال اليومي'!AG105))</f>
        <v/>
      </c>
      <c r="H131" s="17" t="str">
        <f>IF('الإدخال اليومي'!$B105="","",IF('الإدخال اليومي'!AE105="","",'الإدخال اليومي'!AE105))</f>
        <v>محمود خطاب</v>
      </c>
      <c r="I131" s="17">
        <f>IF($B131="","",IFERROR(INDEX('الإدخال اليومي'!K105:AA105,MATCH(الإعدادات!$B$2,'الإدخال اليومي'!$K$3:$AA$3,0)),0))</f>
        <v>0</v>
      </c>
      <c r="J131" s="20">
        <f>IF('الإدخال اليومي'!$B105="","",IF('الإدخال اليومي'!F105="","",'الإدخال اليومي'!F105))</f>
        <v>45382</v>
      </c>
      <c r="K131" s="17">
        <f>IF($B131="","",N('الإدخال اليومي'!G105)+MAX(0,الإعدادات!$B$2-MAX(الإعدادات!$B$10+1,N(J131))+1)-SUMPRODUCT(('الإدخال اليومي'!$L105:$AA105&gt;0)*('الإدخال اليومي'!$L$3:$AA$3&gt;=MAX(الإعدادات!$B$10+1,N(J131)))*('الإدخال اليومي'!$L$3:$AA$3&lt;=الإعدادات!$B$2)))</f>
        <v>2</v>
      </c>
      <c r="L131" s="17">
        <f>IF($B131="","",MAX(0,الإعدادات!$B$10-IF(J131="",الإعدادات!$B$9,MAX(J131,الإعدادات!$B$9))+1-N('الإدخال اليومي'!G105))+SUMPRODUCT(('الإدخال اليومي'!$L105:$AA105&gt;0)*('الإدخال اليومي'!$L$3:$AA$3&gt;=MAX(الإعدادات!$B$10+1,N(J131)))*('الإدخال اليومي'!$L$3:$AA$3&lt;=الإعدادات!$B$2)))</f>
        <v>15</v>
      </c>
      <c r="M131" s="19">
        <f>IF($B131="","",IF(C131="امازون","",(IFERROR(INDEX(الإعدادات!$B$19:$B$22,MATCH(C131,الإعدادات!$A$19:$A$22,0)),الإعدادات!$B$3)/الإعدادات!$B$4)*L131))</f>
        <v>225</v>
      </c>
      <c r="N131" s="21">
        <f t="shared" si="3"/>
        <v>0</v>
      </c>
      <c r="O131" s="19">
        <f>IF($B131="","",IF(OR(C131="امازون",L131=0),"",ROUND(F131/L131*الإعدادات!$B$4,0)))</f>
        <v>0</v>
      </c>
      <c r="P131" s="22" t="str">
        <f>IF($B131="","",IF('الإدخال اليومي'!AF105="لا يعمل","مستبعد (ترك العمل)",IF('الإدخال اليومي'!AF105="اجازه","مستبعد (اجازة)",IF(C131="امازون","امازون (شحنات)",IF(L131=0,"مستبعد (لم يعمل)",IF(F131&gt;=M131,"حقق",IF(F131&gt;=M131*الإعدادات!$B$8,"قريب","بعيد")))))))</f>
        <v>مستبعد (اجازة)</v>
      </c>
      <c r="Q131" s="16" t="str">
        <f>IF($B131="","",TRIM('الإدخال اليومي'!H105&amp;IF(N('الإدخال اليومي'!AC105)&gt;0," | + "&amp;'الإدخال اليومي'!AC105&amp;" طلب من "&amp;'الإدخال اليومي'!AB105&amp;" (محسوبة في الإجمالي)","")))</f>
        <v/>
      </c>
      <c r="R131" s="17">
        <f t="shared" si="4"/>
        <v>1</v>
      </c>
      <c r="S131" s="17" t="str">
        <f>IF($B131="","",IF('الإدخال اليومي'!AF105="","يعمل",'الإدخال اليومي'!AF105))</f>
        <v>اجازه</v>
      </c>
    </row>
    <row r="132" spans="1:19" x14ac:dyDescent="0.3">
      <c r="A132" s="15" t="str">
        <f>IF('الإدخال اليومي'!$B106="","",IF('الإدخال اليومي'!A106="","",'الإدخال اليومي'!A106))</f>
        <v/>
      </c>
      <c r="B132" s="16" t="str">
        <f>IF('الإدخال اليومي'!$B106="","",IF('الإدخال اليومي'!B106="","",'الإدخال اليومي'!B106))</f>
        <v>موسسة سعد</v>
      </c>
      <c r="C132" s="17" t="str">
        <f>IF('الإدخال اليومي'!$B106="","",IF('الإدخال اليومي'!C106="","",'الإدخال اليومي'!C106))</f>
        <v>نينجا</v>
      </c>
      <c r="D132" s="17">
        <f>IF($B132="","",102)</f>
        <v>102</v>
      </c>
      <c r="E132" s="17" t="str">
        <f>IF('الإدخال اليومي'!$B106="","",IF('الإدخال اليومي'!AD106="","",'الإدخال اليومي'!AD106))</f>
        <v>يوزرات</v>
      </c>
      <c r="F132" s="18">
        <f>IF($B132="","",'الإدخال اليومي'!I106)</f>
        <v>286</v>
      </c>
      <c r="G132" s="19" t="str">
        <f>IF($B132="","",IF(N('الإدخال اليومي'!AG106)=0,"",'الإدخال اليومي'!AG106))</f>
        <v/>
      </c>
      <c r="H132" s="17" t="str">
        <f>IF('الإدخال اليومي'!$B106="","",IF('الإدخال اليومي'!AE106="","",'الإدخال اليومي'!AE106))</f>
        <v>خالد عباس</v>
      </c>
      <c r="I132" s="17">
        <f>IF($B132="","",IFERROR(INDEX('الإدخال اليومي'!K106:AA106,MATCH(الإعدادات!$B$2,'الإدخال اليومي'!$K$3:$AA$3,0)),0))</f>
        <v>16</v>
      </c>
      <c r="J132" s="20" t="str">
        <f>IF('الإدخال اليومي'!$B106="","",IF('الإدخال اليومي'!F106="","",'الإدخال اليومي'!F106))</f>
        <v/>
      </c>
      <c r="K132" s="17">
        <f>IF($B132="","",N('الإدخال اليومي'!G106)+MAX(0,الإعدادات!$B$2-MAX(الإعدادات!$B$10+1,N(J132))+1)-SUMPRODUCT(('الإدخال اليومي'!$L106:$AA106&gt;0)*('الإدخال اليومي'!$L$3:$AA$3&gt;=MAX(الإعدادات!$B$10+1,N(J132)))*('الإدخال اليومي'!$L$3:$AA$3&lt;=الإعدادات!$B$2)))</f>
        <v>0</v>
      </c>
      <c r="L132" s="17">
        <f>IF($B132="","",MAX(0,الإعدادات!$B$10-IF(J132="",الإعدادات!$B$9,MAX(J132,الإعدادات!$B$9))+1-N('الإدخال اليومي'!G106))+SUMPRODUCT(('الإدخال اليومي'!$L106:$AA106&gt;0)*('الإدخال اليومي'!$L$3:$AA$3&gt;=MAX(الإعدادات!$B$10+1,N(J132)))*('الإدخال اليومي'!$L$3:$AA$3&lt;=الإعدادات!$B$2)))</f>
        <v>17</v>
      </c>
      <c r="M132" s="19">
        <f>IF($B132="","",IF(C132="امازون","",(IFERROR(INDEX(الإعدادات!$B$19:$B$22,MATCH(C132,الإعدادات!$A$19:$A$22,0)),الإعدادات!$B$3)/الإعدادات!$B$4)*L132))</f>
        <v>204</v>
      </c>
      <c r="N132" s="21">
        <f t="shared" si="3"/>
        <v>1.4019607843137254</v>
      </c>
      <c r="O132" s="19">
        <f>IF($B132="","",IF(OR(C132="امازون",L132=0),"",ROUND(F132/L132*الإعدادات!$B$4,0)))</f>
        <v>505</v>
      </c>
      <c r="P132" s="22" t="str">
        <f>IF($B132="","",IF('الإدخال اليومي'!AF106="لا يعمل","مستبعد (ترك العمل)",IF('الإدخال اليومي'!AF106="اجازه","مستبعد (اجازة)",IF(C132="امازون","امازون (شحنات)",IF(L132=0,"مستبعد (لم يعمل)",IF(F132&gt;=M132,"حقق",IF(F132&gt;=M132*الإعدادات!$B$8,"قريب","بعيد")))))))</f>
        <v>حقق</v>
      </c>
      <c r="Q132" s="16" t="str">
        <f>IF($B132="","",TRIM('الإدخال اليومي'!H106&amp;IF(N('الإدخال اليومي'!AC106)&gt;0," | + "&amp;'الإدخال اليومي'!AC106&amp;" طلب من "&amp;'الإدخال اليومي'!AB106&amp;" (محسوبة في الإجمالي)","")))</f>
        <v/>
      </c>
      <c r="R132" s="17">
        <f t="shared" si="4"/>
        <v>1</v>
      </c>
      <c r="S132" s="17" t="str">
        <f>IF($B132="","",IF('الإدخال اليومي'!AF106="","يعمل",'الإدخال اليومي'!AF106))</f>
        <v>يعمل</v>
      </c>
    </row>
    <row r="133" spans="1:19" x14ac:dyDescent="0.3">
      <c r="A133" s="15">
        <f>IF('الإدخال اليومي'!$B107="","",IF('الإدخال اليومي'!A107="","",'الإدخال اليومي'!A107))</f>
        <v>2599265713</v>
      </c>
      <c r="B133" s="16" t="str">
        <f>IF('الإدخال اليومي'!$B107="","",IF('الإدخال اليومي'!B107="","",'الإدخال اليومي'!B107))</f>
        <v>MD NIJAM UDDIN SHEIKH</v>
      </c>
      <c r="C133" s="17" t="str">
        <f>IF('الإدخال اليومي'!$B107="","",IF('الإدخال اليومي'!C107="","",'الإدخال اليومي'!C107))</f>
        <v>نينجا</v>
      </c>
      <c r="D133" s="17">
        <f>IF($B133="","",103)</f>
        <v>103</v>
      </c>
      <c r="E133" s="17" t="str">
        <f>IF('الإدخال اليومي'!$B107="","",IF('الإدخال اليومي'!AD107="","",'الإدخال اليومي'!AD107))</f>
        <v>فري لانسر</v>
      </c>
      <c r="F133" s="18">
        <f>IF($B133="","",'الإدخال اليومي'!I107)</f>
        <v>259</v>
      </c>
      <c r="G133" s="19" t="str">
        <f>IF($B133="","",IF(N('الإدخال اليومي'!AG107)=0,"",'الإدخال اليومي'!AG107))</f>
        <v/>
      </c>
      <c r="H133" s="17" t="str">
        <f>IF('الإدخال اليومي'!$B107="","",IF('الإدخال اليومي'!AE107="","",'الإدخال اليومي'!AE107))</f>
        <v>خالد عباس</v>
      </c>
      <c r="I133" s="17">
        <f>IF($B133="","",IFERROR(INDEX('الإدخال اليومي'!K107:AA107,MATCH(الإعدادات!$B$2,'الإدخال اليومي'!$K$3:$AA$3,0)),0))</f>
        <v>20</v>
      </c>
      <c r="J133" s="20">
        <f>IF('الإدخال اليومي'!$B107="","",IF('الإدخال اليومي'!F107="","",'الإدخال اليومي'!F107))</f>
        <v>46292</v>
      </c>
      <c r="K133" s="17">
        <f>IF($B133="","",N('الإدخال اليومي'!G107)+MAX(0,الإعدادات!$B$2-MAX(الإعدادات!$B$10+1,N(J133))+1)-SUMPRODUCT(('الإدخال اليومي'!$L107:$AA107&gt;0)*('الإدخال اليومي'!$L$3:$AA$3&gt;=MAX(الإعدادات!$B$10+1,N(J133)))*('الإدخال اليومي'!$L$3:$AA$3&lt;=الإعدادات!$B$2)))</f>
        <v>0</v>
      </c>
      <c r="L133" s="17">
        <f>IF($B133="","",MAX(0,الإعدادات!$B$10-IF(J133="",الإعدادات!$B$9,MAX(J133,الإعدادات!$B$9))+1-N('الإدخال اليومي'!G107))+SUMPRODUCT(('الإدخال اليومي'!$L107:$AA107&gt;0)*('الإدخال اليومي'!$L$3:$AA$3&gt;=MAX(الإعدادات!$B$10+1,N(J133)))*('الإدخال اليومي'!$L$3:$AA$3&lt;=الإعدادات!$B$2)))</f>
        <v>17</v>
      </c>
      <c r="M133" s="19">
        <f>IF($B133="","",IF(C133="امازون","",(IFERROR(INDEX(الإعدادات!$B$19:$B$22,MATCH(C133,الإعدادات!$A$19:$A$22,0)),الإعدادات!$B$3)/الإعدادات!$B$4)*L133))</f>
        <v>204</v>
      </c>
      <c r="N133" s="21">
        <f t="shared" si="3"/>
        <v>1.2696078431372548</v>
      </c>
      <c r="O133" s="19">
        <f>IF($B133="","",IF(OR(C133="امازون",L133=0),"",ROUND(F133/L133*الإعدادات!$B$4,0)))</f>
        <v>457</v>
      </c>
      <c r="P133" s="22" t="str">
        <f>IF($B133="","",IF('الإدخال اليومي'!AF107="لا يعمل","مستبعد (ترك العمل)",IF('الإدخال اليومي'!AF107="اجازه","مستبعد (اجازة)",IF(C133="امازون","امازون (شحنات)",IF(L133=0,"مستبعد (لم يعمل)",IF(F133&gt;=M133,"حقق",IF(F133&gt;=M133*الإعدادات!$B$8,"قريب","بعيد")))))))</f>
        <v>حقق</v>
      </c>
      <c r="Q133" s="16" t="str">
        <f>IF($B133="","",TRIM('الإدخال اليومي'!H107&amp;IF(N('الإدخال اليومي'!AC107)&gt;0," | + "&amp;'الإدخال اليومي'!AC107&amp;" طلب من "&amp;'الإدخال اليومي'!AB107&amp;" (محسوبة في الإجمالي)","")))</f>
        <v>دباب الشركة</v>
      </c>
      <c r="R133" s="17">
        <f t="shared" si="4"/>
        <v>1</v>
      </c>
      <c r="S133" s="17" t="str">
        <f>IF($B133="","",IF('الإدخال اليومي'!AF107="","يعمل",'الإدخال اليومي'!AF107))</f>
        <v>يعمل</v>
      </c>
    </row>
    <row r="134" spans="1:19" x14ac:dyDescent="0.3">
      <c r="A134" s="15">
        <f>IF('الإدخال اليومي'!$B108="","",IF('الإدخال اليومي'!A108="","",'الإدخال اليومي'!A108))</f>
        <v>2644024677</v>
      </c>
      <c r="B134" s="16" t="str">
        <f>IF('الإدخال اليومي'!$B108="","",IF('الإدخال اليومي'!B108="","",'الإدخال اليومي'!B108))</f>
        <v>MOHAMMAD ABUL KALAM</v>
      </c>
      <c r="C134" s="17" t="str">
        <f>IF('الإدخال اليومي'!$B108="","",IF('الإدخال اليومي'!C108="","",'الإدخال اليومي'!C108))</f>
        <v>نينجا</v>
      </c>
      <c r="D134" s="17">
        <f>IF($B134="","",104)</f>
        <v>104</v>
      </c>
      <c r="E134" s="17" t="str">
        <f>IF('الإدخال اليومي'!$B108="","",IF('الإدخال اليومي'!AD108="","",'الإدخال اليومي'!AD108))</f>
        <v>فري لانسر</v>
      </c>
      <c r="F134" s="18">
        <f>IF($B134="","",'الإدخال اليومي'!I108)</f>
        <v>225</v>
      </c>
      <c r="G134" s="19" t="str">
        <f>IF($B134="","",IF(N('الإدخال اليومي'!AG108)=0,"",'الإدخال اليومي'!AG108))</f>
        <v/>
      </c>
      <c r="H134" s="17" t="str">
        <f>IF('الإدخال اليومي'!$B108="","",IF('الإدخال اليومي'!AE108="","",'الإدخال اليومي'!AE108))</f>
        <v>خالد عباس</v>
      </c>
      <c r="I134" s="17">
        <f>IF($B134="","",IFERROR(INDEX('الإدخال اليومي'!K108:AA108,MATCH(الإعدادات!$B$2,'الإدخال اليومي'!$K$3:$AA$3,0)),0))</f>
        <v>21</v>
      </c>
      <c r="J134" s="20">
        <f>IF('الإدخال اليومي'!$B108="","",IF('الإدخال اليومي'!F108="","",'الإدخال اليومي'!F108))</f>
        <v>46289</v>
      </c>
      <c r="K134" s="17">
        <f>IF($B134="","",N('الإدخال اليومي'!G108)+MAX(0,الإعدادات!$B$2-MAX(الإعدادات!$B$10+1,N(J134))+1)-SUMPRODUCT(('الإدخال اليومي'!$L108:$AA108&gt;0)*('الإدخال اليومي'!$L$3:$AA$3&gt;=MAX(الإعدادات!$B$10+1,N(J134)))*('الإدخال اليومي'!$L$3:$AA$3&lt;=الإعدادات!$B$2)))</f>
        <v>0</v>
      </c>
      <c r="L134" s="17">
        <f>IF($B134="","",MAX(0,الإعدادات!$B$10-IF(J134="",الإعدادات!$B$9,MAX(J134,الإعدادات!$B$9))+1-N('الإدخال اليومي'!G108))+SUMPRODUCT(('الإدخال اليومي'!$L108:$AA108&gt;0)*('الإدخال اليومي'!$L$3:$AA$3&gt;=MAX(الإعدادات!$B$10+1,N(J134)))*('الإدخال اليومي'!$L$3:$AA$3&lt;=الإعدادات!$B$2)))</f>
        <v>17</v>
      </c>
      <c r="M134" s="19">
        <f>IF($B134="","",IF(C134="امازون","",(IFERROR(INDEX(الإعدادات!$B$19:$B$22,MATCH(C134,الإعدادات!$A$19:$A$22,0)),الإعدادات!$B$3)/الإعدادات!$B$4)*L134))</f>
        <v>204</v>
      </c>
      <c r="N134" s="21">
        <f t="shared" si="3"/>
        <v>1.1029411764705883</v>
      </c>
      <c r="O134" s="19">
        <f>IF($B134="","",IF(OR(C134="امازون",L134=0),"",ROUND(F134/L134*الإعدادات!$B$4,0)))</f>
        <v>397</v>
      </c>
      <c r="P134" s="22" t="str">
        <f>IF($B134="","",IF('الإدخال اليومي'!AF108="لا يعمل","مستبعد (ترك العمل)",IF('الإدخال اليومي'!AF108="اجازه","مستبعد (اجازة)",IF(C134="امازون","امازون (شحنات)",IF(L134=0,"مستبعد (لم يعمل)",IF(F134&gt;=M134,"حقق",IF(F134&gt;=M134*الإعدادات!$B$8,"قريب","بعيد")))))))</f>
        <v>حقق</v>
      </c>
      <c r="Q134" s="16" t="str">
        <f>IF($B134="","",TRIM('الإدخال اليومي'!H108&amp;IF(N('الإدخال اليومي'!AC108)&gt;0," | + "&amp;'الإدخال اليومي'!AC108&amp;" طلب من "&amp;'الإدخال اليومي'!AB108&amp;" (محسوبة في الإجمالي)","")))</f>
        <v>دباب الشركة</v>
      </c>
      <c r="R134" s="17">
        <f t="shared" si="4"/>
        <v>1</v>
      </c>
      <c r="S134" s="17" t="str">
        <f>IF($B134="","",IF('الإدخال اليومي'!AF108="","يعمل",'الإدخال اليومي'!AF108))</f>
        <v>يعمل</v>
      </c>
    </row>
    <row r="135" spans="1:19" x14ac:dyDescent="0.3">
      <c r="A135" s="15" t="str">
        <f>IF('الإدخال اليومي'!$B109="","",IF('الإدخال اليومي'!A109="","",'الإدخال اليومي'!A109))</f>
        <v/>
      </c>
      <c r="B135" s="16" t="str">
        <f>IF('الإدخال اليومي'!$B109="","",IF('الإدخال اليومي'!B109="","",'الإدخال اليومي'!B109))</f>
        <v>مهدى حسن</v>
      </c>
      <c r="C135" s="17" t="str">
        <f>IF('الإدخال اليومي'!$B109="","",IF('الإدخال اليومي'!C109="","",'الإدخال اليومي'!C109))</f>
        <v>نينجا</v>
      </c>
      <c r="D135" s="17">
        <f>IF($B135="","",105)</f>
        <v>105</v>
      </c>
      <c r="E135" s="17" t="str">
        <f>IF('الإدخال اليومي'!$B109="","",IF('الإدخال اليومي'!AD109="","",'الإدخال اليومي'!AD109))</f>
        <v>يوزرات</v>
      </c>
      <c r="F135" s="18">
        <f>IF($B135="","",'الإدخال اليومي'!I109)</f>
        <v>208</v>
      </c>
      <c r="G135" s="19" t="str">
        <f>IF($B135="","",IF(N('الإدخال اليومي'!AG109)=0,"",'الإدخال اليومي'!AG109))</f>
        <v/>
      </c>
      <c r="H135" s="17" t="str">
        <f>IF('الإدخال اليومي'!$B109="","",IF('الإدخال اليومي'!AE109="","",'الإدخال اليومي'!AE109))</f>
        <v>خالد عباس</v>
      </c>
      <c r="I135" s="17">
        <f>IF($B135="","",IFERROR(INDEX('الإدخال اليومي'!K109:AA109,MATCH(الإعدادات!$B$2,'الإدخال اليومي'!$K$3:$AA$3,0)),0))</f>
        <v>21</v>
      </c>
      <c r="J135" s="20" t="str">
        <f>IF('الإدخال اليومي'!$B109="","",IF('الإدخال اليومي'!F109="","",'الإدخال اليومي'!F109))</f>
        <v/>
      </c>
      <c r="K135" s="17">
        <f>IF($B135="","",N('الإدخال اليومي'!G109)+MAX(0,الإعدادات!$B$2-MAX(الإعدادات!$B$10+1,N(J135))+1)-SUMPRODUCT(('الإدخال اليومي'!$L109:$AA109&gt;0)*('الإدخال اليومي'!$L$3:$AA$3&gt;=MAX(الإعدادات!$B$10+1,N(J135)))*('الإدخال اليومي'!$L$3:$AA$3&lt;=الإعدادات!$B$2)))</f>
        <v>0</v>
      </c>
      <c r="L135" s="17">
        <f>IF($B135="","",MAX(0,الإعدادات!$B$10-IF(J135="",الإعدادات!$B$9,MAX(J135,الإعدادات!$B$9))+1-N('الإدخال اليومي'!G109))+SUMPRODUCT(('الإدخال اليومي'!$L109:$AA109&gt;0)*('الإدخال اليومي'!$L$3:$AA$3&gt;=MAX(الإعدادات!$B$10+1,N(J135)))*('الإدخال اليومي'!$L$3:$AA$3&lt;=الإعدادات!$B$2)))</f>
        <v>17</v>
      </c>
      <c r="M135" s="19">
        <f>IF($B135="","",IF(C135="امازون","",(IFERROR(INDEX(الإعدادات!$B$19:$B$22,MATCH(C135,الإعدادات!$A$19:$A$22,0)),الإعدادات!$B$3)/الإعدادات!$B$4)*L135))</f>
        <v>204</v>
      </c>
      <c r="N135" s="21">
        <f t="shared" si="3"/>
        <v>1.0196078431372548</v>
      </c>
      <c r="O135" s="19">
        <f>IF($B135="","",IF(OR(C135="امازون",L135=0),"",ROUND(F135/L135*الإعدادات!$B$4,0)))</f>
        <v>367</v>
      </c>
      <c r="P135" s="22" t="str">
        <f>IF($B135="","",IF('الإدخال اليومي'!AF109="لا يعمل","مستبعد (ترك العمل)",IF('الإدخال اليومي'!AF109="اجازه","مستبعد (اجازة)",IF(C135="امازون","امازون (شحنات)",IF(L135=0,"مستبعد (لم يعمل)",IF(F135&gt;=M135,"حقق",IF(F135&gt;=M135*الإعدادات!$B$8,"قريب","بعيد")))))))</f>
        <v>حقق</v>
      </c>
      <c r="Q135" s="16" t="str">
        <f>IF($B135="","",TRIM('الإدخال اليومي'!H109&amp;IF(N('الإدخال اليومي'!AC109)&gt;0," | + "&amp;'الإدخال اليومي'!AC109&amp;" طلب من "&amp;'الإدخال اليومي'!AB109&amp;" (محسوبة في الإجمالي)","")))</f>
        <v/>
      </c>
      <c r="R135" s="17">
        <f t="shared" si="4"/>
        <v>1</v>
      </c>
      <c r="S135" s="17" t="str">
        <f>IF($B135="","",IF('الإدخال اليومي'!AF109="","يعمل",'الإدخال اليومي'!AF109))</f>
        <v>يعمل</v>
      </c>
    </row>
    <row r="136" spans="1:19" x14ac:dyDescent="0.3">
      <c r="A136" s="15">
        <f>IF('الإدخال اليومي'!$B110="","",IF('الإدخال اليومي'!A110="","",'الإدخال اليومي'!A110))</f>
        <v>2562205704</v>
      </c>
      <c r="B136" s="16" t="str">
        <f>IF('الإدخال اليومي'!$B110="","",IF('الإدخال اليومي'!B110="","",'الإدخال اليومي'!B110))</f>
        <v>محمد ظافر الله محمد</v>
      </c>
      <c r="C136" s="17" t="str">
        <f>IF('الإدخال اليومي'!$B110="","",IF('الإدخال اليومي'!C110="","",'الإدخال اليومي'!C110))</f>
        <v>نينجا</v>
      </c>
      <c r="D136" s="17">
        <f>IF($B136="","",106)</f>
        <v>106</v>
      </c>
      <c r="E136" s="17" t="str">
        <f>IF('الإدخال اليومي'!$B110="","",IF('الإدخال اليومي'!AD110="","",'الإدخال اليومي'!AD110))</f>
        <v>فري لانسر</v>
      </c>
      <c r="F136" s="18">
        <f>IF($B136="","",'الإدخال اليومي'!I110)</f>
        <v>200</v>
      </c>
      <c r="G136" s="19" t="str">
        <f>IF($B136="","",IF(N('الإدخال اليومي'!AG110)=0,"",'الإدخال اليومي'!AG110))</f>
        <v/>
      </c>
      <c r="H136" s="17" t="str">
        <f>IF('الإدخال اليومي'!$B110="","",IF('الإدخال اليومي'!AE110="","",'الإدخال اليومي'!AE110))</f>
        <v>خالد عباس</v>
      </c>
      <c r="I136" s="17">
        <f>IF($B136="","",IFERROR(INDEX('الإدخال اليومي'!K110:AA110,MATCH(الإعدادات!$B$2,'الإدخال اليومي'!$K$3:$AA$3,0)),0))</f>
        <v>13</v>
      </c>
      <c r="J136" s="20">
        <f>IF('الإدخال اليومي'!$B110="","",IF('الإدخال اليومي'!F110="","",'الإدخال اليومي'!F110))</f>
        <v>46204</v>
      </c>
      <c r="K136" s="17">
        <f>IF($B136="","",N('الإدخال اليومي'!G110)+MAX(0,الإعدادات!$B$2-MAX(الإعدادات!$B$10+1,N(J136))+1)-SUMPRODUCT(('الإدخال اليومي'!$L110:$AA110&gt;0)*('الإدخال اليومي'!$L$3:$AA$3&gt;=MAX(الإعدادات!$B$10+1,N(J136)))*('الإدخال اليومي'!$L$3:$AA$3&lt;=الإعدادات!$B$2)))</f>
        <v>0</v>
      </c>
      <c r="L136" s="17">
        <f>IF($B136="","",MAX(0,الإعدادات!$B$10-IF(J136="",الإعدادات!$B$9,MAX(J136,الإعدادات!$B$9))+1-N('الإدخال اليومي'!G110))+SUMPRODUCT(('الإدخال اليومي'!$L110:$AA110&gt;0)*('الإدخال اليومي'!$L$3:$AA$3&gt;=MAX(الإعدادات!$B$10+1,N(J136)))*('الإدخال اليومي'!$L$3:$AA$3&lt;=الإعدادات!$B$2)))</f>
        <v>17</v>
      </c>
      <c r="M136" s="19">
        <f>IF($B136="","",IF(C136="امازون","",(IFERROR(INDEX(الإعدادات!$B$19:$B$22,MATCH(C136,الإعدادات!$A$19:$A$22,0)),الإعدادات!$B$3)/الإعدادات!$B$4)*L136))</f>
        <v>204</v>
      </c>
      <c r="N136" s="21">
        <f t="shared" si="3"/>
        <v>0.98039215686274506</v>
      </c>
      <c r="O136" s="19">
        <f>IF($B136="","",IF(OR(C136="امازون",L136=0),"",ROUND(F136/L136*الإعدادات!$B$4,0)))</f>
        <v>353</v>
      </c>
      <c r="P136" s="22" t="str">
        <f>IF($B136="","",IF('الإدخال اليومي'!AF110="لا يعمل","مستبعد (ترك العمل)",IF('الإدخال اليومي'!AF110="اجازه","مستبعد (اجازة)",IF(C136="امازون","امازون (شحنات)",IF(L136=0,"مستبعد (لم يعمل)",IF(F136&gt;=M136,"حقق",IF(F136&gt;=M136*الإعدادات!$B$8,"قريب","بعيد")))))))</f>
        <v>قريب</v>
      </c>
      <c r="Q136" s="16" t="str">
        <f>IF($B136="","",TRIM('الإدخال اليومي'!H110&amp;IF(N('الإدخال اليومي'!AC110)&gt;0," | + "&amp;'الإدخال اليومي'!AC110&amp;" طلب من "&amp;'الإدخال اليومي'!AB110&amp;" (محسوبة في الإجمالي)","")))</f>
        <v>دباب الشركة</v>
      </c>
      <c r="R136" s="17">
        <f t="shared" si="4"/>
        <v>1</v>
      </c>
      <c r="S136" s="17" t="str">
        <f>IF($B136="","",IF('الإدخال اليومي'!AF110="","يعمل",'الإدخال اليومي'!AF110))</f>
        <v>يعمل</v>
      </c>
    </row>
    <row r="137" spans="1:19" x14ac:dyDescent="0.3">
      <c r="A137" s="15">
        <f>IF('الإدخال اليومي'!$B111="","",IF('الإدخال اليومي'!A111="","",'الإدخال اليومي'!A111))</f>
        <v>2585884493</v>
      </c>
      <c r="B137" s="16" t="str">
        <f>IF('الإدخال اليومي'!$B111="","",IF('الإدخال اليومي'!B111="","",'الإدخال اليومي'!B111))</f>
        <v>MD ANOWAR HOSSEN</v>
      </c>
      <c r="C137" s="17" t="str">
        <f>IF('الإدخال اليومي'!$B111="","",IF('الإدخال اليومي'!C111="","",'الإدخال اليومي'!C111))</f>
        <v>نينجا</v>
      </c>
      <c r="D137" s="17">
        <f>IF($B137="","",107)</f>
        <v>107</v>
      </c>
      <c r="E137" s="17" t="str">
        <f>IF('الإدخال اليومي'!$B111="","",IF('الإدخال اليومي'!AD111="","",'الإدخال اليومي'!AD111))</f>
        <v>فري لانسر</v>
      </c>
      <c r="F137" s="18">
        <f>IF($B137="","",'الإدخال اليومي'!I111)</f>
        <v>207</v>
      </c>
      <c r="G137" s="19" t="str">
        <f>IF($B137="","",IF(N('الإدخال اليومي'!AG111)=0,"",'الإدخال اليومي'!AG111))</f>
        <v/>
      </c>
      <c r="H137" s="17" t="str">
        <f>IF('الإدخال اليومي'!$B111="","",IF('الإدخال اليومي'!AE111="","",'الإدخال اليومي'!AE111))</f>
        <v>خالد عباس</v>
      </c>
      <c r="I137" s="17">
        <f>IF($B137="","",IFERROR(INDEX('الإدخال اليومي'!K111:AA111,MATCH(الإعدادات!$B$2,'الإدخال اليومي'!$K$3:$AA$3,0)),0))</f>
        <v>25</v>
      </c>
      <c r="J137" s="20">
        <f>IF('الإدخال اليومي'!$B111="","",IF('الإدخال اليومي'!F111="","",'الإدخال اليومي'!F111))</f>
        <v>46290</v>
      </c>
      <c r="K137" s="17">
        <f>IF($B137="","",N('الإدخال اليومي'!G111)+MAX(0,الإعدادات!$B$2-MAX(الإعدادات!$B$10+1,N(J137))+1)-SUMPRODUCT(('الإدخال اليومي'!$L111:$AA111&gt;0)*('الإدخال اليومي'!$L$3:$AA$3&gt;=MAX(الإعدادات!$B$10+1,N(J137)))*('الإدخال اليومي'!$L$3:$AA$3&lt;=الإعدادات!$B$2)))</f>
        <v>0</v>
      </c>
      <c r="L137" s="17">
        <f>IF($B137="","",MAX(0,الإعدادات!$B$10-IF(J137="",الإعدادات!$B$9,MAX(J137,الإعدادات!$B$9))+1-N('الإدخال اليومي'!G111))+SUMPRODUCT(('الإدخال اليومي'!$L111:$AA111&gt;0)*('الإدخال اليومي'!$L$3:$AA$3&gt;=MAX(الإعدادات!$B$10+1,N(J137)))*('الإدخال اليومي'!$L$3:$AA$3&lt;=الإعدادات!$B$2)))</f>
        <v>17</v>
      </c>
      <c r="M137" s="19">
        <f>IF($B137="","",IF(C137="امازون","",(IFERROR(INDEX(الإعدادات!$B$19:$B$22,MATCH(C137,الإعدادات!$A$19:$A$22,0)),الإعدادات!$B$3)/الإعدادات!$B$4)*L137))</f>
        <v>204</v>
      </c>
      <c r="N137" s="21">
        <f t="shared" si="3"/>
        <v>1.0147058823529411</v>
      </c>
      <c r="O137" s="19">
        <f>IF($B137="","",IF(OR(C137="امازون",L137=0),"",ROUND(F137/L137*الإعدادات!$B$4,0)))</f>
        <v>365</v>
      </c>
      <c r="P137" s="22" t="str">
        <f>IF($B137="","",IF('الإدخال اليومي'!AF111="لا يعمل","مستبعد (ترك العمل)",IF('الإدخال اليومي'!AF111="اجازه","مستبعد (اجازة)",IF(C137="امازون","امازون (شحنات)",IF(L137=0,"مستبعد (لم يعمل)",IF(F137&gt;=M137,"حقق",IF(F137&gt;=M137*الإعدادات!$B$8,"قريب","بعيد")))))))</f>
        <v>حقق</v>
      </c>
      <c r="Q137" s="16" t="str">
        <f>IF($B137="","",TRIM('الإدخال اليومي'!H111&amp;IF(N('الإدخال اليومي'!AC111)&gt;0," | + "&amp;'الإدخال اليومي'!AC111&amp;" طلب من "&amp;'الإدخال اليومي'!AB111&amp;" (محسوبة في الإجمالي)","")))</f>
        <v>دباب الشركة</v>
      </c>
      <c r="R137" s="17">
        <f t="shared" si="4"/>
        <v>1</v>
      </c>
      <c r="S137" s="17" t="str">
        <f>IF($B137="","",IF('الإدخال اليومي'!AF111="","يعمل",'الإدخال اليومي'!AF111))</f>
        <v>يعمل</v>
      </c>
    </row>
    <row r="138" spans="1:19" x14ac:dyDescent="0.3">
      <c r="A138" s="15" t="str">
        <f>IF('الإدخال اليومي'!$B112="","",IF('الإدخال اليومي'!A112="","",'الإدخال اليومي'!A112))</f>
        <v/>
      </c>
      <c r="B138" s="16" t="str">
        <f>IF('الإدخال اليومي'!$B112="","",IF('الإدخال اليومي'!B112="","",'الإدخال اليومي'!B112))</f>
        <v>شريف ميا</v>
      </c>
      <c r="C138" s="17" t="str">
        <f>IF('الإدخال اليومي'!$B112="","",IF('الإدخال اليومي'!C112="","",'الإدخال اليومي'!C112))</f>
        <v>نينجا</v>
      </c>
      <c r="D138" s="17">
        <f>IF($B138="","",108)</f>
        <v>108</v>
      </c>
      <c r="E138" s="17" t="str">
        <f>IF('الإدخال اليومي'!$B112="","",IF('الإدخال اليومي'!AD112="","",'الإدخال اليومي'!AD112))</f>
        <v>يوزرات</v>
      </c>
      <c r="F138" s="18">
        <f>IF($B138="","",'الإدخال اليومي'!I112)</f>
        <v>185</v>
      </c>
      <c r="G138" s="19" t="str">
        <f>IF($B138="","",IF(N('الإدخال اليومي'!AG112)=0,"",'الإدخال اليومي'!AG112))</f>
        <v/>
      </c>
      <c r="H138" s="17" t="str">
        <f>IF('الإدخال اليومي'!$B112="","",IF('الإدخال اليومي'!AE112="","",'الإدخال اليومي'!AE112))</f>
        <v>خالد عباس</v>
      </c>
      <c r="I138" s="17">
        <f>IF($B138="","",IFERROR(INDEX('الإدخال اليومي'!K112:AA112,MATCH(الإعدادات!$B$2,'الإدخال اليومي'!$K$3:$AA$3,0)),0))</f>
        <v>19</v>
      </c>
      <c r="J138" s="20" t="str">
        <f>IF('الإدخال اليومي'!$B112="","",IF('الإدخال اليومي'!F112="","",'الإدخال اليومي'!F112))</f>
        <v/>
      </c>
      <c r="K138" s="17">
        <f>IF($B138="","",N('الإدخال اليومي'!G112)+MAX(0,الإعدادات!$B$2-MAX(الإعدادات!$B$10+1,N(J138))+1)-SUMPRODUCT(('الإدخال اليومي'!$L112:$AA112&gt;0)*('الإدخال اليومي'!$L$3:$AA$3&gt;=MAX(الإعدادات!$B$10+1,N(J138)))*('الإدخال اليومي'!$L$3:$AA$3&lt;=الإعدادات!$B$2)))</f>
        <v>0</v>
      </c>
      <c r="L138" s="17">
        <f>IF($B138="","",MAX(0,الإعدادات!$B$10-IF(J138="",الإعدادات!$B$9,MAX(J138,الإعدادات!$B$9))+1-N('الإدخال اليومي'!G112))+SUMPRODUCT(('الإدخال اليومي'!$L112:$AA112&gt;0)*('الإدخال اليومي'!$L$3:$AA$3&gt;=MAX(الإعدادات!$B$10+1,N(J138)))*('الإدخال اليومي'!$L$3:$AA$3&lt;=الإعدادات!$B$2)))</f>
        <v>17</v>
      </c>
      <c r="M138" s="19">
        <f>IF($B138="","",IF(C138="امازون","",(IFERROR(INDEX(الإعدادات!$B$19:$B$22,MATCH(C138,الإعدادات!$A$19:$A$22,0)),الإعدادات!$B$3)/الإعدادات!$B$4)*L138))</f>
        <v>204</v>
      </c>
      <c r="N138" s="21">
        <f t="shared" si="3"/>
        <v>0.90686274509803921</v>
      </c>
      <c r="O138" s="19">
        <f>IF($B138="","",IF(OR(C138="امازون",L138=0),"",ROUND(F138/L138*الإعدادات!$B$4,0)))</f>
        <v>326</v>
      </c>
      <c r="P138" s="22" t="str">
        <f>IF($B138="","",IF('الإدخال اليومي'!AF112="لا يعمل","مستبعد (ترك العمل)",IF('الإدخال اليومي'!AF112="اجازه","مستبعد (اجازة)",IF(C138="امازون","امازون (شحنات)",IF(L138=0,"مستبعد (لم يعمل)",IF(F138&gt;=M138,"حقق",IF(F138&gt;=M138*الإعدادات!$B$8,"قريب","بعيد")))))))</f>
        <v>قريب</v>
      </c>
      <c r="Q138" s="16" t="str">
        <f>IF($B138="","",TRIM('الإدخال اليومي'!H112&amp;IF(N('الإدخال اليومي'!AC112)&gt;0," | + "&amp;'الإدخال اليومي'!AC112&amp;" طلب من "&amp;'الإدخال اليومي'!AB112&amp;" (محسوبة في الإجمالي)","")))</f>
        <v/>
      </c>
      <c r="R138" s="17">
        <f t="shared" si="4"/>
        <v>1</v>
      </c>
      <c r="S138" s="17" t="str">
        <f>IF($B138="","",IF('الإدخال اليومي'!AF112="","يعمل",'الإدخال اليومي'!AF112))</f>
        <v>يعمل</v>
      </c>
    </row>
    <row r="139" spans="1:19" x14ac:dyDescent="0.3">
      <c r="A139" s="15" t="str">
        <f>IF('الإدخال اليومي'!$B113="","",IF('الإدخال اليومي'!A113="","",'الإدخال اليومي'!A113))</f>
        <v/>
      </c>
      <c r="B139" s="16" t="str">
        <f>IF('الإدخال اليومي'!$B113="","",IF('الإدخال اليومي'!B113="","",'الإدخال اليومي'!B113))</f>
        <v>مد جاميدار ميا</v>
      </c>
      <c r="C139" s="17" t="str">
        <f>IF('الإدخال اليومي'!$B113="","",IF('الإدخال اليومي'!C113="","",'الإدخال اليومي'!C113))</f>
        <v>نينجا</v>
      </c>
      <c r="D139" s="17">
        <f>IF($B139="","",109)</f>
        <v>109</v>
      </c>
      <c r="E139" s="17" t="str">
        <f>IF('الإدخال اليومي'!$B113="","",IF('الإدخال اليومي'!AD113="","",'الإدخال اليومي'!AD113))</f>
        <v>يوزرات</v>
      </c>
      <c r="F139" s="18">
        <f>IF($B139="","",'الإدخال اليومي'!I113)</f>
        <v>185</v>
      </c>
      <c r="G139" s="19" t="str">
        <f>IF($B139="","",IF(N('الإدخال اليومي'!AG113)=0,"",'الإدخال اليومي'!AG113))</f>
        <v/>
      </c>
      <c r="H139" s="17" t="str">
        <f>IF('الإدخال اليومي'!$B113="","",IF('الإدخال اليومي'!AE113="","",'الإدخال اليومي'!AE113))</f>
        <v>خالد عباس</v>
      </c>
      <c r="I139" s="17">
        <f>IF($B139="","",IFERROR(INDEX('الإدخال اليومي'!K113:AA113,MATCH(الإعدادات!$B$2,'الإدخال اليومي'!$K$3:$AA$3,0)),0))</f>
        <v>28</v>
      </c>
      <c r="J139" s="20" t="str">
        <f>IF('الإدخال اليومي'!$B113="","",IF('الإدخال اليومي'!F113="","",'الإدخال اليومي'!F113))</f>
        <v/>
      </c>
      <c r="K139" s="17">
        <f>IF($B139="","",N('الإدخال اليومي'!G113)+MAX(0,الإعدادات!$B$2-MAX(الإعدادات!$B$10+1,N(J139))+1)-SUMPRODUCT(('الإدخال اليومي'!$L113:$AA113&gt;0)*('الإدخال اليومي'!$L$3:$AA$3&gt;=MAX(الإعدادات!$B$10+1,N(J139)))*('الإدخال اليومي'!$L$3:$AA$3&lt;=الإعدادات!$B$2)))</f>
        <v>0</v>
      </c>
      <c r="L139" s="17">
        <f>IF($B139="","",MAX(0,الإعدادات!$B$10-IF(J139="",الإعدادات!$B$9,MAX(J139,الإعدادات!$B$9))+1-N('الإدخال اليومي'!G113))+SUMPRODUCT(('الإدخال اليومي'!$L113:$AA113&gt;0)*('الإدخال اليومي'!$L$3:$AA$3&gt;=MAX(الإعدادات!$B$10+1,N(J139)))*('الإدخال اليومي'!$L$3:$AA$3&lt;=الإعدادات!$B$2)))</f>
        <v>17</v>
      </c>
      <c r="M139" s="19">
        <f>IF($B139="","",IF(C139="امازون","",(IFERROR(INDEX(الإعدادات!$B$19:$B$22,MATCH(C139,الإعدادات!$A$19:$A$22,0)),الإعدادات!$B$3)/الإعدادات!$B$4)*L139))</f>
        <v>204</v>
      </c>
      <c r="N139" s="21">
        <f t="shared" si="3"/>
        <v>0.90686274509803921</v>
      </c>
      <c r="O139" s="19">
        <f>IF($B139="","",IF(OR(C139="امازون",L139=0),"",ROUND(F139/L139*الإعدادات!$B$4,0)))</f>
        <v>326</v>
      </c>
      <c r="P139" s="22" t="str">
        <f>IF($B139="","",IF('الإدخال اليومي'!AF113="لا يعمل","مستبعد (ترك العمل)",IF('الإدخال اليومي'!AF113="اجازه","مستبعد (اجازة)",IF(C139="امازون","امازون (شحنات)",IF(L139=0,"مستبعد (لم يعمل)",IF(F139&gt;=M139,"حقق",IF(F139&gt;=M139*الإعدادات!$B$8,"قريب","بعيد")))))))</f>
        <v>قريب</v>
      </c>
      <c r="Q139" s="16" t="str">
        <f>IF($B139="","",TRIM('الإدخال اليومي'!H113&amp;IF(N('الإدخال اليومي'!AC113)&gt;0," | + "&amp;'الإدخال اليومي'!AC113&amp;" طلب من "&amp;'الإدخال اليومي'!AB113&amp;" (محسوبة في الإجمالي)","")))</f>
        <v/>
      </c>
      <c r="R139" s="17">
        <f t="shared" si="4"/>
        <v>1</v>
      </c>
      <c r="S139" s="17" t="str">
        <f>IF($B139="","",IF('الإدخال اليومي'!AF113="","يعمل",'الإدخال اليومي'!AF113))</f>
        <v>يعمل</v>
      </c>
    </row>
    <row r="140" spans="1:19" x14ac:dyDescent="0.3">
      <c r="A140" s="15">
        <f>IF('الإدخال اليومي'!$B114="","",IF('الإدخال اليومي'!A114="","",'الإدخال اليومي'!A114))</f>
        <v>2499635379</v>
      </c>
      <c r="B140" s="16" t="str">
        <f>IF('الإدخال اليومي'!$B114="","",IF('الإدخال اليومي'!B114="","",'الإدخال اليومي'!B114))</f>
        <v>حبيب الرحمن</v>
      </c>
      <c r="C140" s="17" t="str">
        <f>IF('الإدخال اليومي'!$B114="","",IF('الإدخال اليومي'!C114="","",'الإدخال اليومي'!C114))</f>
        <v>نينجا</v>
      </c>
      <c r="D140" s="17">
        <f>IF($B140="","",110)</f>
        <v>110</v>
      </c>
      <c r="E140" s="17" t="str">
        <f>IF('الإدخال اليومي'!$B114="","",IF('الإدخال اليومي'!AD114="","",'الإدخال اليومي'!AD114))</f>
        <v>يوزرات</v>
      </c>
      <c r="F140" s="18">
        <f>IF($B140="","",'الإدخال اليومي'!I114)</f>
        <v>142</v>
      </c>
      <c r="G140" s="19" t="str">
        <f>IF($B140="","",IF(N('الإدخال اليومي'!AG114)=0,"",'الإدخال اليومي'!AG114))</f>
        <v/>
      </c>
      <c r="H140" s="17" t="str">
        <f>IF('الإدخال اليومي'!$B114="","",IF('الإدخال اليومي'!AE114="","",'الإدخال اليومي'!AE114))</f>
        <v>خالد عباس</v>
      </c>
      <c r="I140" s="17">
        <f>IF($B140="","",IFERROR(INDEX('الإدخال اليومي'!K114:AA114,MATCH(الإعدادات!$B$2,'الإدخال اليومي'!$K$3:$AA$3,0)),0))</f>
        <v>0</v>
      </c>
      <c r="J140" s="20" t="str">
        <f>IF('الإدخال اليومي'!$B114="","",IF('الإدخال اليومي'!F114="","",'الإدخال اليومي'!F114))</f>
        <v/>
      </c>
      <c r="K140" s="17">
        <f>IF($B140="","",N('الإدخال اليومي'!G114)+MAX(0,الإعدادات!$B$2-MAX(الإعدادات!$B$10+1,N(J140))+1)-SUMPRODUCT(('الإدخال اليومي'!$L114:$AA114&gt;0)*('الإدخال اليومي'!$L$3:$AA$3&gt;=MAX(الإعدادات!$B$10+1,N(J140)))*('الإدخال اليومي'!$L$3:$AA$3&lt;=الإعدادات!$B$2)))</f>
        <v>2</v>
      </c>
      <c r="L140" s="17">
        <f>IF($B140="","",MAX(0,الإعدادات!$B$10-IF(J140="",الإعدادات!$B$9,MAX(J140,الإعدادات!$B$9))+1-N('الإدخال اليومي'!G114))+SUMPRODUCT(('الإدخال اليومي'!$L114:$AA114&gt;0)*('الإدخال اليومي'!$L$3:$AA$3&gt;=MAX(الإعدادات!$B$10+1,N(J140)))*('الإدخال اليومي'!$L$3:$AA$3&lt;=الإعدادات!$B$2)))</f>
        <v>15</v>
      </c>
      <c r="M140" s="19">
        <f>IF($B140="","",IF(C140="امازون","",(IFERROR(INDEX(الإعدادات!$B$19:$B$22,MATCH(C140,الإعدادات!$A$19:$A$22,0)),الإعدادات!$B$3)/الإعدادات!$B$4)*L140))</f>
        <v>180</v>
      </c>
      <c r="N140" s="21">
        <f t="shared" si="3"/>
        <v>0.78888888888888886</v>
      </c>
      <c r="O140" s="19">
        <f>IF($B140="","",IF(OR(C140="امازون",L140=0),"",ROUND(F140/L140*الإعدادات!$B$4,0)))</f>
        <v>284</v>
      </c>
      <c r="P140" s="22" t="str">
        <f>IF($B140="","",IF('الإدخال اليومي'!AF114="لا يعمل","مستبعد (ترك العمل)",IF('الإدخال اليومي'!AF114="اجازه","مستبعد (اجازة)",IF(C140="امازون","امازون (شحنات)",IF(L140=0,"مستبعد (لم يعمل)",IF(F140&gt;=M140,"حقق",IF(F140&gt;=M140*الإعدادات!$B$8,"قريب","بعيد")))))))</f>
        <v>بعيد</v>
      </c>
      <c r="Q140" s="16" t="str">
        <f>IF($B140="","",TRIM('الإدخال اليومي'!H114&amp;IF(N('الإدخال اليومي'!AC114)&gt;0," | + "&amp;'الإدخال اليومي'!AC114&amp;" طلب من "&amp;'الإدخال اليومي'!AB114&amp;" (محسوبة في الإجمالي)","")))</f>
        <v/>
      </c>
      <c r="R140" s="17">
        <f t="shared" si="4"/>
        <v>1</v>
      </c>
      <c r="S140" s="17" t="str">
        <f>IF($B140="","",IF('الإدخال اليومي'!AF114="","يعمل",'الإدخال اليومي'!AF114))</f>
        <v>يعمل</v>
      </c>
    </row>
    <row r="141" spans="1:19" x14ac:dyDescent="0.3">
      <c r="A141" s="15" t="str">
        <f>IF('الإدخال اليومي'!$B115="","",IF('الإدخال اليومي'!A115="","",'الإدخال اليومي'!A115))</f>
        <v/>
      </c>
      <c r="B141" s="16" t="str">
        <f>IF('الإدخال اليومي'!$B115="","",IF('الإدخال اليومي'!B115="","",'الإدخال اليومي'!B115))</f>
        <v>عريف ميا</v>
      </c>
      <c r="C141" s="17" t="str">
        <f>IF('الإدخال اليومي'!$B115="","",IF('الإدخال اليومي'!C115="","",'الإدخال اليومي'!C115))</f>
        <v>نينجا</v>
      </c>
      <c r="D141" s="17">
        <f>IF($B141="","",111)</f>
        <v>111</v>
      </c>
      <c r="E141" s="17" t="str">
        <f>IF('الإدخال اليومي'!$B115="","",IF('الإدخال اليومي'!AD115="","",'الإدخال اليومي'!AD115))</f>
        <v>يوزرات</v>
      </c>
      <c r="F141" s="18">
        <f>IF($B141="","",'الإدخال اليومي'!I115)</f>
        <v>149</v>
      </c>
      <c r="G141" s="19" t="str">
        <f>IF($B141="","",IF(N('الإدخال اليومي'!AG115)=0,"",'الإدخال اليومي'!AG115))</f>
        <v/>
      </c>
      <c r="H141" s="17" t="str">
        <f>IF('الإدخال اليومي'!$B115="","",IF('الإدخال اليومي'!AE115="","",'الإدخال اليومي'!AE115))</f>
        <v>خالد عباس</v>
      </c>
      <c r="I141" s="17">
        <f>IF($B141="","",IFERROR(INDEX('الإدخال اليومي'!K115:AA115,MATCH(الإعدادات!$B$2,'الإدخال اليومي'!$K$3:$AA$3,0)),0))</f>
        <v>12</v>
      </c>
      <c r="J141" s="20" t="str">
        <f>IF('الإدخال اليومي'!$B115="","",IF('الإدخال اليومي'!F115="","",'الإدخال اليومي'!F115))</f>
        <v/>
      </c>
      <c r="K141" s="17">
        <f>IF($B141="","",N('الإدخال اليومي'!G115)+MAX(0,الإعدادات!$B$2-MAX(الإعدادات!$B$10+1,N(J141))+1)-SUMPRODUCT(('الإدخال اليومي'!$L115:$AA115&gt;0)*('الإدخال اليومي'!$L$3:$AA$3&gt;=MAX(الإعدادات!$B$10+1,N(J141)))*('الإدخال اليومي'!$L$3:$AA$3&lt;=الإعدادات!$B$2)))</f>
        <v>0</v>
      </c>
      <c r="L141" s="17">
        <f>IF($B141="","",MAX(0,الإعدادات!$B$10-IF(J141="",الإعدادات!$B$9,MAX(J141,الإعدادات!$B$9))+1-N('الإدخال اليومي'!G115))+SUMPRODUCT(('الإدخال اليومي'!$L115:$AA115&gt;0)*('الإدخال اليومي'!$L$3:$AA$3&gt;=MAX(الإعدادات!$B$10+1,N(J141)))*('الإدخال اليومي'!$L$3:$AA$3&lt;=الإعدادات!$B$2)))</f>
        <v>17</v>
      </c>
      <c r="M141" s="19">
        <f>IF($B141="","",IF(C141="امازون","",(IFERROR(INDEX(الإعدادات!$B$19:$B$22,MATCH(C141,الإعدادات!$A$19:$A$22,0)),الإعدادات!$B$3)/الإعدادات!$B$4)*L141))</f>
        <v>204</v>
      </c>
      <c r="N141" s="21">
        <f t="shared" si="3"/>
        <v>0.73039215686274506</v>
      </c>
      <c r="O141" s="19">
        <f>IF($B141="","",IF(OR(C141="امازون",L141=0),"",ROUND(F141/L141*الإعدادات!$B$4,0)))</f>
        <v>263</v>
      </c>
      <c r="P141" s="22" t="str">
        <f>IF($B141="","",IF('الإدخال اليومي'!AF115="لا يعمل","مستبعد (ترك العمل)",IF('الإدخال اليومي'!AF115="اجازه","مستبعد (اجازة)",IF(C141="امازون","امازون (شحنات)",IF(L141=0,"مستبعد (لم يعمل)",IF(F141&gt;=M141,"حقق",IF(F141&gt;=M141*الإعدادات!$B$8,"قريب","بعيد")))))))</f>
        <v>بعيد</v>
      </c>
      <c r="Q141" s="16" t="str">
        <f>IF($B141="","",TRIM('الإدخال اليومي'!H115&amp;IF(N('الإدخال اليومي'!AC115)&gt;0," | + "&amp;'الإدخال اليومي'!AC115&amp;" طلب من "&amp;'الإدخال اليومي'!AB115&amp;" (محسوبة في الإجمالي)","")))</f>
        <v/>
      </c>
      <c r="R141" s="17">
        <f t="shared" si="4"/>
        <v>1</v>
      </c>
      <c r="S141" s="17" t="str">
        <f>IF($B141="","",IF('الإدخال اليومي'!AF115="","يعمل",'الإدخال اليومي'!AF115))</f>
        <v>يعمل</v>
      </c>
    </row>
    <row r="142" spans="1:19" x14ac:dyDescent="0.3">
      <c r="A142" s="15" t="str">
        <f>IF('الإدخال اليومي'!$B116="","",IF('الإدخال اليومي'!A116="","",'الإدخال اليومي'!A116))</f>
        <v/>
      </c>
      <c r="B142" s="16" t="str">
        <f>IF('الإدخال اليومي'!$B116="","",IF('الإدخال اليومي'!B116="","",'الإدخال اليومي'!B116))</f>
        <v>جهاد</v>
      </c>
      <c r="C142" s="17" t="str">
        <f>IF('الإدخال اليومي'!$B116="","",IF('الإدخال اليومي'!C116="","",'الإدخال اليومي'!C116))</f>
        <v>نينجا</v>
      </c>
      <c r="D142" s="17">
        <f>IF($B142="","",112)</f>
        <v>112</v>
      </c>
      <c r="E142" s="17" t="str">
        <f>IF('الإدخال اليومي'!$B116="","",IF('الإدخال اليومي'!AD116="","",'الإدخال اليومي'!AD116))</f>
        <v>يوزرات</v>
      </c>
      <c r="F142" s="18">
        <f>IF($B142="","",'الإدخال اليومي'!I116)</f>
        <v>147</v>
      </c>
      <c r="G142" s="19" t="str">
        <f>IF($B142="","",IF(N('الإدخال اليومي'!AG116)=0,"",'الإدخال اليومي'!AG116))</f>
        <v/>
      </c>
      <c r="H142" s="17" t="str">
        <f>IF('الإدخال اليومي'!$B116="","",IF('الإدخال اليومي'!AE116="","",'الإدخال اليومي'!AE116))</f>
        <v>خالد عباس</v>
      </c>
      <c r="I142" s="17">
        <f>IF($B142="","",IFERROR(INDEX('الإدخال اليومي'!K116:AA116,MATCH(الإعدادات!$B$2,'الإدخال اليومي'!$K$3:$AA$3,0)),0))</f>
        <v>11</v>
      </c>
      <c r="J142" s="20" t="str">
        <f>IF('الإدخال اليومي'!$B116="","",IF('الإدخال اليومي'!F116="","",'الإدخال اليومي'!F116))</f>
        <v/>
      </c>
      <c r="K142" s="17">
        <f>IF($B142="","",N('الإدخال اليومي'!G116)+MAX(0,الإعدادات!$B$2-MAX(الإعدادات!$B$10+1,N(J142))+1)-SUMPRODUCT(('الإدخال اليومي'!$L116:$AA116&gt;0)*('الإدخال اليومي'!$L$3:$AA$3&gt;=MAX(الإعدادات!$B$10+1,N(J142)))*('الإدخال اليومي'!$L$3:$AA$3&lt;=الإعدادات!$B$2)))</f>
        <v>0</v>
      </c>
      <c r="L142" s="17">
        <f>IF($B142="","",MAX(0,الإعدادات!$B$10-IF(J142="",الإعدادات!$B$9,MAX(J142,الإعدادات!$B$9))+1-N('الإدخال اليومي'!G116))+SUMPRODUCT(('الإدخال اليومي'!$L116:$AA116&gt;0)*('الإدخال اليومي'!$L$3:$AA$3&gt;=MAX(الإعدادات!$B$10+1,N(J142)))*('الإدخال اليومي'!$L$3:$AA$3&lt;=الإعدادات!$B$2)))</f>
        <v>17</v>
      </c>
      <c r="M142" s="19">
        <f>IF($B142="","",IF(C142="امازون","",(IFERROR(INDEX(الإعدادات!$B$19:$B$22,MATCH(C142,الإعدادات!$A$19:$A$22,0)),الإعدادات!$B$3)/الإعدادات!$B$4)*L142))</f>
        <v>204</v>
      </c>
      <c r="N142" s="21">
        <f t="shared" si="3"/>
        <v>0.72058823529411764</v>
      </c>
      <c r="O142" s="19">
        <f>IF($B142="","",IF(OR(C142="امازون",L142=0),"",ROUND(F142/L142*الإعدادات!$B$4,0)))</f>
        <v>259</v>
      </c>
      <c r="P142" s="22" t="str">
        <f>IF($B142="","",IF('الإدخال اليومي'!AF116="لا يعمل","مستبعد (ترك العمل)",IF('الإدخال اليومي'!AF116="اجازه","مستبعد (اجازة)",IF(C142="امازون","امازون (شحنات)",IF(L142=0,"مستبعد (لم يعمل)",IF(F142&gt;=M142,"حقق",IF(F142&gt;=M142*الإعدادات!$B$8,"قريب","بعيد")))))))</f>
        <v>بعيد</v>
      </c>
      <c r="Q142" s="16" t="str">
        <f>IF($B142="","",TRIM('الإدخال اليومي'!H116&amp;IF(N('الإدخال اليومي'!AC116)&gt;0," | + "&amp;'الإدخال اليومي'!AC116&amp;" طلب من "&amp;'الإدخال اليومي'!AB116&amp;" (محسوبة في الإجمالي)","")))</f>
        <v/>
      </c>
      <c r="R142" s="17">
        <f t="shared" si="4"/>
        <v>1</v>
      </c>
      <c r="S142" s="17" t="str">
        <f>IF($B142="","",IF('الإدخال اليومي'!AF116="","يعمل",'الإدخال اليومي'!AF116))</f>
        <v>يعمل</v>
      </c>
    </row>
    <row r="143" spans="1:19" x14ac:dyDescent="0.3">
      <c r="A143" s="15" t="str">
        <f>IF('الإدخال اليومي'!$B117="","",IF('الإدخال اليومي'!A117="","",'الإدخال اليومي'!A117))</f>
        <v/>
      </c>
      <c r="B143" s="16" t="str">
        <f>IF('الإدخال اليومي'!$B117="","",IF('الإدخال اليومي'!B117="","",'الإدخال اليومي'!B117))</f>
        <v>بنجير رحمن</v>
      </c>
      <c r="C143" s="17" t="str">
        <f>IF('الإدخال اليومي'!$B117="","",IF('الإدخال اليومي'!C117="","",'الإدخال اليومي'!C117))</f>
        <v>نينجا</v>
      </c>
      <c r="D143" s="17">
        <f>IF($B143="","",113)</f>
        <v>113</v>
      </c>
      <c r="E143" s="17" t="str">
        <f>IF('الإدخال اليومي'!$B117="","",IF('الإدخال اليومي'!AD117="","",'الإدخال اليومي'!AD117))</f>
        <v>يوزرات</v>
      </c>
      <c r="F143" s="18">
        <f>IF($B143="","",'الإدخال اليومي'!I117)</f>
        <v>131</v>
      </c>
      <c r="G143" s="19" t="str">
        <f>IF($B143="","",IF(N('الإدخال اليومي'!AG117)=0,"",'الإدخال اليومي'!AG117))</f>
        <v/>
      </c>
      <c r="H143" s="17" t="str">
        <f>IF('الإدخال اليومي'!$B117="","",IF('الإدخال اليومي'!AE117="","",'الإدخال اليومي'!AE117))</f>
        <v>خالد عباس</v>
      </c>
      <c r="I143" s="17">
        <f>IF($B143="","",IFERROR(INDEX('الإدخال اليومي'!K117:AA117,MATCH(الإعدادات!$B$2,'الإدخال اليومي'!$K$3:$AA$3,0)),0))</f>
        <v>10</v>
      </c>
      <c r="J143" s="20" t="str">
        <f>IF('الإدخال اليومي'!$B117="","",IF('الإدخال اليومي'!F117="","",'الإدخال اليومي'!F117))</f>
        <v/>
      </c>
      <c r="K143" s="17">
        <f>IF($B143="","",N('الإدخال اليومي'!G117)+MAX(0,الإعدادات!$B$2-MAX(الإعدادات!$B$10+1,N(J143))+1)-SUMPRODUCT(('الإدخال اليومي'!$L117:$AA117&gt;0)*('الإدخال اليومي'!$L$3:$AA$3&gt;=MAX(الإعدادات!$B$10+1,N(J143)))*('الإدخال اليومي'!$L$3:$AA$3&lt;=الإعدادات!$B$2)))</f>
        <v>0</v>
      </c>
      <c r="L143" s="17">
        <f>IF($B143="","",MAX(0,الإعدادات!$B$10-IF(J143="",الإعدادات!$B$9,MAX(J143,الإعدادات!$B$9))+1-N('الإدخال اليومي'!G117))+SUMPRODUCT(('الإدخال اليومي'!$L117:$AA117&gt;0)*('الإدخال اليومي'!$L$3:$AA$3&gt;=MAX(الإعدادات!$B$10+1,N(J143)))*('الإدخال اليومي'!$L$3:$AA$3&lt;=الإعدادات!$B$2)))</f>
        <v>17</v>
      </c>
      <c r="M143" s="19">
        <f>IF($B143="","",IF(C143="امازون","",(IFERROR(INDEX(الإعدادات!$B$19:$B$22,MATCH(C143,الإعدادات!$A$19:$A$22,0)),الإعدادات!$B$3)/الإعدادات!$B$4)*L143))</f>
        <v>204</v>
      </c>
      <c r="N143" s="21">
        <f t="shared" si="3"/>
        <v>0.64215686274509809</v>
      </c>
      <c r="O143" s="19">
        <f>IF($B143="","",IF(OR(C143="امازون",L143=0),"",ROUND(F143/L143*الإعدادات!$B$4,0)))</f>
        <v>231</v>
      </c>
      <c r="P143" s="22" t="str">
        <f>IF($B143="","",IF('الإدخال اليومي'!AF117="لا يعمل","مستبعد (ترك العمل)",IF('الإدخال اليومي'!AF117="اجازه","مستبعد (اجازة)",IF(C143="امازون","امازون (شحنات)",IF(L143=0,"مستبعد (لم يعمل)",IF(F143&gt;=M143,"حقق",IF(F143&gt;=M143*الإعدادات!$B$8,"قريب","بعيد")))))))</f>
        <v>بعيد</v>
      </c>
      <c r="Q143" s="16" t="str">
        <f>IF($B143="","",TRIM('الإدخال اليومي'!H117&amp;IF(N('الإدخال اليومي'!AC117)&gt;0," | + "&amp;'الإدخال اليومي'!AC117&amp;" طلب من "&amp;'الإدخال اليومي'!AB117&amp;" (محسوبة في الإجمالي)","")))</f>
        <v/>
      </c>
      <c r="R143" s="17">
        <f t="shared" si="4"/>
        <v>1</v>
      </c>
      <c r="S143" s="17" t="str">
        <f>IF($B143="","",IF('الإدخال اليومي'!AF117="","يعمل",'الإدخال اليومي'!AF117))</f>
        <v>يعمل</v>
      </c>
    </row>
    <row r="144" spans="1:19" x14ac:dyDescent="0.3">
      <c r="A144" s="15" t="str">
        <f>IF('الإدخال اليومي'!$B118="","",IF('الإدخال اليومي'!A118="","",'الإدخال اليومي'!A118))</f>
        <v/>
      </c>
      <c r="B144" s="16" t="str">
        <f>IF('الإدخال اليومي'!$B118="","",IF('الإدخال اليومي'!B118="","",'الإدخال اليومي'!B118))</f>
        <v>مد علاء الدين</v>
      </c>
      <c r="C144" s="17" t="str">
        <f>IF('الإدخال اليومي'!$B118="","",IF('الإدخال اليومي'!C118="","",'الإدخال اليومي'!C118))</f>
        <v>نينجا</v>
      </c>
      <c r="D144" s="17">
        <f>IF($B144="","",114)</f>
        <v>114</v>
      </c>
      <c r="E144" s="17" t="str">
        <f>IF('الإدخال اليومي'!$B118="","",IF('الإدخال اليومي'!AD118="","",'الإدخال اليومي'!AD118))</f>
        <v>يوزرات</v>
      </c>
      <c r="F144" s="18">
        <f>IF($B144="","",'الإدخال اليومي'!I118)</f>
        <v>116</v>
      </c>
      <c r="G144" s="19" t="str">
        <f>IF($B144="","",IF(N('الإدخال اليومي'!AG118)=0,"",'الإدخال اليومي'!AG118))</f>
        <v/>
      </c>
      <c r="H144" s="17" t="str">
        <f>IF('الإدخال اليومي'!$B118="","",IF('الإدخال اليومي'!AE118="","",'الإدخال اليومي'!AE118))</f>
        <v>خالد عباس</v>
      </c>
      <c r="I144" s="17">
        <f>IF($B144="","",IFERROR(INDEX('الإدخال اليومي'!K118:AA118,MATCH(الإعدادات!$B$2,'الإدخال اليومي'!$K$3:$AA$3,0)),0))</f>
        <v>15</v>
      </c>
      <c r="J144" s="20" t="str">
        <f>IF('الإدخال اليومي'!$B118="","",IF('الإدخال اليومي'!F118="","",'الإدخال اليومي'!F118))</f>
        <v/>
      </c>
      <c r="K144" s="17">
        <f>IF($B144="","",N('الإدخال اليومي'!G118)+MAX(0,الإعدادات!$B$2-MAX(الإعدادات!$B$10+1,N(J144))+1)-SUMPRODUCT(('الإدخال اليومي'!$L118:$AA118&gt;0)*('الإدخال اليومي'!$L$3:$AA$3&gt;=MAX(الإعدادات!$B$10+1,N(J144)))*('الإدخال اليومي'!$L$3:$AA$3&lt;=الإعدادات!$B$2)))</f>
        <v>0</v>
      </c>
      <c r="L144" s="17">
        <f>IF($B144="","",MAX(0,الإعدادات!$B$10-IF(J144="",الإعدادات!$B$9,MAX(J144,الإعدادات!$B$9))+1-N('الإدخال اليومي'!G118))+SUMPRODUCT(('الإدخال اليومي'!$L118:$AA118&gt;0)*('الإدخال اليومي'!$L$3:$AA$3&gt;=MAX(الإعدادات!$B$10+1,N(J144)))*('الإدخال اليومي'!$L$3:$AA$3&lt;=الإعدادات!$B$2)))</f>
        <v>17</v>
      </c>
      <c r="M144" s="19">
        <f>IF($B144="","",IF(C144="امازون","",(IFERROR(INDEX(الإعدادات!$B$19:$B$22,MATCH(C144,الإعدادات!$A$19:$A$22,0)),الإعدادات!$B$3)/الإعدادات!$B$4)*L144))</f>
        <v>204</v>
      </c>
      <c r="N144" s="21">
        <f t="shared" si="3"/>
        <v>0.56862745098039214</v>
      </c>
      <c r="O144" s="19">
        <f>IF($B144="","",IF(OR(C144="امازون",L144=0),"",ROUND(F144/L144*الإعدادات!$B$4,0)))</f>
        <v>205</v>
      </c>
      <c r="P144" s="22" t="str">
        <f>IF($B144="","",IF('الإدخال اليومي'!AF118="لا يعمل","مستبعد (ترك العمل)",IF('الإدخال اليومي'!AF118="اجازه","مستبعد (اجازة)",IF(C144="امازون","امازون (شحنات)",IF(L144=0,"مستبعد (لم يعمل)",IF(F144&gt;=M144,"حقق",IF(F144&gt;=M144*الإعدادات!$B$8,"قريب","بعيد")))))))</f>
        <v>بعيد</v>
      </c>
      <c r="Q144" s="16" t="str">
        <f>IF($B144="","",TRIM('الإدخال اليومي'!H118&amp;IF(N('الإدخال اليومي'!AC118)&gt;0," | + "&amp;'الإدخال اليومي'!AC118&amp;" طلب من "&amp;'الإدخال اليومي'!AB118&amp;" (محسوبة في الإجمالي)","")))</f>
        <v/>
      </c>
      <c r="R144" s="17">
        <f t="shared" si="4"/>
        <v>1</v>
      </c>
      <c r="S144" s="17" t="str">
        <f>IF($B144="","",IF('الإدخال اليومي'!AF118="","يعمل",'الإدخال اليومي'!AF118))</f>
        <v>يعمل</v>
      </c>
    </row>
    <row r="145" spans="1:19" x14ac:dyDescent="0.3">
      <c r="A145" s="15" t="str">
        <f>IF('الإدخال اليومي'!$B119="","",IF('الإدخال اليومي'!A119="","",'الإدخال اليومي'!A119))</f>
        <v/>
      </c>
      <c r="B145" s="16" t="str">
        <f>IF('الإدخال اليومي'!$B119="","",IF('الإدخال اليومي'!B119="","",'الإدخال اليومي'!B119))</f>
        <v>الامين ميا</v>
      </c>
      <c r="C145" s="17" t="str">
        <f>IF('الإدخال اليومي'!$B119="","",IF('الإدخال اليومي'!C119="","",'الإدخال اليومي'!C119))</f>
        <v>نينجا</v>
      </c>
      <c r="D145" s="17">
        <f>IF($B145="","",115)</f>
        <v>115</v>
      </c>
      <c r="E145" s="17" t="str">
        <f>IF('الإدخال اليومي'!$B119="","",IF('الإدخال اليومي'!AD119="","",'الإدخال اليومي'!AD119))</f>
        <v>يوزرات</v>
      </c>
      <c r="F145" s="18">
        <f>IF($B145="","",'الإدخال اليومي'!I119)</f>
        <v>118</v>
      </c>
      <c r="G145" s="19" t="str">
        <f>IF($B145="","",IF(N('الإدخال اليومي'!AG119)=0,"",'الإدخال اليومي'!AG119))</f>
        <v/>
      </c>
      <c r="H145" s="17" t="str">
        <f>IF('الإدخال اليومي'!$B119="","",IF('الإدخال اليومي'!AE119="","",'الإدخال اليومي'!AE119))</f>
        <v>خالد عباس</v>
      </c>
      <c r="I145" s="17">
        <f>IF($B145="","",IFERROR(INDEX('الإدخال اليومي'!K119:AA119,MATCH(الإعدادات!$B$2,'الإدخال اليومي'!$K$3:$AA$3,0)),0))</f>
        <v>17</v>
      </c>
      <c r="J145" s="20" t="str">
        <f>IF('الإدخال اليومي'!$B119="","",IF('الإدخال اليومي'!F119="","",'الإدخال اليومي'!F119))</f>
        <v/>
      </c>
      <c r="K145" s="17">
        <f>IF($B145="","",N('الإدخال اليومي'!G119)+MAX(0,الإعدادات!$B$2-MAX(الإعدادات!$B$10+1,N(J145))+1)-SUMPRODUCT(('الإدخال اليومي'!$L119:$AA119&gt;0)*('الإدخال اليومي'!$L$3:$AA$3&gt;=MAX(الإعدادات!$B$10+1,N(J145)))*('الإدخال اليومي'!$L$3:$AA$3&lt;=الإعدادات!$B$2)))</f>
        <v>0</v>
      </c>
      <c r="L145" s="17">
        <f>IF($B145="","",MAX(0,الإعدادات!$B$10-IF(J145="",الإعدادات!$B$9,MAX(J145,الإعدادات!$B$9))+1-N('الإدخال اليومي'!G119))+SUMPRODUCT(('الإدخال اليومي'!$L119:$AA119&gt;0)*('الإدخال اليومي'!$L$3:$AA$3&gt;=MAX(الإعدادات!$B$10+1,N(J145)))*('الإدخال اليومي'!$L$3:$AA$3&lt;=الإعدادات!$B$2)))</f>
        <v>17</v>
      </c>
      <c r="M145" s="19">
        <f>IF($B145="","",IF(C145="امازون","",(IFERROR(INDEX(الإعدادات!$B$19:$B$22,MATCH(C145,الإعدادات!$A$19:$A$22,0)),الإعدادات!$B$3)/الإعدادات!$B$4)*L145))</f>
        <v>204</v>
      </c>
      <c r="N145" s="21">
        <f t="shared" si="3"/>
        <v>0.57843137254901966</v>
      </c>
      <c r="O145" s="19">
        <f>IF($B145="","",IF(OR(C145="امازون",L145=0),"",ROUND(F145/L145*الإعدادات!$B$4,0)))</f>
        <v>208</v>
      </c>
      <c r="P145" s="22" t="str">
        <f>IF($B145="","",IF('الإدخال اليومي'!AF119="لا يعمل","مستبعد (ترك العمل)",IF('الإدخال اليومي'!AF119="اجازه","مستبعد (اجازة)",IF(C145="امازون","امازون (شحنات)",IF(L145=0,"مستبعد (لم يعمل)",IF(F145&gt;=M145,"حقق",IF(F145&gt;=M145*الإعدادات!$B$8,"قريب","بعيد")))))))</f>
        <v>بعيد</v>
      </c>
      <c r="Q145" s="16" t="str">
        <f>IF($B145="","",TRIM('الإدخال اليومي'!H119&amp;IF(N('الإدخال اليومي'!AC119)&gt;0," | + "&amp;'الإدخال اليومي'!AC119&amp;" طلب من "&amp;'الإدخال اليومي'!AB119&amp;" (محسوبة في الإجمالي)","")))</f>
        <v/>
      </c>
      <c r="R145" s="17">
        <f t="shared" si="4"/>
        <v>1</v>
      </c>
      <c r="S145" s="17" t="str">
        <f>IF($B145="","",IF('الإدخال اليومي'!AF119="","يعمل",'الإدخال اليومي'!AF119))</f>
        <v>يعمل</v>
      </c>
    </row>
    <row r="146" spans="1:19" x14ac:dyDescent="0.3">
      <c r="A146" s="15" t="str">
        <f>IF('الإدخال اليومي'!$B120="","",IF('الإدخال اليومي'!A120="","",'الإدخال اليومي'!A120))</f>
        <v/>
      </c>
      <c r="B146" s="16" t="str">
        <f>IF('الإدخال اليومي'!$B120="","",IF('الإدخال اليومي'!B120="","",'الإدخال اليومي'!B120))</f>
        <v>حضرت علي</v>
      </c>
      <c r="C146" s="17" t="str">
        <f>IF('الإدخال اليومي'!$B120="","",IF('الإدخال اليومي'!C120="","",'الإدخال اليومي'!C120))</f>
        <v>نينجا</v>
      </c>
      <c r="D146" s="17">
        <f>IF($B146="","",116)</f>
        <v>116</v>
      </c>
      <c r="E146" s="17" t="str">
        <f>IF('الإدخال اليومي'!$B120="","",IF('الإدخال اليومي'!AD120="","",'الإدخال اليومي'!AD120))</f>
        <v>يوزرات</v>
      </c>
      <c r="F146" s="18">
        <f>IF($B146="","",'الإدخال اليومي'!I120)</f>
        <v>107</v>
      </c>
      <c r="G146" s="19" t="str">
        <f>IF($B146="","",IF(N('الإدخال اليومي'!AG120)=0,"",'الإدخال اليومي'!AG120))</f>
        <v/>
      </c>
      <c r="H146" s="17" t="str">
        <f>IF('الإدخال اليومي'!$B120="","",IF('الإدخال اليومي'!AE120="","",'الإدخال اليومي'!AE120))</f>
        <v>خالد عباس</v>
      </c>
      <c r="I146" s="17">
        <f>IF($B146="","",IFERROR(INDEX('الإدخال اليومي'!K120:AA120,MATCH(الإعدادات!$B$2,'الإدخال اليومي'!$K$3:$AA$3,0)),0))</f>
        <v>25</v>
      </c>
      <c r="J146" s="20" t="str">
        <f>IF('الإدخال اليومي'!$B120="","",IF('الإدخال اليومي'!F120="","",'الإدخال اليومي'!F120))</f>
        <v/>
      </c>
      <c r="K146" s="17">
        <f>IF($B146="","",N('الإدخال اليومي'!G120)+MAX(0,الإعدادات!$B$2-MAX(الإعدادات!$B$10+1,N(J146))+1)-SUMPRODUCT(('الإدخال اليومي'!$L120:$AA120&gt;0)*('الإدخال اليومي'!$L$3:$AA$3&gt;=MAX(الإعدادات!$B$10+1,N(J146)))*('الإدخال اليومي'!$L$3:$AA$3&lt;=الإعدادات!$B$2)))</f>
        <v>0</v>
      </c>
      <c r="L146" s="17">
        <f>IF($B146="","",MAX(0,الإعدادات!$B$10-IF(J146="",الإعدادات!$B$9,MAX(J146,الإعدادات!$B$9))+1-N('الإدخال اليومي'!G120))+SUMPRODUCT(('الإدخال اليومي'!$L120:$AA120&gt;0)*('الإدخال اليومي'!$L$3:$AA$3&gt;=MAX(الإعدادات!$B$10+1,N(J146)))*('الإدخال اليومي'!$L$3:$AA$3&lt;=الإعدادات!$B$2)))</f>
        <v>17</v>
      </c>
      <c r="M146" s="19">
        <f>IF($B146="","",IF(C146="امازون","",(IFERROR(INDEX(الإعدادات!$B$19:$B$22,MATCH(C146,الإعدادات!$A$19:$A$22,0)),الإعدادات!$B$3)/الإعدادات!$B$4)*L146))</f>
        <v>204</v>
      </c>
      <c r="N146" s="21">
        <f t="shared" si="3"/>
        <v>0.52450980392156865</v>
      </c>
      <c r="O146" s="19">
        <f>IF($B146="","",IF(OR(C146="امازون",L146=0),"",ROUND(F146/L146*الإعدادات!$B$4,0)))</f>
        <v>189</v>
      </c>
      <c r="P146" s="22" t="str">
        <f>IF($B146="","",IF('الإدخال اليومي'!AF120="لا يعمل","مستبعد (ترك العمل)",IF('الإدخال اليومي'!AF120="اجازه","مستبعد (اجازة)",IF(C146="امازون","امازون (شحنات)",IF(L146=0,"مستبعد (لم يعمل)",IF(F146&gt;=M146,"حقق",IF(F146&gt;=M146*الإعدادات!$B$8,"قريب","بعيد")))))))</f>
        <v>بعيد</v>
      </c>
      <c r="Q146" s="16" t="str">
        <f>IF($B146="","",TRIM('الإدخال اليومي'!H120&amp;IF(N('الإدخال اليومي'!AC120)&gt;0," | + "&amp;'الإدخال اليومي'!AC120&amp;" طلب من "&amp;'الإدخال اليومي'!AB120&amp;" (محسوبة في الإجمالي)","")))</f>
        <v/>
      </c>
      <c r="R146" s="17">
        <f t="shared" si="4"/>
        <v>1</v>
      </c>
      <c r="S146" s="17" t="str">
        <f>IF($B146="","",IF('الإدخال اليومي'!AF120="","يعمل",'الإدخال اليومي'!AF120))</f>
        <v>يعمل</v>
      </c>
    </row>
    <row r="147" spans="1:19" x14ac:dyDescent="0.3">
      <c r="A147" s="15">
        <f>IF('الإدخال اليومي'!$B121="","",IF('الإدخال اليومي'!A121="","",'الإدخال اليومي'!A121))</f>
        <v>2571032636</v>
      </c>
      <c r="B147" s="16" t="str">
        <f>IF('الإدخال اليومي'!$B121="","",IF('الإدخال اليومي'!B121="","",'الإدخال اليومي'!B121))</f>
        <v>SHEHZAD ALI NIAZ ALI</v>
      </c>
      <c r="C147" s="17" t="str">
        <f>IF('الإدخال اليومي'!$B121="","",IF('الإدخال اليومي'!C121="","",'الإدخال اليومي'!C121))</f>
        <v>نينجا</v>
      </c>
      <c r="D147" s="17">
        <f>IF($B147="","",117)</f>
        <v>117</v>
      </c>
      <c r="E147" s="17" t="str">
        <f>IF('الإدخال اليومي'!$B121="","",IF('الإدخال اليومي'!AD121="","",'الإدخال اليومي'!AD121))</f>
        <v/>
      </c>
      <c r="F147" s="18">
        <f>IF($B147="","",'الإدخال اليومي'!I121)</f>
        <v>62</v>
      </c>
      <c r="G147" s="19" t="str">
        <f>IF($B147="","",IF(N('الإدخال اليومي'!AG121)=0,"",'الإدخال اليومي'!AG121))</f>
        <v/>
      </c>
      <c r="H147" s="17" t="str">
        <f>IF('الإدخال اليومي'!$B121="","",IF('الإدخال اليومي'!AE121="","",'الإدخال اليومي'!AE121))</f>
        <v>خالد عباس</v>
      </c>
      <c r="I147" s="17">
        <f>IF($B147="","",IFERROR(INDEX('الإدخال اليومي'!K121:AA121,MATCH(الإعدادات!$B$2,'الإدخال اليومي'!$K$3:$AA$3,0)),0))</f>
        <v>0</v>
      </c>
      <c r="J147" s="20" t="str">
        <f>IF('الإدخال اليومي'!$B121="","",IF('الإدخال اليومي'!F121="","",'الإدخال اليومي'!F121))</f>
        <v/>
      </c>
      <c r="K147" s="17">
        <f>IF($B147="","",N('الإدخال اليومي'!G121)+MAX(0,الإعدادات!$B$2-MAX(الإعدادات!$B$10+1,N(J147))+1)-SUMPRODUCT(('الإدخال اليومي'!$L121:$AA121&gt;0)*('الإدخال اليومي'!$L$3:$AA$3&gt;=MAX(الإعدادات!$B$10+1,N(J147)))*('الإدخال اليومي'!$L$3:$AA$3&lt;=الإعدادات!$B$2)))</f>
        <v>2</v>
      </c>
      <c r="L147" s="17">
        <f>IF($B147="","",MAX(0,الإعدادات!$B$10-IF(J147="",الإعدادات!$B$9,MAX(J147,الإعدادات!$B$9))+1-N('الإدخال اليومي'!G121))+SUMPRODUCT(('الإدخال اليومي'!$L121:$AA121&gt;0)*('الإدخال اليومي'!$L$3:$AA$3&gt;=MAX(الإعدادات!$B$10+1,N(J147)))*('الإدخال اليومي'!$L$3:$AA$3&lt;=الإعدادات!$B$2)))</f>
        <v>15</v>
      </c>
      <c r="M147" s="19">
        <f>IF($B147="","",IF(C147="امازون","",(IFERROR(INDEX(الإعدادات!$B$19:$B$22,MATCH(C147,الإعدادات!$A$19:$A$22,0)),الإعدادات!$B$3)/الإعدادات!$B$4)*L147))</f>
        <v>180</v>
      </c>
      <c r="N147" s="21">
        <f t="shared" si="3"/>
        <v>0.34444444444444444</v>
      </c>
      <c r="O147" s="19">
        <f>IF($B147="","",IF(OR(C147="امازون",L147=0),"",ROUND(F147/L147*الإعدادات!$B$4,0)))</f>
        <v>124</v>
      </c>
      <c r="P147" s="22" t="str">
        <f>IF($B147="","",IF('الإدخال اليومي'!AF121="لا يعمل","مستبعد (ترك العمل)",IF('الإدخال اليومي'!AF121="اجازه","مستبعد (اجازة)",IF(C147="امازون","امازون (شحنات)",IF(L147=0,"مستبعد (لم يعمل)",IF(F147&gt;=M147,"حقق",IF(F147&gt;=M147*الإعدادات!$B$8,"قريب","بعيد")))))))</f>
        <v>مستبعد (ترك العمل)</v>
      </c>
      <c r="Q147" s="16" t="str">
        <f>IF($B147="","",TRIM('الإدخال اليومي'!H121&amp;IF(N('الإدخال اليومي'!AC121)&gt;0," | + "&amp;'الإدخال اليومي'!AC121&amp;" طلب من "&amp;'الإدخال اليومي'!AB121&amp;" (محسوبة في الإجمالي)","")))</f>
        <v>ترك العمل</v>
      </c>
      <c r="R147" s="17">
        <f t="shared" si="4"/>
        <v>1</v>
      </c>
      <c r="S147" s="17" t="str">
        <f>IF($B147="","",IF('الإدخال اليومي'!AF121="","يعمل",'الإدخال اليومي'!AF121))</f>
        <v>لا يعمل</v>
      </c>
    </row>
    <row r="148" spans="1:19" x14ac:dyDescent="0.3">
      <c r="A148" s="15" t="str">
        <f>IF('الإدخال اليومي'!$B122="","",IF('الإدخال اليومي'!A122="","",'الإدخال اليومي'!A122))</f>
        <v/>
      </c>
      <c r="B148" s="16" t="str">
        <f>IF('الإدخال اليومي'!$B122="","",IF('الإدخال اليومي'!B122="","",'الإدخال اليومي'!B122))</f>
        <v>عارف الاسلام</v>
      </c>
      <c r="C148" s="17" t="str">
        <f>IF('الإدخال اليومي'!$B122="","",IF('الإدخال اليومي'!C122="","",'الإدخال اليومي'!C122))</f>
        <v>نينجا</v>
      </c>
      <c r="D148" s="17">
        <f>IF($B148="","",118)</f>
        <v>118</v>
      </c>
      <c r="E148" s="17" t="str">
        <f>IF('الإدخال اليومي'!$B122="","",IF('الإدخال اليومي'!AD122="","",'الإدخال اليومي'!AD122))</f>
        <v>يوزرات</v>
      </c>
      <c r="F148" s="18">
        <f>IF($B148="","",'الإدخال اليومي'!I122)</f>
        <v>81</v>
      </c>
      <c r="G148" s="19" t="str">
        <f>IF($B148="","",IF(N('الإدخال اليومي'!AG122)=0,"",'الإدخال اليومي'!AG122))</f>
        <v/>
      </c>
      <c r="H148" s="17" t="str">
        <f>IF('الإدخال اليومي'!$B122="","",IF('الإدخال اليومي'!AE122="","",'الإدخال اليومي'!AE122))</f>
        <v>خالد عباس</v>
      </c>
      <c r="I148" s="17">
        <f>IF($B148="","",IFERROR(INDEX('الإدخال اليومي'!K122:AA122,MATCH(الإعدادات!$B$2,'الإدخال اليومي'!$K$3:$AA$3,0)),0))</f>
        <v>10</v>
      </c>
      <c r="J148" s="20" t="str">
        <f>IF('الإدخال اليومي'!$B122="","",IF('الإدخال اليومي'!F122="","",'الإدخال اليومي'!F122))</f>
        <v/>
      </c>
      <c r="K148" s="17">
        <f>IF($B148="","",N('الإدخال اليومي'!G122)+MAX(0,الإعدادات!$B$2-MAX(الإعدادات!$B$10+1,N(J148))+1)-SUMPRODUCT(('الإدخال اليومي'!$L122:$AA122&gt;0)*('الإدخال اليومي'!$L$3:$AA$3&gt;=MAX(الإعدادات!$B$10+1,N(J148)))*('الإدخال اليومي'!$L$3:$AA$3&lt;=الإعدادات!$B$2)))</f>
        <v>0</v>
      </c>
      <c r="L148" s="17">
        <f>IF($B148="","",MAX(0,الإعدادات!$B$10-IF(J148="",الإعدادات!$B$9,MAX(J148,الإعدادات!$B$9))+1-N('الإدخال اليومي'!G122))+SUMPRODUCT(('الإدخال اليومي'!$L122:$AA122&gt;0)*('الإدخال اليومي'!$L$3:$AA$3&gt;=MAX(الإعدادات!$B$10+1,N(J148)))*('الإدخال اليومي'!$L$3:$AA$3&lt;=الإعدادات!$B$2)))</f>
        <v>17</v>
      </c>
      <c r="M148" s="19">
        <f>IF($B148="","",IF(C148="امازون","",(IFERROR(INDEX(الإعدادات!$B$19:$B$22,MATCH(C148,الإعدادات!$A$19:$A$22,0)),الإعدادات!$B$3)/الإعدادات!$B$4)*L148))</f>
        <v>204</v>
      </c>
      <c r="N148" s="21">
        <f t="shared" si="3"/>
        <v>0.39705882352941174</v>
      </c>
      <c r="O148" s="19">
        <f>IF($B148="","",IF(OR(C148="امازون",L148=0),"",ROUND(F148/L148*الإعدادات!$B$4,0)))</f>
        <v>143</v>
      </c>
      <c r="P148" s="22" t="str">
        <f>IF($B148="","",IF('الإدخال اليومي'!AF122="لا يعمل","مستبعد (ترك العمل)",IF('الإدخال اليومي'!AF122="اجازه","مستبعد (اجازة)",IF(C148="امازون","امازون (شحنات)",IF(L148=0,"مستبعد (لم يعمل)",IF(F148&gt;=M148,"حقق",IF(F148&gt;=M148*الإعدادات!$B$8,"قريب","بعيد")))))))</f>
        <v>بعيد</v>
      </c>
      <c r="Q148" s="16" t="str">
        <f>IF($B148="","",TRIM('الإدخال اليومي'!H122&amp;IF(N('الإدخال اليومي'!AC122)&gt;0," | + "&amp;'الإدخال اليومي'!AC122&amp;" طلب من "&amp;'الإدخال اليومي'!AB122&amp;" (محسوبة في الإجمالي)","")))</f>
        <v/>
      </c>
      <c r="R148" s="17">
        <f t="shared" si="4"/>
        <v>1</v>
      </c>
      <c r="S148" s="17" t="str">
        <f>IF($B148="","",IF('الإدخال اليومي'!AF122="","يعمل",'الإدخال اليومي'!AF122))</f>
        <v>يعمل</v>
      </c>
    </row>
    <row r="149" spans="1:19" x14ac:dyDescent="0.3">
      <c r="A149" s="15">
        <f>IF('الإدخال اليومي'!$B123="","",IF('الإدخال اليومي'!A123="","",'الإدخال اليومي'!A123))</f>
        <v>2527650747</v>
      </c>
      <c r="B149" s="16" t="str">
        <f>IF('الإدخال اليومي'!$B123="","",IF('الإدخال اليومي'!B123="","",'الإدخال اليومي'!B123))</f>
        <v>محمد دانشن</v>
      </c>
      <c r="C149" s="17" t="str">
        <f>IF('الإدخال اليومي'!$B123="","",IF('الإدخال اليومي'!C123="","",'الإدخال اليومي'!C123))</f>
        <v>نينجا</v>
      </c>
      <c r="D149" s="17">
        <f>IF($B149="","",119)</f>
        <v>119</v>
      </c>
      <c r="E149" s="17" t="str">
        <f>IF('الإدخال اليومي'!$B123="","",IF('الإدخال اليومي'!AD123="","",'الإدخال اليومي'!AD123))</f>
        <v/>
      </c>
      <c r="F149" s="18">
        <f>IF($B149="","",'الإدخال اليومي'!I123)</f>
        <v>59</v>
      </c>
      <c r="G149" s="19" t="str">
        <f>IF($B149="","",IF(N('الإدخال اليومي'!AG123)=0,"",'الإدخال اليومي'!AG123))</f>
        <v/>
      </c>
      <c r="H149" s="17" t="str">
        <f>IF('الإدخال اليومي'!$B123="","",IF('الإدخال اليومي'!AE123="","",'الإدخال اليومي'!AE123))</f>
        <v>خالد عباس</v>
      </c>
      <c r="I149" s="17">
        <f>IF($B149="","",IFERROR(INDEX('الإدخال اليومي'!K123:AA123,MATCH(الإعدادات!$B$2,'الإدخال اليومي'!$K$3:$AA$3,0)),0))</f>
        <v>0</v>
      </c>
      <c r="J149" s="20" t="str">
        <f>IF('الإدخال اليومي'!$B123="","",IF('الإدخال اليومي'!F123="","",'الإدخال اليومي'!F123))</f>
        <v/>
      </c>
      <c r="K149" s="17">
        <f>IF($B149="","",N('الإدخال اليومي'!G123)+MAX(0,الإعدادات!$B$2-MAX(الإعدادات!$B$10+1,N(J149))+1)-SUMPRODUCT(('الإدخال اليومي'!$L123:$AA123&gt;0)*('الإدخال اليومي'!$L$3:$AA$3&gt;=MAX(الإعدادات!$B$10+1,N(J149)))*('الإدخال اليومي'!$L$3:$AA$3&lt;=الإعدادات!$B$2)))</f>
        <v>2</v>
      </c>
      <c r="L149" s="17">
        <f>IF($B149="","",MAX(0,الإعدادات!$B$10-IF(J149="",الإعدادات!$B$9,MAX(J149,الإعدادات!$B$9))+1-N('الإدخال اليومي'!G123))+SUMPRODUCT(('الإدخال اليومي'!$L123:$AA123&gt;0)*('الإدخال اليومي'!$L$3:$AA$3&gt;=MAX(الإعدادات!$B$10+1,N(J149)))*('الإدخال اليومي'!$L$3:$AA$3&lt;=الإعدادات!$B$2)))</f>
        <v>15</v>
      </c>
      <c r="M149" s="19">
        <f>IF($B149="","",IF(C149="امازون","",(IFERROR(INDEX(الإعدادات!$B$19:$B$22,MATCH(C149,الإعدادات!$A$19:$A$22,0)),الإعدادات!$B$3)/الإعدادات!$B$4)*L149))</f>
        <v>180</v>
      </c>
      <c r="N149" s="21">
        <f t="shared" si="3"/>
        <v>0.32777777777777778</v>
      </c>
      <c r="O149" s="19">
        <f>IF($B149="","",IF(OR(C149="امازون",L149=0),"",ROUND(F149/L149*الإعدادات!$B$4,0)))</f>
        <v>118</v>
      </c>
      <c r="P149" s="22" t="str">
        <f>IF($B149="","",IF('الإدخال اليومي'!AF123="لا يعمل","مستبعد (ترك العمل)",IF('الإدخال اليومي'!AF123="اجازه","مستبعد (اجازة)",IF(C149="امازون","امازون (شحنات)",IF(L149=0,"مستبعد (لم يعمل)",IF(F149&gt;=M149,"حقق",IF(F149&gt;=M149*الإعدادات!$B$8,"قريب","بعيد")))))))</f>
        <v>مستبعد (ترك العمل)</v>
      </c>
      <c r="Q149" s="16" t="str">
        <f>IF($B149="","",TRIM('الإدخال اليومي'!H123&amp;IF(N('الإدخال اليومي'!AC123)&gt;0," | + "&amp;'الإدخال اليومي'!AC123&amp;" طلب من "&amp;'الإدخال اليومي'!AB123&amp;" (محسوبة في الإجمالي)","")))</f>
        <v>ترك العمل</v>
      </c>
      <c r="R149" s="17">
        <f t="shared" si="4"/>
        <v>1</v>
      </c>
      <c r="S149" s="17" t="str">
        <f>IF($B149="","",IF('الإدخال اليومي'!AF123="","يعمل",'الإدخال اليومي'!AF123))</f>
        <v>لا يعمل</v>
      </c>
    </row>
    <row r="150" spans="1:19" x14ac:dyDescent="0.3">
      <c r="A150" s="15" t="str">
        <f>IF('الإدخال اليومي'!$B124="","",IF('الإدخال اليومي'!A124="","",'الإدخال اليومي'!A124))</f>
        <v/>
      </c>
      <c r="B150" s="16" t="str">
        <f>IF('الإدخال اليومي'!$B124="","",IF('الإدخال اليومي'!B124="","",'الإدخال اليومي'!B124))</f>
        <v>مسعود رنا</v>
      </c>
      <c r="C150" s="17" t="str">
        <f>IF('الإدخال اليومي'!$B124="","",IF('الإدخال اليومي'!C124="","",'الإدخال اليومي'!C124))</f>
        <v>نينجا</v>
      </c>
      <c r="D150" s="17">
        <f>IF($B150="","",120)</f>
        <v>120</v>
      </c>
      <c r="E150" s="17" t="str">
        <f>IF('الإدخال اليومي'!$B124="","",IF('الإدخال اليومي'!AD124="","",'الإدخال اليومي'!AD124))</f>
        <v>يوزرات</v>
      </c>
      <c r="F150" s="18">
        <f>IF($B150="","",'الإدخال اليومي'!I124)</f>
        <v>75</v>
      </c>
      <c r="G150" s="19" t="str">
        <f>IF($B150="","",IF(N('الإدخال اليومي'!AG124)=0,"",'الإدخال اليومي'!AG124))</f>
        <v/>
      </c>
      <c r="H150" s="17" t="str">
        <f>IF('الإدخال اليومي'!$B124="","",IF('الإدخال اليومي'!AE124="","",'الإدخال اليومي'!AE124))</f>
        <v>خالد عباس</v>
      </c>
      <c r="I150" s="17">
        <f>IF($B150="","",IFERROR(INDEX('الإدخال اليومي'!K124:AA124,MATCH(الإعدادات!$B$2,'الإدخال اليومي'!$K$3:$AA$3,0)),0))</f>
        <v>8</v>
      </c>
      <c r="J150" s="20" t="str">
        <f>IF('الإدخال اليومي'!$B124="","",IF('الإدخال اليومي'!F124="","",'الإدخال اليومي'!F124))</f>
        <v/>
      </c>
      <c r="K150" s="17">
        <f>IF($B150="","",N('الإدخال اليومي'!G124)+MAX(0,الإعدادات!$B$2-MAX(الإعدادات!$B$10+1,N(J150))+1)-SUMPRODUCT(('الإدخال اليومي'!$L124:$AA124&gt;0)*('الإدخال اليومي'!$L$3:$AA$3&gt;=MAX(الإعدادات!$B$10+1,N(J150)))*('الإدخال اليومي'!$L$3:$AA$3&lt;=الإعدادات!$B$2)))</f>
        <v>0</v>
      </c>
      <c r="L150" s="17">
        <f>IF($B150="","",MAX(0,الإعدادات!$B$10-IF(J150="",الإعدادات!$B$9,MAX(J150,الإعدادات!$B$9))+1-N('الإدخال اليومي'!G124))+SUMPRODUCT(('الإدخال اليومي'!$L124:$AA124&gt;0)*('الإدخال اليومي'!$L$3:$AA$3&gt;=MAX(الإعدادات!$B$10+1,N(J150)))*('الإدخال اليومي'!$L$3:$AA$3&lt;=الإعدادات!$B$2)))</f>
        <v>17</v>
      </c>
      <c r="M150" s="19">
        <f>IF($B150="","",IF(C150="امازون","",(IFERROR(INDEX(الإعدادات!$B$19:$B$22,MATCH(C150,الإعدادات!$A$19:$A$22,0)),الإعدادات!$B$3)/الإعدادات!$B$4)*L150))</f>
        <v>204</v>
      </c>
      <c r="N150" s="21">
        <f t="shared" si="3"/>
        <v>0.36764705882352944</v>
      </c>
      <c r="O150" s="19">
        <f>IF($B150="","",IF(OR(C150="امازون",L150=0),"",ROUND(F150/L150*الإعدادات!$B$4,0)))</f>
        <v>132</v>
      </c>
      <c r="P150" s="22" t="str">
        <f>IF($B150="","",IF('الإدخال اليومي'!AF124="لا يعمل","مستبعد (ترك العمل)",IF('الإدخال اليومي'!AF124="اجازه","مستبعد (اجازة)",IF(C150="امازون","امازون (شحنات)",IF(L150=0,"مستبعد (لم يعمل)",IF(F150&gt;=M150,"حقق",IF(F150&gt;=M150*الإعدادات!$B$8,"قريب","بعيد")))))))</f>
        <v>بعيد</v>
      </c>
      <c r="Q150" s="16" t="str">
        <f>IF($B150="","",TRIM('الإدخال اليومي'!H124&amp;IF(N('الإدخال اليومي'!AC124)&gt;0," | + "&amp;'الإدخال اليومي'!AC124&amp;" طلب من "&amp;'الإدخال اليومي'!AB124&amp;" (محسوبة في الإجمالي)","")))</f>
        <v/>
      </c>
      <c r="R150" s="17">
        <f t="shared" si="4"/>
        <v>1</v>
      </c>
      <c r="S150" s="17" t="str">
        <f>IF($B150="","",IF('الإدخال اليومي'!AF124="","يعمل",'الإدخال اليومي'!AF124))</f>
        <v>يعمل</v>
      </c>
    </row>
    <row r="151" spans="1:19" x14ac:dyDescent="0.3">
      <c r="A151" s="15">
        <f>IF('الإدخال اليومي'!$B125="","",IF('الإدخال اليومي'!A125="","",'الإدخال اليومي'!A125))</f>
        <v>2015321132</v>
      </c>
      <c r="B151" s="16" t="str">
        <f>IF('الإدخال اليومي'!$B125="","",IF('الإدخال اليومي'!B125="","",'الإدخال اليومي'!B125))</f>
        <v>محمد حسن احمد عوض</v>
      </c>
      <c r="C151" s="17" t="str">
        <f>IF('الإدخال اليومي'!$B125="","",IF('الإدخال اليومي'!C125="","",'الإدخال اليومي'!C125))</f>
        <v>كيتا</v>
      </c>
      <c r="D151" s="17">
        <f>IF($B151="","",121)</f>
        <v>121</v>
      </c>
      <c r="E151" s="17" t="str">
        <f>IF('الإدخال اليومي'!$B125="","",IF('الإدخال اليومي'!AD125="","",'الإدخال اليومي'!AD125))</f>
        <v>كفالة</v>
      </c>
      <c r="F151" s="18">
        <f>IF($B151="","",'الإدخال اليومي'!I125)</f>
        <v>0</v>
      </c>
      <c r="G151" s="19" t="str">
        <f>IF($B151="","",IF(N('الإدخال اليومي'!AG125)=0,"",'الإدخال اليومي'!AG125))</f>
        <v/>
      </c>
      <c r="H151" s="17" t="str">
        <f>IF('الإدخال اليومي'!$B125="","",IF('الإدخال اليومي'!AE125="","",'الإدخال اليومي'!AE125))</f>
        <v>إسلام سرور</v>
      </c>
      <c r="I151" s="17">
        <f>IF($B151="","",IFERROR(INDEX('الإدخال اليومي'!K125:AA125,MATCH(الإعدادات!$B$2,'الإدخال اليومي'!$K$3:$AA$3,0)),0))</f>
        <v>0</v>
      </c>
      <c r="J151" s="20" t="str">
        <f>IF('الإدخال اليومي'!$B125="","",IF('الإدخال اليومي'!F125="","",'الإدخال اليومي'!F125))</f>
        <v/>
      </c>
      <c r="K151" s="17">
        <f>IF($B151="","",N('الإدخال اليومي'!G125)+MAX(0,الإعدادات!$B$2-MAX(الإعدادات!$B$10+1,N(J151))+1)-SUMPRODUCT(('الإدخال اليومي'!$L125:$AA125&gt;0)*('الإدخال اليومي'!$L$3:$AA$3&gt;=MAX(الإعدادات!$B$10+1,N(J151)))*('الإدخال اليومي'!$L$3:$AA$3&lt;=الإعدادات!$B$2)))</f>
        <v>2</v>
      </c>
      <c r="L151" s="17">
        <f>IF($B151="","",MAX(0,الإعدادات!$B$10-IF(J151="",الإعدادات!$B$9,MAX(J151,الإعدادات!$B$9))+1-N('الإدخال اليومي'!G125))+SUMPRODUCT(('الإدخال اليومي'!$L125:$AA125&gt;0)*('الإدخال اليومي'!$L$3:$AA$3&gt;=MAX(الإعدادات!$B$10+1,N(J151)))*('الإدخال اليومي'!$L$3:$AA$3&lt;=الإعدادات!$B$2)))</f>
        <v>15</v>
      </c>
      <c r="M151" s="19">
        <f>IF($B151="","",IF(C151="امازون","",(IFERROR(INDEX(الإعدادات!$B$19:$B$22,MATCH(C151,الإعدادات!$A$19:$A$22,0)),الإعدادات!$B$3)/الإعدادات!$B$4)*L151))</f>
        <v>225</v>
      </c>
      <c r="N151" s="21">
        <f t="shared" si="3"/>
        <v>0</v>
      </c>
      <c r="O151" s="19">
        <f>IF($B151="","",IF(OR(C151="امازون",L151=0),"",ROUND(F151/L151*الإعدادات!$B$4,0)))</f>
        <v>0</v>
      </c>
      <c r="P151" s="22" t="str">
        <f>IF($B151="","",IF('الإدخال اليومي'!AF125="لا يعمل","مستبعد (ترك العمل)",IF('الإدخال اليومي'!AF125="اجازه","مستبعد (اجازة)",IF(C151="امازون","امازون (شحنات)",IF(L151=0,"مستبعد (لم يعمل)",IF(F151&gt;=M151,"حقق",IF(F151&gt;=M151*الإعدادات!$B$8,"قريب","بعيد")))))))</f>
        <v>بعيد</v>
      </c>
      <c r="Q151" s="16" t="str">
        <f>IF($B151="","",TRIM('الإدخال اليومي'!H125&amp;IF(N('الإدخال اليومي'!AC125)&gt;0," | + "&amp;'الإدخال اليومي'!AC125&amp;" طلب من "&amp;'الإدخال اليومي'!AB125&amp;" (محسوبة في الإجمالي)","")))</f>
        <v>ترك العمل</v>
      </c>
      <c r="R151" s="17">
        <f t="shared" si="4"/>
        <v>1</v>
      </c>
      <c r="S151" s="17" t="str">
        <f>IF($B151="","",IF('الإدخال اليومي'!AF125="","يعمل",'الإدخال اليومي'!AF125))</f>
        <v>يعمل</v>
      </c>
    </row>
    <row r="152" spans="1:19" x14ac:dyDescent="0.3">
      <c r="A152" s="15">
        <f>IF('الإدخال اليومي'!$B126="","",IF('الإدخال اليومي'!A126="","",'الإدخال اليومي'!A126))</f>
        <v>2548468749</v>
      </c>
      <c r="B152" s="16" t="str">
        <f>IF('الإدخال اليومي'!$B126="","",IF('الإدخال اليومي'!B126="","",'الإدخال اليومي'!B126))</f>
        <v>عريف الرحمن</v>
      </c>
      <c r="C152" s="17" t="str">
        <f>IF('الإدخال اليومي'!$B126="","",IF('الإدخال اليومي'!C126="","",'الإدخال اليومي'!C126))</f>
        <v>امازون</v>
      </c>
      <c r="D152" s="17">
        <f>IF($B152="","",122)</f>
        <v>122</v>
      </c>
      <c r="E152" s="17" t="str">
        <f>IF('الإدخال اليومي'!$B126="","",IF('الإدخال اليومي'!AD126="","",'الإدخال اليومي'!AD126))</f>
        <v>كفالة</v>
      </c>
      <c r="F152" s="18">
        <f>IF($B152="","",'الإدخال اليومي'!I126)</f>
        <v>78</v>
      </c>
      <c r="G152" s="19" t="str">
        <f>IF($B152="","",IF(N('الإدخال اليومي'!AG126)=0,"",'الإدخال اليومي'!AG126))</f>
        <v/>
      </c>
      <c r="H152" s="17" t="str">
        <f>IF('الإدخال اليومي'!$B126="","",IF('الإدخال اليومي'!AE126="","",'الإدخال اليومي'!AE126))</f>
        <v>عبدالرحمن رحومة</v>
      </c>
      <c r="I152" s="17">
        <f>IF($B152="","",IFERROR(INDEX('الإدخال اليومي'!K126:AA126,MATCH(الإعدادات!$B$2,'الإدخال اليومي'!$K$3:$AA$3,0)),0))</f>
        <v>13</v>
      </c>
      <c r="J152" s="20">
        <f>IF('الإدخال اليومي'!$B126="","",IF('الإدخال اليومي'!F126="","",'الإدخال اليومي'!F126))</f>
        <v>45351</v>
      </c>
      <c r="K152" s="17">
        <f>IF($B152="","",N('الإدخال اليومي'!G126)+MAX(0,الإعدادات!$B$2-MAX(الإعدادات!$B$10+1,N(J152))+1)-SUMPRODUCT(('الإدخال اليومي'!$L126:$AA126&gt;0)*('الإدخال اليومي'!$L$3:$AA$3&gt;=MAX(الإعدادات!$B$10+1,N(J152)))*('الإدخال اليومي'!$L$3:$AA$3&lt;=الإعدادات!$B$2)))</f>
        <v>0</v>
      </c>
      <c r="L152" s="17">
        <f>IF($B152="","",MAX(0,الإعدادات!$B$10-IF(J152="",الإعدادات!$B$9,MAX(J152,الإعدادات!$B$9))+1-N('الإدخال اليومي'!G126))+SUMPRODUCT(('الإدخال اليومي'!$L126:$AA126&gt;0)*('الإدخال اليومي'!$L$3:$AA$3&gt;=MAX(الإعدادات!$B$10+1,N(J152)))*('الإدخال اليومي'!$L$3:$AA$3&lt;=الإعدادات!$B$2)))</f>
        <v>17</v>
      </c>
      <c r="M152" s="19" t="str">
        <f>IF($B152="","",IF(C152="امازون","",(IFERROR(INDEX(الإعدادات!$B$19:$B$22,MATCH(C152,الإعدادات!$A$19:$A$22,0)),الإعدادات!$B$3)/الإعدادات!$B$4)*L152))</f>
        <v/>
      </c>
      <c r="N152" s="21" t="str">
        <f t="shared" si="3"/>
        <v/>
      </c>
      <c r="O152" s="19" t="str">
        <f>IF($B152="","",IF(OR(C152="امازون",L152=0),"",ROUND(F152/L152*الإعدادات!$B$4,0)))</f>
        <v/>
      </c>
      <c r="P152" s="22" t="str">
        <f>IF($B152="","",IF('الإدخال اليومي'!AF126="لا يعمل","مستبعد (ترك العمل)",IF('الإدخال اليومي'!AF126="اجازه","مستبعد (اجازة)",IF(C152="امازون","امازون (شحنات)",IF(L152=0,"مستبعد (لم يعمل)",IF(F152&gt;=M152,"حقق",IF(F152&gt;=M152*الإعدادات!$B$8,"قريب","بعيد")))))))</f>
        <v>امازون (شحنات)</v>
      </c>
      <c r="Q152" s="16" t="str">
        <f>IF($B152="","",TRIM('الإدخال اليومي'!H126&amp;IF(N('الإدخال اليومي'!AC126)&gt;0," | + "&amp;'الإدخال اليومي'!AC126&amp;" طلب من "&amp;'الإدخال اليومي'!AB126&amp;" (محسوبة في الإجمالي)","")))</f>
        <v>امازون يعمل بعد الدوام في كيتا / وليس ثابت</v>
      </c>
      <c r="R152" s="17">
        <f t="shared" si="4"/>
        <v>1</v>
      </c>
      <c r="S152" s="17" t="str">
        <f>IF($B152="","",IF('الإدخال اليومي'!AF126="","يعمل",'الإدخال اليومي'!AF126))</f>
        <v>يعمل</v>
      </c>
    </row>
    <row r="153" spans="1:19" x14ac:dyDescent="0.3">
      <c r="A153" s="15">
        <f>IF('الإدخال اليومي'!$B127="","",IF('الإدخال اليومي'!A127="","",'الإدخال اليومي'!A127))</f>
        <v>2635559079</v>
      </c>
      <c r="B153" s="16" t="str">
        <f>IF('الإدخال اليومي'!$B127="","",IF('الإدخال اليومي'!B127="","",'الإدخال اليومي'!B127))</f>
        <v>علاء جابر</v>
      </c>
      <c r="C153" s="17" t="str">
        <f>IF('الإدخال اليومي'!$B127="","",IF('الإدخال اليومي'!C127="","",'الإدخال اليومي'!C127))</f>
        <v>امازون</v>
      </c>
      <c r="D153" s="17">
        <f>IF($B153="","",123)</f>
        <v>123</v>
      </c>
      <c r="E153" s="17" t="str">
        <f>IF('الإدخال اليومي'!$B127="","",IF('الإدخال اليومي'!AD127="","",'الإدخال اليومي'!AD127))</f>
        <v>كفالة</v>
      </c>
      <c r="F153" s="18">
        <f>IF($B153="","",'الإدخال اليومي'!I127)</f>
        <v>30</v>
      </c>
      <c r="G153" s="19" t="str">
        <f>IF($B153="","",IF(N('الإدخال اليومي'!AG127)=0,"",'الإدخال اليومي'!AG127))</f>
        <v/>
      </c>
      <c r="H153" s="17" t="str">
        <f>IF('الإدخال اليومي'!$B127="","",IF('الإدخال اليومي'!AE127="","",'الإدخال اليومي'!AE127))</f>
        <v>عبدالرحمن رحومة</v>
      </c>
      <c r="I153" s="17">
        <f>IF($B153="","",IFERROR(INDEX('الإدخال اليومي'!K127:AA127,MATCH(الإعدادات!$B$2,'الإدخال اليومي'!$K$3:$AA$3,0)),0))</f>
        <v>0</v>
      </c>
      <c r="J153" s="20">
        <f>IF('الإدخال اليومي'!$B127="","",IF('الإدخال اليومي'!F127="","",'الإدخال اليومي'!F127))</f>
        <v>46132</v>
      </c>
      <c r="K153" s="17">
        <f>IF($B153="","",N('الإدخال اليومي'!G127)+MAX(0,الإعدادات!$B$2-MAX(الإعدادات!$B$10+1,N(J153))+1)-SUMPRODUCT(('الإدخال اليومي'!$L127:$AA127&gt;0)*('الإدخال اليومي'!$L$3:$AA$3&gt;=MAX(الإعدادات!$B$10+1,N(J153)))*('الإدخال اليومي'!$L$3:$AA$3&lt;=الإعدادات!$B$2)))</f>
        <v>2</v>
      </c>
      <c r="L153" s="17">
        <f>IF($B153="","",MAX(0,الإعدادات!$B$10-IF(J153="",الإعدادات!$B$9,MAX(J153,الإعدادات!$B$9))+1-N('الإدخال اليومي'!G127))+SUMPRODUCT(('الإدخال اليومي'!$L127:$AA127&gt;0)*('الإدخال اليومي'!$L$3:$AA$3&gt;=MAX(الإعدادات!$B$10+1,N(J153)))*('الإدخال اليومي'!$L$3:$AA$3&lt;=الإعدادات!$B$2)))</f>
        <v>15</v>
      </c>
      <c r="M153" s="19" t="str">
        <f>IF($B153="","",IF(C153="امازون","",(IFERROR(INDEX(الإعدادات!$B$19:$B$22,MATCH(C153,الإعدادات!$A$19:$A$22,0)),الإعدادات!$B$3)/الإعدادات!$B$4)*L153))</f>
        <v/>
      </c>
      <c r="N153" s="21" t="str">
        <f t="shared" si="3"/>
        <v/>
      </c>
      <c r="O153" s="19" t="str">
        <f>IF($B153="","",IF(OR(C153="امازون",L153=0),"",ROUND(F153/L153*الإعدادات!$B$4,0)))</f>
        <v/>
      </c>
      <c r="P153" s="22" t="str">
        <f>IF($B153="","",IF('الإدخال اليومي'!AF127="لا يعمل","مستبعد (ترك العمل)",IF('الإدخال اليومي'!AF127="اجازه","مستبعد (اجازة)",IF(C153="امازون","امازون (شحنات)",IF(L153=0,"مستبعد (لم يعمل)",IF(F153&gt;=M153,"حقق",IF(F153&gt;=M153*الإعدادات!$B$8,"قريب","بعيد")))))))</f>
        <v>امازون (شحنات)</v>
      </c>
      <c r="Q153" s="16" t="str">
        <f>IF($B153="","",TRIM('الإدخال اليومي'!H127&amp;IF(N('الإدخال اليومي'!AC127)&gt;0," | + "&amp;'الإدخال اليومي'!AC127&amp;" طلب من "&amp;'الإدخال اليومي'!AB127&amp;" (محسوبة في الإجمالي)","")))</f>
        <v>امازون يعمل بعد الدوام في كيتا / وليس ثابت</v>
      </c>
      <c r="R153" s="17">
        <f t="shared" si="4"/>
        <v>1</v>
      </c>
      <c r="S153" s="17" t="str">
        <f>IF($B153="","",IF('الإدخال اليومي'!AF127="","يعمل",'الإدخال اليومي'!AF127))</f>
        <v>يعمل</v>
      </c>
    </row>
    <row r="154" spans="1:19" x14ac:dyDescent="0.3">
      <c r="A154" s="15">
        <f>IF('الإدخال اليومي'!$B128="","",IF('الإدخال اليومي'!A128="","",'الإدخال اليومي'!A128))</f>
        <v>2586503613</v>
      </c>
      <c r="B154" s="16" t="str">
        <f>IF('الإدخال اليومي'!$B128="","",IF('الإدخال اليومي'!B128="","",'الإدخال اليومي'!B128))</f>
        <v>ABDUR RAHMAN</v>
      </c>
      <c r="C154" s="17" t="str">
        <f>IF('الإدخال اليومي'!$B128="","",IF('الإدخال اليومي'!C128="","",'الإدخال اليومي'!C128))</f>
        <v>امازون</v>
      </c>
      <c r="D154" s="17">
        <f>IF($B154="","",124)</f>
        <v>124</v>
      </c>
      <c r="E154" s="17" t="str">
        <f>IF('الإدخال اليومي'!$B128="","",IF('الإدخال اليومي'!AD128="","",'الإدخال اليومي'!AD128))</f>
        <v>كفالة</v>
      </c>
      <c r="F154" s="18">
        <f>IF($B154="","",'الإدخال اليومي'!I128)</f>
        <v>0</v>
      </c>
      <c r="G154" s="19" t="str">
        <f>IF($B154="","",IF(N('الإدخال اليومي'!AG128)=0,"",'الإدخال اليومي'!AG128))</f>
        <v/>
      </c>
      <c r="H154" s="17" t="str">
        <f>IF('الإدخال اليومي'!$B128="","",IF('الإدخال اليومي'!AE128="","",'الإدخال اليومي'!AE128))</f>
        <v>عبدالرحمن رحومة</v>
      </c>
      <c r="I154" s="17">
        <f>IF($B154="","",IFERROR(INDEX('الإدخال اليومي'!K128:AA128,MATCH(الإعدادات!$B$2,'الإدخال اليومي'!$K$3:$AA$3,0)),0))</f>
        <v>0</v>
      </c>
      <c r="J154" s="20">
        <f>IF('الإدخال اليومي'!$B128="","",IF('الإدخال اليومي'!F128="","",'الإدخال اليومي'!F128))</f>
        <v>45924</v>
      </c>
      <c r="K154" s="17">
        <f>IF($B154="","",N('الإدخال اليومي'!G128)+MAX(0,الإعدادات!$B$2-MAX(الإعدادات!$B$10+1,N(J154))+1)-SUMPRODUCT(('الإدخال اليومي'!$L128:$AA128&gt;0)*('الإدخال اليومي'!$L$3:$AA$3&gt;=MAX(الإعدادات!$B$10+1,N(J154)))*('الإدخال اليومي'!$L$3:$AA$3&lt;=الإعدادات!$B$2)))</f>
        <v>2</v>
      </c>
      <c r="L154" s="17">
        <f>IF($B154="","",MAX(0,الإعدادات!$B$10-IF(J154="",الإعدادات!$B$9,MAX(J154,الإعدادات!$B$9))+1-N('الإدخال اليومي'!G128))+SUMPRODUCT(('الإدخال اليومي'!$L128:$AA128&gt;0)*('الإدخال اليومي'!$L$3:$AA$3&gt;=MAX(الإعدادات!$B$10+1,N(J154)))*('الإدخال اليومي'!$L$3:$AA$3&lt;=الإعدادات!$B$2)))</f>
        <v>15</v>
      </c>
      <c r="M154" s="19" t="str">
        <f>IF($B154="","",IF(C154="امازون","",(IFERROR(INDEX(الإعدادات!$B$19:$B$22,MATCH(C154,الإعدادات!$A$19:$A$22,0)),الإعدادات!$B$3)/الإعدادات!$B$4)*L154))</f>
        <v/>
      </c>
      <c r="N154" s="21" t="str">
        <f t="shared" si="3"/>
        <v/>
      </c>
      <c r="O154" s="19" t="str">
        <f>IF($B154="","",IF(OR(C154="امازون",L154=0),"",ROUND(F154/L154*الإعدادات!$B$4,0)))</f>
        <v/>
      </c>
      <c r="P154" s="22" t="str">
        <f>IF($B154="","",IF('الإدخال اليومي'!AF128="لا يعمل","مستبعد (ترك العمل)",IF('الإدخال اليومي'!AF128="اجازه","مستبعد (اجازة)",IF(C154="امازون","امازون (شحنات)",IF(L154=0,"مستبعد (لم يعمل)",IF(F154&gt;=M154,"حقق",IF(F154&gt;=M154*الإعدادات!$B$8,"قريب","بعيد")))))))</f>
        <v>امازون (شحنات)</v>
      </c>
      <c r="Q154" s="16" t="str">
        <f>IF($B154="","",TRIM('الإدخال اليومي'!H128&amp;IF(N('الإدخال اليومي'!AC128)&gt;0," | + "&amp;'الإدخال اليومي'!AC128&amp;" طلب من "&amp;'الإدخال اليومي'!AB128&amp;" (محسوبة في الإجمالي)","")))</f>
        <v/>
      </c>
      <c r="R154" s="17">
        <f t="shared" si="4"/>
        <v>1</v>
      </c>
      <c r="S154" s="17" t="str">
        <f>IF($B154="","",IF('الإدخال اليومي'!AF128="","يعمل",'الإدخال اليومي'!AF128))</f>
        <v>يعمل</v>
      </c>
    </row>
    <row r="155" spans="1:19" ht="27.6" x14ac:dyDescent="0.3">
      <c r="A155" s="15">
        <f>IF('الإدخال اليومي'!$B129="","",IF('الإدخال اليومي'!A129="","",'الإدخال اليومي'!A129))</f>
        <v>2562202172</v>
      </c>
      <c r="B155" s="16" t="str">
        <f>IF('الإدخال اليومي'!$B129="","",IF('الإدخال اليومي'!B129="","",'الإدخال اليومي'!B129))</f>
        <v>AFAQ AHMED MUHAMMAD SAFDAR</v>
      </c>
      <c r="C155" s="17" t="str">
        <f>IF('الإدخال اليومي'!$B129="","",IF('الإدخال اليومي'!C129="","",'الإدخال اليومي'!C129))</f>
        <v>امازون</v>
      </c>
      <c r="D155" s="17">
        <f>IF($B155="","",125)</f>
        <v>125</v>
      </c>
      <c r="E155" s="17" t="str">
        <f>IF('الإدخال اليومي'!$B129="","",IF('الإدخال اليومي'!AD129="","",'الإدخال اليومي'!AD129))</f>
        <v>كفالة</v>
      </c>
      <c r="F155" s="18">
        <f>IF($B155="","",'الإدخال اليومي'!I129)</f>
        <v>0</v>
      </c>
      <c r="G155" s="19" t="str">
        <f>IF($B155="","",IF(N('الإدخال اليومي'!AG129)=0,"",'الإدخال اليومي'!AG129))</f>
        <v/>
      </c>
      <c r="H155" s="17" t="str">
        <f>IF('الإدخال اليومي'!$B129="","",IF('الإدخال اليومي'!AE129="","",'الإدخال اليومي'!AE129))</f>
        <v>عبدالرحمن رحومة</v>
      </c>
      <c r="I155" s="17">
        <f>IF($B155="","",IFERROR(INDEX('الإدخال اليومي'!K129:AA129,MATCH(الإعدادات!$B$2,'الإدخال اليومي'!$K$3:$AA$3,0)),0))</f>
        <v>0</v>
      </c>
      <c r="J155" s="20">
        <f>IF('الإدخال اليومي'!$B129="","",IF('الإدخال اليومي'!F129="","",'الإدخال اليومي'!F129))</f>
        <v>45351</v>
      </c>
      <c r="K155" s="17">
        <f>IF($B155="","",N('الإدخال اليومي'!G129)+MAX(0,الإعدادات!$B$2-MAX(الإعدادات!$B$10+1,N(J155))+1)-SUMPRODUCT(('الإدخال اليومي'!$L129:$AA129&gt;0)*('الإدخال اليومي'!$L$3:$AA$3&gt;=MAX(الإعدادات!$B$10+1,N(J155)))*('الإدخال اليومي'!$L$3:$AA$3&lt;=الإعدادات!$B$2)))</f>
        <v>2</v>
      </c>
      <c r="L155" s="17">
        <f>IF($B155="","",MAX(0,الإعدادات!$B$10-IF(J155="",الإعدادات!$B$9,MAX(J155,الإعدادات!$B$9))+1-N('الإدخال اليومي'!G129))+SUMPRODUCT(('الإدخال اليومي'!$L129:$AA129&gt;0)*('الإدخال اليومي'!$L$3:$AA$3&gt;=MAX(الإعدادات!$B$10+1,N(J155)))*('الإدخال اليومي'!$L$3:$AA$3&lt;=الإعدادات!$B$2)))</f>
        <v>15</v>
      </c>
      <c r="M155" s="19" t="str">
        <f>IF($B155="","",IF(C155="امازون","",(IFERROR(INDEX(الإعدادات!$B$19:$B$22,MATCH(C155,الإعدادات!$A$19:$A$22,0)),الإعدادات!$B$3)/الإعدادات!$B$4)*L155))</f>
        <v/>
      </c>
      <c r="N155" s="21" t="str">
        <f t="shared" si="3"/>
        <v/>
      </c>
      <c r="O155" s="19" t="str">
        <f>IF($B155="","",IF(OR(C155="امازون",L155=0),"",ROUND(F155/L155*الإعدادات!$B$4,0)))</f>
        <v/>
      </c>
      <c r="P155" s="22" t="str">
        <f>IF($B155="","",IF('الإدخال اليومي'!AF129="لا يعمل","مستبعد (ترك العمل)",IF('الإدخال اليومي'!AF129="اجازه","مستبعد (اجازة)",IF(C155="امازون","امازون (شحنات)",IF(L155=0,"مستبعد (لم يعمل)",IF(F155&gt;=M155,"حقق",IF(F155&gt;=M155*الإعدادات!$B$8,"قريب","بعيد")))))))</f>
        <v>امازون (شحنات)</v>
      </c>
      <c r="Q155" s="16" t="str">
        <f>IF($B155="","",TRIM('الإدخال اليومي'!H129&amp;IF(N('الإدخال اليومي'!AC129)&gt;0," | + "&amp;'الإدخال اليومي'!AC129&amp;" طلب من "&amp;'الإدخال اليومي'!AB129&amp;" (محسوبة في الإجمالي)","")))</f>
        <v/>
      </c>
      <c r="R155" s="17">
        <f t="shared" si="4"/>
        <v>1</v>
      </c>
      <c r="S155" s="17" t="str">
        <f>IF($B155="","",IF('الإدخال اليومي'!AF129="","يعمل",'الإدخال اليومي'!AF129))</f>
        <v>يعمل</v>
      </c>
    </row>
    <row r="156" spans="1:19" x14ac:dyDescent="0.3">
      <c r="A156" s="15">
        <f>IF('الإدخال اليومي'!$B130="","",IF('الإدخال اليومي'!A130="","",'الإدخال اليومي'!A130))</f>
        <v>2561738671</v>
      </c>
      <c r="B156" s="16" t="str">
        <f>IF('الإدخال اليومي'!$B130="","",IF('الإدخال اليومي'!B130="","",'الإدخال اليومي'!B130))</f>
        <v>ANTOR MIA MD ABDUL HELIM</v>
      </c>
      <c r="C156" s="17" t="str">
        <f>IF('الإدخال اليومي'!$B130="","",IF('الإدخال اليومي'!C130="","",'الإدخال اليومي'!C130))</f>
        <v>امازون</v>
      </c>
      <c r="D156" s="17">
        <f>IF($B156="","",126)</f>
        <v>126</v>
      </c>
      <c r="E156" s="17" t="str">
        <f>IF('الإدخال اليومي'!$B130="","",IF('الإدخال اليومي'!AD130="","",'الإدخال اليومي'!AD130))</f>
        <v>كفالة</v>
      </c>
      <c r="F156" s="18">
        <f>IF($B156="","",'الإدخال اليومي'!I130)</f>
        <v>0</v>
      </c>
      <c r="G156" s="19" t="str">
        <f>IF($B156="","",IF(N('الإدخال اليومي'!AG130)=0,"",'الإدخال اليومي'!AG130))</f>
        <v/>
      </c>
      <c r="H156" s="17" t="str">
        <f>IF('الإدخال اليومي'!$B130="","",IF('الإدخال اليومي'!AE130="","",'الإدخال اليومي'!AE130))</f>
        <v>عبدالرحمن رحومة</v>
      </c>
      <c r="I156" s="17">
        <f>IF($B156="","",IFERROR(INDEX('الإدخال اليومي'!K130:AA130,MATCH(الإعدادات!$B$2,'الإدخال اليومي'!$K$3:$AA$3,0)),0))</f>
        <v>0</v>
      </c>
      <c r="J156" s="20">
        <f>IF('الإدخال اليومي'!$B130="","",IF('الإدخال اليومي'!F130="","",'الإدخال اليومي'!F130))</f>
        <v>45382</v>
      </c>
      <c r="K156" s="17">
        <f>IF($B156="","",N('الإدخال اليومي'!G130)+MAX(0,الإعدادات!$B$2-MAX(الإعدادات!$B$10+1,N(J156))+1)-SUMPRODUCT(('الإدخال اليومي'!$L130:$AA130&gt;0)*('الإدخال اليومي'!$L$3:$AA$3&gt;=MAX(الإعدادات!$B$10+1,N(J156)))*('الإدخال اليومي'!$L$3:$AA$3&lt;=الإعدادات!$B$2)))</f>
        <v>2</v>
      </c>
      <c r="L156" s="17">
        <f>IF($B156="","",MAX(0,الإعدادات!$B$10-IF(J156="",الإعدادات!$B$9,MAX(J156,الإعدادات!$B$9))+1-N('الإدخال اليومي'!G130))+SUMPRODUCT(('الإدخال اليومي'!$L130:$AA130&gt;0)*('الإدخال اليومي'!$L$3:$AA$3&gt;=MAX(الإعدادات!$B$10+1,N(J156)))*('الإدخال اليومي'!$L$3:$AA$3&lt;=الإعدادات!$B$2)))</f>
        <v>15</v>
      </c>
      <c r="M156" s="19" t="str">
        <f>IF($B156="","",IF(C156="امازون","",(IFERROR(INDEX(الإعدادات!$B$19:$B$22,MATCH(C156,الإعدادات!$A$19:$A$22,0)),الإعدادات!$B$3)/الإعدادات!$B$4)*L156))</f>
        <v/>
      </c>
      <c r="N156" s="21" t="str">
        <f t="shared" si="3"/>
        <v/>
      </c>
      <c r="O156" s="19" t="str">
        <f>IF($B156="","",IF(OR(C156="امازون",L156=0),"",ROUND(F156/L156*الإعدادات!$B$4,0)))</f>
        <v/>
      </c>
      <c r="P156" s="22" t="str">
        <f>IF($B156="","",IF('الإدخال اليومي'!AF130="لا يعمل","مستبعد (ترك العمل)",IF('الإدخال اليومي'!AF130="اجازه","مستبعد (اجازة)",IF(C156="امازون","امازون (شحنات)",IF(L156=0,"مستبعد (لم يعمل)",IF(F156&gt;=M156,"حقق",IF(F156&gt;=M156*الإعدادات!$B$8,"قريب","بعيد")))))))</f>
        <v>امازون (شحنات)</v>
      </c>
      <c r="Q156" s="16" t="str">
        <f>IF($B156="","",TRIM('الإدخال اليومي'!H130&amp;IF(N('الإدخال اليومي'!AC130)&gt;0," | + "&amp;'الإدخال اليومي'!AC130&amp;" طلب من "&amp;'الإدخال اليومي'!AB130&amp;" (محسوبة في الإجمالي)","")))</f>
        <v/>
      </c>
      <c r="R156" s="17">
        <f t="shared" si="4"/>
        <v>1</v>
      </c>
      <c r="S156" s="17" t="str">
        <f>IF($B156="","",IF('الإدخال اليومي'!AF130="","يعمل",'الإدخال اليومي'!AF130))</f>
        <v>يعمل</v>
      </c>
    </row>
    <row r="157" spans="1:19" ht="27.6" x14ac:dyDescent="0.3">
      <c r="A157" s="15">
        <f>IF('الإدخال اليومي'!$B131="","",IF('الإدخال اليومي'!A131="","",'الإدخال اليومي'!A131))</f>
        <v>2560883593</v>
      </c>
      <c r="B157" s="16" t="str">
        <f>IF('الإدخال اليومي'!$B131="","",IF('الإدخال اليومي'!B131="","",'الإدخال اليومي'!B131))</f>
        <v>FAIZAN ALI MUHAMMAD NAZIR AHMAD</v>
      </c>
      <c r="C157" s="17" t="str">
        <f>IF('الإدخال اليومي'!$B131="","",IF('الإدخال اليومي'!C131="","",'الإدخال اليومي'!C131))</f>
        <v>امازون</v>
      </c>
      <c r="D157" s="17">
        <f>IF($B157="","",127)</f>
        <v>127</v>
      </c>
      <c r="E157" s="17" t="str">
        <f>IF('الإدخال اليومي'!$B131="","",IF('الإدخال اليومي'!AD131="","",'الإدخال اليومي'!AD131))</f>
        <v>كفالة</v>
      </c>
      <c r="F157" s="18">
        <f>IF($B157="","",'الإدخال اليومي'!I131)</f>
        <v>0</v>
      </c>
      <c r="G157" s="19" t="str">
        <f>IF($B157="","",IF(N('الإدخال اليومي'!AG131)=0,"",'الإدخال اليومي'!AG131))</f>
        <v/>
      </c>
      <c r="H157" s="17" t="str">
        <f>IF('الإدخال اليومي'!$B131="","",IF('الإدخال اليومي'!AE131="","",'الإدخال اليومي'!AE131))</f>
        <v>عبدالرحمن رحومة</v>
      </c>
      <c r="I157" s="17">
        <f>IF($B157="","",IFERROR(INDEX('الإدخال اليومي'!K131:AA131,MATCH(الإعدادات!$B$2,'الإدخال اليومي'!$K$3:$AA$3,0)),0))</f>
        <v>0</v>
      </c>
      <c r="J157" s="20">
        <f>IF('الإدخال اليومي'!$B131="","",IF('الإدخال اليومي'!F131="","",'الإدخال اليومي'!F131))</f>
        <v>45351</v>
      </c>
      <c r="K157" s="17">
        <f>IF($B157="","",N('الإدخال اليومي'!G131)+MAX(0,الإعدادات!$B$2-MAX(الإعدادات!$B$10+1,N(J157))+1)-SUMPRODUCT(('الإدخال اليومي'!$L131:$AA131&gt;0)*('الإدخال اليومي'!$L$3:$AA$3&gt;=MAX(الإعدادات!$B$10+1,N(J157)))*('الإدخال اليومي'!$L$3:$AA$3&lt;=الإعدادات!$B$2)))</f>
        <v>2</v>
      </c>
      <c r="L157" s="17">
        <f>IF($B157="","",MAX(0,الإعدادات!$B$10-IF(J157="",الإعدادات!$B$9,MAX(J157,الإعدادات!$B$9))+1-N('الإدخال اليومي'!G131))+SUMPRODUCT(('الإدخال اليومي'!$L131:$AA131&gt;0)*('الإدخال اليومي'!$L$3:$AA$3&gt;=MAX(الإعدادات!$B$10+1,N(J157)))*('الإدخال اليومي'!$L$3:$AA$3&lt;=الإعدادات!$B$2)))</f>
        <v>15</v>
      </c>
      <c r="M157" s="19" t="str">
        <f>IF($B157="","",IF(C157="امازون","",(IFERROR(INDEX(الإعدادات!$B$19:$B$22,MATCH(C157,الإعدادات!$A$19:$A$22,0)),الإعدادات!$B$3)/الإعدادات!$B$4)*L157))</f>
        <v/>
      </c>
      <c r="N157" s="21" t="str">
        <f t="shared" si="3"/>
        <v/>
      </c>
      <c r="O157" s="19" t="str">
        <f>IF($B157="","",IF(OR(C157="امازون",L157=0),"",ROUND(F157/L157*الإعدادات!$B$4,0)))</f>
        <v/>
      </c>
      <c r="P157" s="22" t="str">
        <f>IF($B157="","",IF('الإدخال اليومي'!AF131="لا يعمل","مستبعد (ترك العمل)",IF('الإدخال اليومي'!AF131="اجازه","مستبعد (اجازة)",IF(C157="امازون","امازون (شحنات)",IF(L157=0,"مستبعد (لم يعمل)",IF(F157&gt;=M157,"حقق",IF(F157&gt;=M157*الإعدادات!$B$8,"قريب","بعيد")))))))</f>
        <v>امازون (شحنات)</v>
      </c>
      <c r="Q157" s="16" t="str">
        <f>IF($B157="","",TRIM('الإدخال اليومي'!H131&amp;IF(N('الإدخال اليومي'!AC131)&gt;0," | + "&amp;'الإدخال اليومي'!AC131&amp;" طلب من "&amp;'الإدخال اليومي'!AB131&amp;" (محسوبة في الإجمالي)","")))</f>
        <v/>
      </c>
      <c r="R157" s="17">
        <f t="shared" si="4"/>
        <v>1</v>
      </c>
      <c r="S157" s="17" t="str">
        <f>IF($B157="","",IF('الإدخال اليومي'!AF131="","يعمل",'الإدخال اليومي'!AF131))</f>
        <v>يعمل</v>
      </c>
    </row>
    <row r="158" spans="1:19" ht="27.6" x14ac:dyDescent="0.3">
      <c r="A158" s="15">
        <f>IF('الإدخال اليومي'!$B132="","",IF('الإدخال اليومي'!A132="","",'الإدخال اليومي'!A132))</f>
        <v>2562203287</v>
      </c>
      <c r="B158" s="16" t="str">
        <f>IF('الإدخال اليومي'!$B132="","",IF('الإدخال اليومي'!B132="","",'الإدخال اليومي'!B132))</f>
        <v>HAMID ALI ARSHAD MEHMOOD</v>
      </c>
      <c r="C158" s="17" t="str">
        <f>IF('الإدخال اليومي'!$B132="","",IF('الإدخال اليومي'!C132="","",'الإدخال اليومي'!C132))</f>
        <v>امازون</v>
      </c>
      <c r="D158" s="17">
        <f>IF($B158="","",128)</f>
        <v>128</v>
      </c>
      <c r="E158" s="17" t="str">
        <f>IF('الإدخال اليومي'!$B132="","",IF('الإدخال اليومي'!AD132="","",'الإدخال اليومي'!AD132))</f>
        <v>كفالة</v>
      </c>
      <c r="F158" s="18">
        <f>IF($B158="","",'الإدخال اليومي'!I132)</f>
        <v>0</v>
      </c>
      <c r="G158" s="19" t="str">
        <f>IF($B158="","",IF(N('الإدخال اليومي'!AG132)=0,"",'الإدخال اليومي'!AG132))</f>
        <v/>
      </c>
      <c r="H158" s="17" t="str">
        <f>IF('الإدخال اليومي'!$B132="","",IF('الإدخال اليومي'!AE132="","",'الإدخال اليومي'!AE132))</f>
        <v>عبدالرحمن رحومة</v>
      </c>
      <c r="I158" s="17">
        <f>IF($B158="","",IFERROR(INDEX('الإدخال اليومي'!K132:AA132,MATCH(الإعدادات!$B$2,'الإدخال اليومي'!$K$3:$AA$3,0)),0))</f>
        <v>0</v>
      </c>
      <c r="J158" s="20">
        <f>IF('الإدخال اليومي'!$B132="","",IF('الإدخال اليومي'!F132="","",'الإدخال اليومي'!F132))</f>
        <v>45351</v>
      </c>
      <c r="K158" s="17">
        <f>IF($B158="","",N('الإدخال اليومي'!G132)+MAX(0,الإعدادات!$B$2-MAX(الإعدادات!$B$10+1,N(J158))+1)-SUMPRODUCT(('الإدخال اليومي'!$L132:$AA132&gt;0)*('الإدخال اليومي'!$L$3:$AA$3&gt;=MAX(الإعدادات!$B$10+1,N(J158)))*('الإدخال اليومي'!$L$3:$AA$3&lt;=الإعدادات!$B$2)))</f>
        <v>2</v>
      </c>
      <c r="L158" s="17">
        <f>IF($B158="","",MAX(0,الإعدادات!$B$10-IF(J158="",الإعدادات!$B$9,MAX(J158,الإعدادات!$B$9))+1-N('الإدخال اليومي'!G132))+SUMPRODUCT(('الإدخال اليومي'!$L132:$AA132&gt;0)*('الإدخال اليومي'!$L$3:$AA$3&gt;=MAX(الإعدادات!$B$10+1,N(J158)))*('الإدخال اليومي'!$L$3:$AA$3&lt;=الإعدادات!$B$2)))</f>
        <v>15</v>
      </c>
      <c r="M158" s="19" t="str">
        <f>IF($B158="","",IF(C158="امازون","",(IFERROR(INDEX(الإعدادات!$B$19:$B$22,MATCH(C158,الإعدادات!$A$19:$A$22,0)),الإعدادات!$B$3)/الإعدادات!$B$4)*L158))</f>
        <v/>
      </c>
      <c r="N158" s="21" t="str">
        <f t="shared" si="3"/>
        <v/>
      </c>
      <c r="O158" s="19" t="str">
        <f>IF($B158="","",IF(OR(C158="امازون",L158=0),"",ROUND(F158/L158*الإعدادات!$B$4,0)))</f>
        <v/>
      </c>
      <c r="P158" s="22" t="str">
        <f>IF($B158="","",IF('الإدخال اليومي'!AF132="لا يعمل","مستبعد (ترك العمل)",IF('الإدخال اليومي'!AF132="اجازه","مستبعد (اجازة)",IF(C158="امازون","امازون (شحنات)",IF(L158=0,"مستبعد (لم يعمل)",IF(F158&gt;=M158,"حقق",IF(F158&gt;=M158*الإعدادات!$B$8,"قريب","بعيد")))))))</f>
        <v>امازون (شحنات)</v>
      </c>
      <c r="Q158" s="16" t="str">
        <f>IF($B158="","",TRIM('الإدخال اليومي'!H132&amp;IF(N('الإدخال اليومي'!AC132)&gt;0," | + "&amp;'الإدخال اليومي'!AC132&amp;" طلب من "&amp;'الإدخال اليومي'!AB132&amp;" (محسوبة في الإجمالي)","")))</f>
        <v/>
      </c>
      <c r="R158" s="17">
        <f t="shared" si="4"/>
        <v>1</v>
      </c>
      <c r="S158" s="17" t="str">
        <f>IF($B158="","",IF('الإدخال اليومي'!AF132="","يعمل",'الإدخال اليومي'!AF132))</f>
        <v>يعمل</v>
      </c>
    </row>
    <row r="159" spans="1:19" ht="27.6" x14ac:dyDescent="0.3">
      <c r="A159" s="15">
        <f>IF('الإدخال اليومي'!$B133="","",IF('الإدخال اليومي'!A133="","",'الإدخال اليومي'!A133))</f>
        <v>2566854838</v>
      </c>
      <c r="B159" s="16" t="str">
        <f>IF('الإدخال اليومي'!$B133="","",IF('الإدخال اليومي'!B133="","",'الإدخال اليومي'!B133))</f>
        <v>HAMMAD ALI MUHAMMAD BOOTA</v>
      </c>
      <c r="C159" s="17" t="str">
        <f>IF('الإدخال اليومي'!$B133="","",IF('الإدخال اليومي'!C133="","",'الإدخال اليومي'!C133))</f>
        <v>امازون</v>
      </c>
      <c r="D159" s="17">
        <f>IF($B159="","",129)</f>
        <v>129</v>
      </c>
      <c r="E159" s="17" t="str">
        <f>IF('الإدخال اليومي'!$B133="","",IF('الإدخال اليومي'!AD133="","",'الإدخال اليومي'!AD133))</f>
        <v>كفالة</v>
      </c>
      <c r="F159" s="18">
        <f>IF($B159="","",'الإدخال اليومي'!I133)</f>
        <v>0</v>
      </c>
      <c r="G159" s="19" t="str">
        <f>IF($B159="","",IF(N('الإدخال اليومي'!AG133)=0,"",'الإدخال اليومي'!AG133))</f>
        <v/>
      </c>
      <c r="H159" s="17" t="str">
        <f>IF('الإدخال اليومي'!$B133="","",IF('الإدخال اليومي'!AE133="","",'الإدخال اليومي'!AE133))</f>
        <v>عبدالرحمن رحومة</v>
      </c>
      <c r="I159" s="17">
        <f>IF($B159="","",IFERROR(INDEX('الإدخال اليومي'!K133:AA133,MATCH(الإعدادات!$B$2,'الإدخال اليومي'!$K$3:$AA$3,0)),0))</f>
        <v>0</v>
      </c>
      <c r="J159" s="20">
        <f>IF('الإدخال اليومي'!$B133="","",IF('الإدخال اليومي'!F133="","",'الإدخال اليومي'!F133))</f>
        <v>45891</v>
      </c>
      <c r="K159" s="17">
        <f>IF($B159="","",N('الإدخال اليومي'!G133)+MAX(0,الإعدادات!$B$2-MAX(الإعدادات!$B$10+1,N(J159))+1)-SUMPRODUCT(('الإدخال اليومي'!$L133:$AA133&gt;0)*('الإدخال اليومي'!$L$3:$AA$3&gt;=MAX(الإعدادات!$B$10+1,N(J159)))*('الإدخال اليومي'!$L$3:$AA$3&lt;=الإعدادات!$B$2)))</f>
        <v>2</v>
      </c>
      <c r="L159" s="17">
        <f>IF($B159="","",MAX(0,الإعدادات!$B$10-IF(J159="",الإعدادات!$B$9,MAX(J159,الإعدادات!$B$9))+1-N('الإدخال اليومي'!G133))+SUMPRODUCT(('الإدخال اليومي'!$L133:$AA133&gt;0)*('الإدخال اليومي'!$L$3:$AA$3&gt;=MAX(الإعدادات!$B$10+1,N(J159)))*('الإدخال اليومي'!$L$3:$AA$3&lt;=الإعدادات!$B$2)))</f>
        <v>15</v>
      </c>
      <c r="M159" s="19" t="str">
        <f>IF($B159="","",IF(C159="امازون","",(IFERROR(INDEX(الإعدادات!$B$19:$B$22,MATCH(C159,الإعدادات!$A$19:$A$22,0)),الإعدادات!$B$3)/الإعدادات!$B$4)*L159))</f>
        <v/>
      </c>
      <c r="N159" s="21" t="str">
        <f t="shared" ref="N159:N222" si="5">IF($B159="","",IF(OR(M159="",M159=0),"",F159/M159))</f>
        <v/>
      </c>
      <c r="O159" s="19" t="str">
        <f>IF($B159="","",IF(OR(C159="امازون",L159=0),"",ROUND(F159/L159*الإعدادات!$B$4,0)))</f>
        <v/>
      </c>
      <c r="P159" s="22" t="str">
        <f>IF($B159="","",IF('الإدخال اليومي'!AF133="لا يعمل","مستبعد (ترك العمل)",IF('الإدخال اليومي'!AF133="اجازه","مستبعد (اجازة)",IF(C159="امازون","امازون (شحنات)",IF(L159=0,"مستبعد (لم يعمل)",IF(F159&gt;=M159,"حقق",IF(F159&gt;=M159*الإعدادات!$B$8,"قريب","بعيد")))))))</f>
        <v>امازون (شحنات)</v>
      </c>
      <c r="Q159" s="16" t="str">
        <f>IF($B159="","",TRIM('الإدخال اليومي'!H133&amp;IF(N('الإدخال اليومي'!AC133)&gt;0," | + "&amp;'الإدخال اليومي'!AC133&amp;" طلب من "&amp;'الإدخال اليومي'!AB133&amp;" (محسوبة في الإجمالي)","")))</f>
        <v/>
      </c>
      <c r="R159" s="17">
        <f t="shared" ref="R159:R222" si="6">IF($B159="",0,SUBTOTAL(103,B159))</f>
        <v>1</v>
      </c>
      <c r="S159" s="17" t="str">
        <f>IF($B159="","",IF('الإدخال اليومي'!AF133="","يعمل",'الإدخال اليومي'!AF133))</f>
        <v>يعمل</v>
      </c>
    </row>
    <row r="160" spans="1:19" x14ac:dyDescent="0.3">
      <c r="A160" s="15">
        <f>IF('الإدخال اليومي'!$B134="","",IF('الإدخال اليومي'!A134="","",'الإدخال اليومي'!A134))</f>
        <v>2588700811</v>
      </c>
      <c r="B160" s="16" t="str">
        <f>IF('الإدخال اليومي'!$B134="","",IF('الإدخال اليومي'!B134="","",'الإدخال اليومي'!B134))</f>
        <v>HASSAN ALI WARIS ALI</v>
      </c>
      <c r="C160" s="17" t="str">
        <f>IF('الإدخال اليومي'!$B134="","",IF('الإدخال اليومي'!C134="","",'الإدخال اليومي'!C134))</f>
        <v>امازون</v>
      </c>
      <c r="D160" s="17">
        <f>IF($B160="","",130)</f>
        <v>130</v>
      </c>
      <c r="E160" s="17" t="str">
        <f>IF('الإدخال اليومي'!$B134="","",IF('الإدخال اليومي'!AD134="","",'الإدخال اليومي'!AD134))</f>
        <v>كفالة</v>
      </c>
      <c r="F160" s="18">
        <f>IF($B160="","",'الإدخال اليومي'!I134)</f>
        <v>0</v>
      </c>
      <c r="G160" s="19" t="str">
        <f>IF($B160="","",IF(N('الإدخال اليومي'!AG134)=0,"",'الإدخال اليومي'!AG134))</f>
        <v/>
      </c>
      <c r="H160" s="17" t="str">
        <f>IF('الإدخال اليومي'!$B134="","",IF('الإدخال اليومي'!AE134="","",'الإدخال اليومي'!AE134))</f>
        <v>عبدالرحمن رحومة</v>
      </c>
      <c r="I160" s="17">
        <f>IF($B160="","",IFERROR(INDEX('الإدخال اليومي'!K134:AA134,MATCH(الإعدادات!$B$2,'الإدخال اليومي'!$K$3:$AA$3,0)),0))</f>
        <v>0</v>
      </c>
      <c r="J160" s="20">
        <f>IF('الإدخال اليومي'!$B134="","",IF('الإدخال اليومي'!F134="","",'الإدخال اليومي'!F134))</f>
        <v>45908</v>
      </c>
      <c r="K160" s="17">
        <f>IF($B160="","",N('الإدخال اليومي'!G134)+MAX(0,الإعدادات!$B$2-MAX(الإعدادات!$B$10+1,N(J160))+1)-SUMPRODUCT(('الإدخال اليومي'!$L134:$AA134&gt;0)*('الإدخال اليومي'!$L$3:$AA$3&gt;=MAX(الإعدادات!$B$10+1,N(J160)))*('الإدخال اليومي'!$L$3:$AA$3&lt;=الإعدادات!$B$2)))</f>
        <v>2</v>
      </c>
      <c r="L160" s="17">
        <f>IF($B160="","",MAX(0,الإعدادات!$B$10-IF(J160="",الإعدادات!$B$9,MAX(J160,الإعدادات!$B$9))+1-N('الإدخال اليومي'!G134))+SUMPRODUCT(('الإدخال اليومي'!$L134:$AA134&gt;0)*('الإدخال اليومي'!$L$3:$AA$3&gt;=MAX(الإعدادات!$B$10+1,N(J160)))*('الإدخال اليومي'!$L$3:$AA$3&lt;=الإعدادات!$B$2)))</f>
        <v>15</v>
      </c>
      <c r="M160" s="19" t="str">
        <f>IF($B160="","",IF(C160="امازون","",(IFERROR(INDEX(الإعدادات!$B$19:$B$22,MATCH(C160,الإعدادات!$A$19:$A$22,0)),الإعدادات!$B$3)/الإعدادات!$B$4)*L160))</f>
        <v/>
      </c>
      <c r="N160" s="21" t="str">
        <f t="shared" si="5"/>
        <v/>
      </c>
      <c r="O160" s="19" t="str">
        <f>IF($B160="","",IF(OR(C160="امازون",L160=0),"",ROUND(F160/L160*الإعدادات!$B$4,0)))</f>
        <v/>
      </c>
      <c r="P160" s="22" t="str">
        <f>IF($B160="","",IF('الإدخال اليومي'!AF134="لا يعمل","مستبعد (ترك العمل)",IF('الإدخال اليومي'!AF134="اجازه","مستبعد (اجازة)",IF(C160="امازون","امازون (شحنات)",IF(L160=0,"مستبعد (لم يعمل)",IF(F160&gt;=M160,"حقق",IF(F160&gt;=M160*الإعدادات!$B$8,"قريب","بعيد")))))))</f>
        <v>امازون (شحنات)</v>
      </c>
      <c r="Q160" s="16" t="str">
        <f>IF($B160="","",TRIM('الإدخال اليومي'!H134&amp;IF(N('الإدخال اليومي'!AC134)&gt;0," | + "&amp;'الإدخال اليومي'!AC134&amp;" طلب من "&amp;'الإدخال اليومي'!AB134&amp;" (محسوبة في الإجمالي)","")))</f>
        <v/>
      </c>
      <c r="R160" s="17">
        <f t="shared" si="6"/>
        <v>1</v>
      </c>
      <c r="S160" s="17" t="str">
        <f>IF($B160="","",IF('الإدخال اليومي'!AF134="","يعمل",'الإدخال اليومي'!AF134))</f>
        <v>يعمل</v>
      </c>
    </row>
    <row r="161" spans="1:19" x14ac:dyDescent="0.3">
      <c r="A161" s="15">
        <f>IF('الإدخال اليومي'!$B135="","",IF('الإدخال اليومي'!A135="","",'الإدخال اليومي'!A135))</f>
        <v>2586867471</v>
      </c>
      <c r="B161" s="16" t="str">
        <f>IF('الإدخال اليومي'!$B135="","",IF('الإدخال اليومي'!B135="","",'الإدخال اليومي'!B135))</f>
        <v>MD ABIR HASAN</v>
      </c>
      <c r="C161" s="17" t="str">
        <f>IF('الإدخال اليومي'!$B135="","",IF('الإدخال اليومي'!C135="","",'الإدخال اليومي'!C135))</f>
        <v>امازون</v>
      </c>
      <c r="D161" s="17">
        <f>IF($B161="","",131)</f>
        <v>131</v>
      </c>
      <c r="E161" s="17" t="str">
        <f>IF('الإدخال اليومي'!$B135="","",IF('الإدخال اليومي'!AD135="","",'الإدخال اليومي'!AD135))</f>
        <v>كفالة</v>
      </c>
      <c r="F161" s="18">
        <f>IF($B161="","",'الإدخال اليومي'!I135)</f>
        <v>0</v>
      </c>
      <c r="G161" s="19" t="str">
        <f>IF($B161="","",IF(N('الإدخال اليومي'!AG135)=0,"",'الإدخال اليومي'!AG135))</f>
        <v/>
      </c>
      <c r="H161" s="17" t="str">
        <f>IF('الإدخال اليومي'!$B135="","",IF('الإدخال اليومي'!AE135="","",'الإدخال اليومي'!AE135))</f>
        <v>عبدالرحمن رحومة</v>
      </c>
      <c r="I161" s="17">
        <f>IF($B161="","",IFERROR(INDEX('الإدخال اليومي'!K135:AA135,MATCH(الإعدادات!$B$2,'الإدخال اليومي'!$K$3:$AA$3,0)),0))</f>
        <v>0</v>
      </c>
      <c r="J161" s="20">
        <f>IF('الإدخال اليومي'!$B135="","",IF('الإدخال اليومي'!F135="","",'الإدخال اليومي'!F135))</f>
        <v>46079</v>
      </c>
      <c r="K161" s="17">
        <f>IF($B161="","",N('الإدخال اليومي'!G135)+MAX(0,الإعدادات!$B$2-MAX(الإعدادات!$B$10+1,N(J161))+1)-SUMPRODUCT(('الإدخال اليومي'!$L135:$AA135&gt;0)*('الإدخال اليومي'!$L$3:$AA$3&gt;=MAX(الإعدادات!$B$10+1,N(J161)))*('الإدخال اليومي'!$L$3:$AA$3&lt;=الإعدادات!$B$2)))</f>
        <v>2</v>
      </c>
      <c r="L161" s="17">
        <f>IF($B161="","",MAX(0,الإعدادات!$B$10-IF(J161="",الإعدادات!$B$9,MAX(J161,الإعدادات!$B$9))+1-N('الإدخال اليومي'!G135))+SUMPRODUCT(('الإدخال اليومي'!$L135:$AA135&gt;0)*('الإدخال اليومي'!$L$3:$AA$3&gt;=MAX(الإعدادات!$B$10+1,N(J161)))*('الإدخال اليومي'!$L$3:$AA$3&lt;=الإعدادات!$B$2)))</f>
        <v>15</v>
      </c>
      <c r="M161" s="19" t="str">
        <f>IF($B161="","",IF(C161="امازون","",(IFERROR(INDEX(الإعدادات!$B$19:$B$22,MATCH(C161,الإعدادات!$A$19:$A$22,0)),الإعدادات!$B$3)/الإعدادات!$B$4)*L161))</f>
        <v/>
      </c>
      <c r="N161" s="21" t="str">
        <f t="shared" si="5"/>
        <v/>
      </c>
      <c r="O161" s="19" t="str">
        <f>IF($B161="","",IF(OR(C161="امازون",L161=0),"",ROUND(F161/L161*الإعدادات!$B$4,0)))</f>
        <v/>
      </c>
      <c r="P161" s="22" t="str">
        <f>IF($B161="","",IF('الإدخال اليومي'!AF135="لا يعمل","مستبعد (ترك العمل)",IF('الإدخال اليومي'!AF135="اجازه","مستبعد (اجازة)",IF(C161="امازون","امازون (شحنات)",IF(L161=0,"مستبعد (لم يعمل)",IF(F161&gt;=M161,"حقق",IF(F161&gt;=M161*الإعدادات!$B$8,"قريب","بعيد")))))))</f>
        <v>امازون (شحنات)</v>
      </c>
      <c r="Q161" s="16" t="str">
        <f>IF($B161="","",TRIM('الإدخال اليومي'!H135&amp;IF(N('الإدخال اليومي'!AC135)&gt;0," | + "&amp;'الإدخال اليومي'!AC135&amp;" طلب من "&amp;'الإدخال اليومي'!AB135&amp;" (محسوبة في الإجمالي)","")))</f>
        <v/>
      </c>
      <c r="R161" s="17">
        <f t="shared" si="6"/>
        <v>1</v>
      </c>
      <c r="S161" s="17" t="str">
        <f>IF($B161="","",IF('الإدخال اليومي'!AF135="","يعمل",'الإدخال اليومي'!AF135))</f>
        <v>يعمل</v>
      </c>
    </row>
    <row r="162" spans="1:19" x14ac:dyDescent="0.3">
      <c r="A162" s="15">
        <f>IF('الإدخال اليومي'!$B136="","",IF('الإدخال اليومي'!A136="","",'الإدخال اليومي'!A136))</f>
        <v>2556809404</v>
      </c>
      <c r="B162" s="16" t="str">
        <f>IF('الإدخال اليومي'!$B136="","",IF('الإدخال اليومي'!B136="","",'الإدخال اليومي'!B136))</f>
        <v>MD ANAMUL MD MAJNU</v>
      </c>
      <c r="C162" s="17" t="str">
        <f>IF('الإدخال اليومي'!$B136="","",IF('الإدخال اليومي'!C136="","",'الإدخال اليومي'!C136))</f>
        <v>امازون</v>
      </c>
      <c r="D162" s="17">
        <f>IF($B162="","",132)</f>
        <v>132</v>
      </c>
      <c r="E162" s="17" t="str">
        <f>IF('الإدخال اليومي'!$B136="","",IF('الإدخال اليومي'!AD136="","",'الإدخال اليومي'!AD136))</f>
        <v>كفالة</v>
      </c>
      <c r="F162" s="18">
        <f>IF($B162="","",'الإدخال اليومي'!I136)</f>
        <v>0</v>
      </c>
      <c r="G162" s="19" t="str">
        <f>IF($B162="","",IF(N('الإدخال اليومي'!AG136)=0,"",'الإدخال اليومي'!AG136))</f>
        <v/>
      </c>
      <c r="H162" s="17" t="str">
        <f>IF('الإدخال اليومي'!$B136="","",IF('الإدخال اليومي'!AE136="","",'الإدخال اليومي'!AE136))</f>
        <v>عبدالرحمن رحومة</v>
      </c>
      <c r="I162" s="17">
        <f>IF($B162="","",IFERROR(INDEX('الإدخال اليومي'!K136:AA136,MATCH(الإعدادات!$B$2,'الإدخال اليومي'!$K$3:$AA$3,0)),0))</f>
        <v>0</v>
      </c>
      <c r="J162" s="20">
        <f>IF('الإدخال اليومي'!$B136="","",IF('الإدخال اليومي'!F136="","",'الإدخال اليومي'!F136))</f>
        <v>45924</v>
      </c>
      <c r="K162" s="17">
        <f>IF($B162="","",N('الإدخال اليومي'!G136)+MAX(0,الإعدادات!$B$2-MAX(الإعدادات!$B$10+1,N(J162))+1)-SUMPRODUCT(('الإدخال اليومي'!$L136:$AA136&gt;0)*('الإدخال اليومي'!$L$3:$AA$3&gt;=MAX(الإعدادات!$B$10+1,N(J162)))*('الإدخال اليومي'!$L$3:$AA$3&lt;=الإعدادات!$B$2)))</f>
        <v>2</v>
      </c>
      <c r="L162" s="17">
        <f>IF($B162="","",MAX(0,الإعدادات!$B$10-IF(J162="",الإعدادات!$B$9,MAX(J162,الإعدادات!$B$9))+1-N('الإدخال اليومي'!G136))+SUMPRODUCT(('الإدخال اليومي'!$L136:$AA136&gt;0)*('الإدخال اليومي'!$L$3:$AA$3&gt;=MAX(الإعدادات!$B$10+1,N(J162)))*('الإدخال اليومي'!$L$3:$AA$3&lt;=الإعدادات!$B$2)))</f>
        <v>15</v>
      </c>
      <c r="M162" s="19" t="str">
        <f>IF($B162="","",IF(C162="امازون","",(IFERROR(INDEX(الإعدادات!$B$19:$B$22,MATCH(C162,الإعدادات!$A$19:$A$22,0)),الإعدادات!$B$3)/الإعدادات!$B$4)*L162))</f>
        <v/>
      </c>
      <c r="N162" s="21" t="str">
        <f t="shared" si="5"/>
        <v/>
      </c>
      <c r="O162" s="19" t="str">
        <f>IF($B162="","",IF(OR(C162="امازون",L162=0),"",ROUND(F162/L162*الإعدادات!$B$4,0)))</f>
        <v/>
      </c>
      <c r="P162" s="22" t="str">
        <f>IF($B162="","",IF('الإدخال اليومي'!AF136="لا يعمل","مستبعد (ترك العمل)",IF('الإدخال اليومي'!AF136="اجازه","مستبعد (اجازة)",IF(C162="امازون","امازون (شحنات)",IF(L162=0,"مستبعد (لم يعمل)",IF(F162&gt;=M162,"حقق",IF(F162&gt;=M162*الإعدادات!$B$8,"قريب","بعيد")))))))</f>
        <v>امازون (شحنات)</v>
      </c>
      <c r="Q162" s="16" t="str">
        <f>IF($B162="","",TRIM('الإدخال اليومي'!H136&amp;IF(N('الإدخال اليومي'!AC136)&gt;0," | + "&amp;'الإدخال اليومي'!AC136&amp;" طلب من "&amp;'الإدخال اليومي'!AB136&amp;" (محسوبة في الإجمالي)","")))</f>
        <v/>
      </c>
      <c r="R162" s="17">
        <f t="shared" si="6"/>
        <v>1</v>
      </c>
      <c r="S162" s="17" t="str">
        <f>IF($B162="","",IF('الإدخال اليومي'!AF136="","يعمل",'الإدخال اليومي'!AF136))</f>
        <v>يعمل</v>
      </c>
    </row>
    <row r="163" spans="1:19" x14ac:dyDescent="0.3">
      <c r="A163" s="15">
        <f>IF('الإدخال اليومي'!$B137="","",IF('الإدخال اليومي'!A137="","",'الإدخال اليومي'!A137))</f>
        <v>2559106345</v>
      </c>
      <c r="B163" s="16" t="str">
        <f>IF('الإدخال اليومي'!$B137="","",IF('الإدخال اليومي'!B137="","",'الإدخال اليومي'!B137))</f>
        <v>MD ARSHED ALI</v>
      </c>
      <c r="C163" s="17" t="str">
        <f>IF('الإدخال اليومي'!$B137="","",IF('الإدخال اليومي'!C137="","",'الإدخال اليومي'!C137))</f>
        <v>امازون</v>
      </c>
      <c r="D163" s="17">
        <f>IF($B163="","",133)</f>
        <v>133</v>
      </c>
      <c r="E163" s="17" t="str">
        <f>IF('الإدخال اليومي'!$B137="","",IF('الإدخال اليومي'!AD137="","",'الإدخال اليومي'!AD137))</f>
        <v>كفالة</v>
      </c>
      <c r="F163" s="18">
        <f>IF($B163="","",'الإدخال اليومي'!I137)</f>
        <v>0</v>
      </c>
      <c r="G163" s="19" t="str">
        <f>IF($B163="","",IF(N('الإدخال اليومي'!AG137)=0,"",'الإدخال اليومي'!AG137))</f>
        <v/>
      </c>
      <c r="H163" s="17" t="str">
        <f>IF('الإدخال اليومي'!$B137="","",IF('الإدخال اليومي'!AE137="","",'الإدخال اليومي'!AE137))</f>
        <v>عبدالرحمن رحومة</v>
      </c>
      <c r="I163" s="17">
        <f>IF($B163="","",IFERROR(INDEX('الإدخال اليومي'!K137:AA137,MATCH(الإعدادات!$B$2,'الإدخال اليومي'!$K$3:$AA$3,0)),0))</f>
        <v>0</v>
      </c>
      <c r="J163" s="20">
        <f>IF('الإدخال اليومي'!$B137="","",IF('الإدخال اليومي'!F137="","",'الإدخال اليومي'!F137))</f>
        <v>45382</v>
      </c>
      <c r="K163" s="17">
        <f>IF($B163="","",N('الإدخال اليومي'!G137)+MAX(0,الإعدادات!$B$2-MAX(الإعدادات!$B$10+1,N(J163))+1)-SUMPRODUCT(('الإدخال اليومي'!$L137:$AA137&gt;0)*('الإدخال اليومي'!$L$3:$AA$3&gt;=MAX(الإعدادات!$B$10+1,N(J163)))*('الإدخال اليومي'!$L$3:$AA$3&lt;=الإعدادات!$B$2)))</f>
        <v>2</v>
      </c>
      <c r="L163" s="17">
        <f>IF($B163="","",MAX(0,الإعدادات!$B$10-IF(J163="",الإعدادات!$B$9,MAX(J163,الإعدادات!$B$9))+1-N('الإدخال اليومي'!G137))+SUMPRODUCT(('الإدخال اليومي'!$L137:$AA137&gt;0)*('الإدخال اليومي'!$L$3:$AA$3&gt;=MAX(الإعدادات!$B$10+1,N(J163)))*('الإدخال اليومي'!$L$3:$AA$3&lt;=الإعدادات!$B$2)))</f>
        <v>15</v>
      </c>
      <c r="M163" s="19" t="str">
        <f>IF($B163="","",IF(C163="امازون","",(IFERROR(INDEX(الإعدادات!$B$19:$B$22,MATCH(C163,الإعدادات!$A$19:$A$22,0)),الإعدادات!$B$3)/الإعدادات!$B$4)*L163))</f>
        <v/>
      </c>
      <c r="N163" s="21" t="str">
        <f t="shared" si="5"/>
        <v/>
      </c>
      <c r="O163" s="19" t="str">
        <f>IF($B163="","",IF(OR(C163="امازون",L163=0),"",ROUND(F163/L163*الإعدادات!$B$4,0)))</f>
        <v/>
      </c>
      <c r="P163" s="22" t="str">
        <f>IF($B163="","",IF('الإدخال اليومي'!AF137="لا يعمل","مستبعد (ترك العمل)",IF('الإدخال اليومي'!AF137="اجازه","مستبعد (اجازة)",IF(C163="امازون","امازون (شحنات)",IF(L163=0,"مستبعد (لم يعمل)",IF(F163&gt;=M163,"حقق",IF(F163&gt;=M163*الإعدادات!$B$8,"قريب","بعيد")))))))</f>
        <v>امازون (شحنات)</v>
      </c>
      <c r="Q163" s="16" t="str">
        <f>IF($B163="","",TRIM('الإدخال اليومي'!H137&amp;IF(N('الإدخال اليومي'!AC137)&gt;0," | + "&amp;'الإدخال اليومي'!AC137&amp;" طلب من "&amp;'الإدخال اليومي'!AB137&amp;" (محسوبة في الإجمالي)","")))</f>
        <v/>
      </c>
      <c r="R163" s="17">
        <f t="shared" si="6"/>
        <v>1</v>
      </c>
      <c r="S163" s="17" t="str">
        <f>IF($B163="","",IF('الإدخال اليومي'!AF137="","يعمل",'الإدخال اليومي'!AF137))</f>
        <v>يعمل</v>
      </c>
    </row>
    <row r="164" spans="1:19" x14ac:dyDescent="0.3">
      <c r="A164" s="15">
        <f>IF('الإدخال اليومي'!$B138="","",IF('الإدخال اليومي'!A138="","",'الإدخال اليومي'!A138))</f>
        <v>2594515492</v>
      </c>
      <c r="B164" s="16" t="str">
        <f>IF('الإدخال اليومي'!$B138="","",IF('الإدخال اليومي'!B138="","",'الإدخال اليومي'!B138))</f>
        <v>MD EMON HOSSAIN</v>
      </c>
      <c r="C164" s="17" t="str">
        <f>IF('الإدخال اليومي'!$B138="","",IF('الإدخال اليومي'!C138="","",'الإدخال اليومي'!C138))</f>
        <v>امازون</v>
      </c>
      <c r="D164" s="17">
        <f>IF($B164="","",134)</f>
        <v>134</v>
      </c>
      <c r="E164" s="17" t="str">
        <f>IF('الإدخال اليومي'!$B138="","",IF('الإدخال اليومي'!AD138="","",'الإدخال اليومي'!AD138))</f>
        <v>كفالة</v>
      </c>
      <c r="F164" s="18">
        <f>IF($B164="","",'الإدخال اليومي'!I138)</f>
        <v>0</v>
      </c>
      <c r="G164" s="19" t="str">
        <f>IF($B164="","",IF(N('الإدخال اليومي'!AG138)=0,"",'الإدخال اليومي'!AG138))</f>
        <v/>
      </c>
      <c r="H164" s="17" t="str">
        <f>IF('الإدخال اليومي'!$B138="","",IF('الإدخال اليومي'!AE138="","",'الإدخال اليومي'!AE138))</f>
        <v>عبدالرحمن رحومة</v>
      </c>
      <c r="I164" s="17">
        <f>IF($B164="","",IFERROR(INDEX('الإدخال اليومي'!K138:AA138,MATCH(الإعدادات!$B$2,'الإدخال اليومي'!$K$3:$AA$3,0)),0))</f>
        <v>0</v>
      </c>
      <c r="J164" s="20">
        <f>IF('الإدخال اليومي'!$B138="","",IF('الإدخال اليومي'!F138="","",'الإدخال اليومي'!F138))</f>
        <v>46138</v>
      </c>
      <c r="K164" s="17">
        <f>IF($B164="","",N('الإدخال اليومي'!G138)+MAX(0,الإعدادات!$B$2-MAX(الإعدادات!$B$10+1,N(J164))+1)-SUMPRODUCT(('الإدخال اليومي'!$L138:$AA138&gt;0)*('الإدخال اليومي'!$L$3:$AA$3&gt;=MAX(الإعدادات!$B$10+1,N(J164)))*('الإدخال اليومي'!$L$3:$AA$3&lt;=الإعدادات!$B$2)))</f>
        <v>2</v>
      </c>
      <c r="L164" s="17">
        <f>IF($B164="","",MAX(0,الإعدادات!$B$10-IF(J164="",الإعدادات!$B$9,MAX(J164,الإعدادات!$B$9))+1-N('الإدخال اليومي'!G138))+SUMPRODUCT(('الإدخال اليومي'!$L138:$AA138&gt;0)*('الإدخال اليومي'!$L$3:$AA$3&gt;=MAX(الإعدادات!$B$10+1,N(J164)))*('الإدخال اليومي'!$L$3:$AA$3&lt;=الإعدادات!$B$2)))</f>
        <v>15</v>
      </c>
      <c r="M164" s="19" t="str">
        <f>IF($B164="","",IF(C164="امازون","",(IFERROR(INDEX(الإعدادات!$B$19:$B$22,MATCH(C164,الإعدادات!$A$19:$A$22,0)),الإعدادات!$B$3)/الإعدادات!$B$4)*L164))</f>
        <v/>
      </c>
      <c r="N164" s="21" t="str">
        <f t="shared" si="5"/>
        <v/>
      </c>
      <c r="O164" s="19" t="str">
        <f>IF($B164="","",IF(OR(C164="امازون",L164=0),"",ROUND(F164/L164*الإعدادات!$B$4,0)))</f>
        <v/>
      </c>
      <c r="P164" s="22" t="str">
        <f>IF($B164="","",IF('الإدخال اليومي'!AF138="لا يعمل","مستبعد (ترك العمل)",IF('الإدخال اليومي'!AF138="اجازه","مستبعد (اجازة)",IF(C164="امازون","امازون (شحنات)",IF(L164=0,"مستبعد (لم يعمل)",IF(F164&gt;=M164,"حقق",IF(F164&gt;=M164*الإعدادات!$B$8,"قريب","بعيد")))))))</f>
        <v>امازون (شحنات)</v>
      </c>
      <c r="Q164" s="16" t="str">
        <f>IF($B164="","",TRIM('الإدخال اليومي'!H138&amp;IF(N('الإدخال اليومي'!AC138)&gt;0," | + "&amp;'الإدخال اليومي'!AC138&amp;" طلب من "&amp;'الإدخال اليومي'!AB138&amp;" (محسوبة في الإجمالي)","")))</f>
        <v/>
      </c>
      <c r="R164" s="17">
        <f t="shared" si="6"/>
        <v>1</v>
      </c>
      <c r="S164" s="17" t="str">
        <f>IF($B164="","",IF('الإدخال اليومي'!AF138="","يعمل",'الإدخال اليومي'!AF138))</f>
        <v>يعمل</v>
      </c>
    </row>
    <row r="165" spans="1:19" x14ac:dyDescent="0.3">
      <c r="A165" s="15">
        <f>IF('الإدخال اليومي'!$B139="","",IF('الإدخال اليومي'!A139="","",'الإدخال اليومي'!A139))</f>
        <v>2594102754</v>
      </c>
      <c r="B165" s="16" t="str">
        <f>IF('الإدخال اليومي'!$B139="","",IF('الإدخال اليومي'!B139="","",'الإدخال اليومي'!B139))</f>
        <v>MD IMRAN HOSEN</v>
      </c>
      <c r="C165" s="17" t="str">
        <f>IF('الإدخال اليومي'!$B139="","",IF('الإدخال اليومي'!C139="","",'الإدخال اليومي'!C139))</f>
        <v>امازون</v>
      </c>
      <c r="D165" s="17">
        <f>IF($B165="","",135)</f>
        <v>135</v>
      </c>
      <c r="E165" s="17" t="str">
        <f>IF('الإدخال اليومي'!$B139="","",IF('الإدخال اليومي'!AD139="","",'الإدخال اليومي'!AD139))</f>
        <v>كفالة</v>
      </c>
      <c r="F165" s="18">
        <f>IF($B165="","",'الإدخال اليومي'!I139)</f>
        <v>0</v>
      </c>
      <c r="G165" s="19" t="str">
        <f>IF($B165="","",IF(N('الإدخال اليومي'!AG139)=0,"",'الإدخال اليومي'!AG139))</f>
        <v/>
      </c>
      <c r="H165" s="17" t="str">
        <f>IF('الإدخال اليومي'!$B139="","",IF('الإدخال اليومي'!AE139="","",'الإدخال اليومي'!AE139))</f>
        <v>عبدالرحمن رحومة</v>
      </c>
      <c r="I165" s="17">
        <f>IF($B165="","",IFERROR(INDEX('الإدخال اليومي'!K139:AA139,MATCH(الإعدادات!$B$2,'الإدخال اليومي'!$K$3:$AA$3,0)),0))</f>
        <v>0</v>
      </c>
      <c r="J165" s="20">
        <f>IF('الإدخال اليومي'!$B139="","",IF('الإدخال اليومي'!F139="","",'الإدخال اليومي'!F139))</f>
        <v>46077</v>
      </c>
      <c r="K165" s="17">
        <f>IF($B165="","",N('الإدخال اليومي'!G139)+MAX(0,الإعدادات!$B$2-MAX(الإعدادات!$B$10+1,N(J165))+1)-SUMPRODUCT(('الإدخال اليومي'!$L139:$AA139&gt;0)*('الإدخال اليومي'!$L$3:$AA$3&gt;=MAX(الإعدادات!$B$10+1,N(J165)))*('الإدخال اليومي'!$L$3:$AA$3&lt;=الإعدادات!$B$2)))</f>
        <v>2</v>
      </c>
      <c r="L165" s="17">
        <f>IF($B165="","",MAX(0,الإعدادات!$B$10-IF(J165="",الإعدادات!$B$9,MAX(J165,الإعدادات!$B$9))+1-N('الإدخال اليومي'!G139))+SUMPRODUCT(('الإدخال اليومي'!$L139:$AA139&gt;0)*('الإدخال اليومي'!$L$3:$AA$3&gt;=MAX(الإعدادات!$B$10+1,N(J165)))*('الإدخال اليومي'!$L$3:$AA$3&lt;=الإعدادات!$B$2)))</f>
        <v>15</v>
      </c>
      <c r="M165" s="19" t="str">
        <f>IF($B165="","",IF(C165="امازون","",(IFERROR(INDEX(الإعدادات!$B$19:$B$22,MATCH(C165,الإعدادات!$A$19:$A$22,0)),الإعدادات!$B$3)/الإعدادات!$B$4)*L165))</f>
        <v/>
      </c>
      <c r="N165" s="21" t="str">
        <f t="shared" si="5"/>
        <v/>
      </c>
      <c r="O165" s="19" t="str">
        <f>IF($B165="","",IF(OR(C165="امازون",L165=0),"",ROUND(F165/L165*الإعدادات!$B$4,0)))</f>
        <v/>
      </c>
      <c r="P165" s="22" t="str">
        <f>IF($B165="","",IF('الإدخال اليومي'!AF139="لا يعمل","مستبعد (ترك العمل)",IF('الإدخال اليومي'!AF139="اجازه","مستبعد (اجازة)",IF(C165="امازون","امازون (شحنات)",IF(L165=0,"مستبعد (لم يعمل)",IF(F165&gt;=M165,"حقق",IF(F165&gt;=M165*الإعدادات!$B$8,"قريب","بعيد")))))))</f>
        <v>امازون (شحنات)</v>
      </c>
      <c r="Q165" s="16" t="str">
        <f>IF($B165="","",TRIM('الإدخال اليومي'!H139&amp;IF(N('الإدخال اليومي'!AC139)&gt;0," | + "&amp;'الإدخال اليومي'!AC139&amp;" طلب من "&amp;'الإدخال اليومي'!AB139&amp;" (محسوبة في الإجمالي)","")))</f>
        <v/>
      </c>
      <c r="R165" s="17">
        <f t="shared" si="6"/>
        <v>1</v>
      </c>
      <c r="S165" s="17" t="str">
        <f>IF($B165="","",IF('الإدخال اليومي'!AF139="","يعمل",'الإدخال اليومي'!AF139))</f>
        <v>يعمل</v>
      </c>
    </row>
    <row r="166" spans="1:19" x14ac:dyDescent="0.3">
      <c r="A166" s="15">
        <f>IF('الإدخال اليومي'!$B140="","",IF('الإدخال اليومي'!A140="","",'الإدخال اليومي'!A140))</f>
        <v>2585189612</v>
      </c>
      <c r="B166" s="16" t="str">
        <f>IF('الإدخال اليومي'!$B140="","",IF('الإدخال اليومي'!B140="","",'الإدخال اليومي'!B140))</f>
        <v>MD JAHANGIR ALAM</v>
      </c>
      <c r="C166" s="17" t="str">
        <f>IF('الإدخال اليومي'!$B140="","",IF('الإدخال اليومي'!C140="","",'الإدخال اليومي'!C140))</f>
        <v>امازون</v>
      </c>
      <c r="D166" s="17">
        <f>IF($B166="","",136)</f>
        <v>136</v>
      </c>
      <c r="E166" s="17" t="str">
        <f>IF('الإدخال اليومي'!$B140="","",IF('الإدخال اليومي'!AD140="","",'الإدخال اليومي'!AD140))</f>
        <v>كفالة</v>
      </c>
      <c r="F166" s="18">
        <f>IF($B166="","",'الإدخال اليومي'!I140)</f>
        <v>0</v>
      </c>
      <c r="G166" s="19" t="str">
        <f>IF($B166="","",IF(N('الإدخال اليومي'!AG140)=0,"",'الإدخال اليومي'!AG140))</f>
        <v/>
      </c>
      <c r="H166" s="17" t="str">
        <f>IF('الإدخال اليومي'!$B140="","",IF('الإدخال اليومي'!AE140="","",'الإدخال اليومي'!AE140))</f>
        <v>عبدالرحمن رحومة</v>
      </c>
      <c r="I166" s="17">
        <f>IF($B166="","",IFERROR(INDEX('الإدخال اليومي'!K140:AA140,MATCH(الإعدادات!$B$2,'الإدخال اليومي'!$K$3:$AA$3,0)),0))</f>
        <v>0</v>
      </c>
      <c r="J166" s="20">
        <f>IF('الإدخال اليومي'!$B140="","",IF('الإدخال اليومي'!F140="","",'الإدخال اليومي'!F140))</f>
        <v>46070</v>
      </c>
      <c r="K166" s="17">
        <f>IF($B166="","",N('الإدخال اليومي'!G140)+MAX(0,الإعدادات!$B$2-MAX(الإعدادات!$B$10+1,N(J166))+1)-SUMPRODUCT(('الإدخال اليومي'!$L140:$AA140&gt;0)*('الإدخال اليومي'!$L$3:$AA$3&gt;=MAX(الإعدادات!$B$10+1,N(J166)))*('الإدخال اليومي'!$L$3:$AA$3&lt;=الإعدادات!$B$2)))</f>
        <v>2</v>
      </c>
      <c r="L166" s="17">
        <f>IF($B166="","",MAX(0,الإعدادات!$B$10-IF(J166="",الإعدادات!$B$9,MAX(J166,الإعدادات!$B$9))+1-N('الإدخال اليومي'!G140))+SUMPRODUCT(('الإدخال اليومي'!$L140:$AA140&gt;0)*('الإدخال اليومي'!$L$3:$AA$3&gt;=MAX(الإعدادات!$B$10+1,N(J166)))*('الإدخال اليومي'!$L$3:$AA$3&lt;=الإعدادات!$B$2)))</f>
        <v>15</v>
      </c>
      <c r="M166" s="19" t="str">
        <f>IF($B166="","",IF(C166="امازون","",(IFERROR(INDEX(الإعدادات!$B$19:$B$22,MATCH(C166,الإعدادات!$A$19:$A$22,0)),الإعدادات!$B$3)/الإعدادات!$B$4)*L166))</f>
        <v/>
      </c>
      <c r="N166" s="21" t="str">
        <f t="shared" si="5"/>
        <v/>
      </c>
      <c r="O166" s="19" t="str">
        <f>IF($B166="","",IF(OR(C166="امازون",L166=0),"",ROUND(F166/L166*الإعدادات!$B$4,0)))</f>
        <v/>
      </c>
      <c r="P166" s="22" t="str">
        <f>IF($B166="","",IF('الإدخال اليومي'!AF140="لا يعمل","مستبعد (ترك العمل)",IF('الإدخال اليومي'!AF140="اجازه","مستبعد (اجازة)",IF(C166="امازون","امازون (شحنات)",IF(L166=0,"مستبعد (لم يعمل)",IF(F166&gt;=M166,"حقق",IF(F166&gt;=M166*الإعدادات!$B$8,"قريب","بعيد")))))))</f>
        <v>امازون (شحنات)</v>
      </c>
      <c r="Q166" s="16" t="str">
        <f>IF($B166="","",TRIM('الإدخال اليومي'!H140&amp;IF(N('الإدخال اليومي'!AC140)&gt;0," | + "&amp;'الإدخال اليومي'!AC140&amp;" طلب من "&amp;'الإدخال اليومي'!AB140&amp;" (محسوبة في الإجمالي)","")))</f>
        <v/>
      </c>
      <c r="R166" s="17">
        <f t="shared" si="6"/>
        <v>1</v>
      </c>
      <c r="S166" s="17" t="str">
        <f>IF($B166="","",IF('الإدخال اليومي'!AF140="","يعمل",'الإدخال اليومي'!AF140))</f>
        <v>يعمل</v>
      </c>
    </row>
    <row r="167" spans="1:19" ht="27.6" x14ac:dyDescent="0.3">
      <c r="A167" s="15">
        <f>IF('الإدخال اليومي'!$B141="","",IF('الإدخال اليومي'!A141="","",'الإدخال اليومي'!A141))</f>
        <v>2559107137</v>
      </c>
      <c r="B167" s="16" t="str">
        <f>IF('الإدخال اليومي'!$B141="","",IF('الإدخال اليومي'!B141="","",'الإدخال اليومي'!B141))</f>
        <v>MD MAHMUDULLAH HASAN EMON</v>
      </c>
      <c r="C167" s="17" t="str">
        <f>IF('الإدخال اليومي'!$B141="","",IF('الإدخال اليومي'!C141="","",'الإدخال اليومي'!C141))</f>
        <v>امازون</v>
      </c>
      <c r="D167" s="17">
        <f>IF($B167="","",137)</f>
        <v>137</v>
      </c>
      <c r="E167" s="17" t="str">
        <f>IF('الإدخال اليومي'!$B141="","",IF('الإدخال اليومي'!AD141="","",'الإدخال اليومي'!AD141))</f>
        <v>كفالة</v>
      </c>
      <c r="F167" s="18">
        <f>IF($B167="","",'الإدخال اليومي'!I141)</f>
        <v>0</v>
      </c>
      <c r="G167" s="19" t="str">
        <f>IF($B167="","",IF(N('الإدخال اليومي'!AG141)=0,"",'الإدخال اليومي'!AG141))</f>
        <v/>
      </c>
      <c r="H167" s="17" t="str">
        <f>IF('الإدخال اليومي'!$B141="","",IF('الإدخال اليومي'!AE141="","",'الإدخال اليومي'!AE141))</f>
        <v>عبدالرحمن رحومة</v>
      </c>
      <c r="I167" s="17">
        <f>IF($B167="","",IFERROR(INDEX('الإدخال اليومي'!K141:AA141,MATCH(الإعدادات!$B$2,'الإدخال اليومي'!$K$3:$AA$3,0)),0))</f>
        <v>0</v>
      </c>
      <c r="J167" s="20">
        <f>IF('الإدخال اليومي'!$B141="","",IF('الإدخال اليومي'!F141="","",'الإدخال اليومي'!F141))</f>
        <v>45382</v>
      </c>
      <c r="K167" s="17">
        <f>IF($B167="","",N('الإدخال اليومي'!G141)+MAX(0,الإعدادات!$B$2-MAX(الإعدادات!$B$10+1,N(J167))+1)-SUMPRODUCT(('الإدخال اليومي'!$L141:$AA141&gt;0)*('الإدخال اليومي'!$L$3:$AA$3&gt;=MAX(الإعدادات!$B$10+1,N(J167)))*('الإدخال اليومي'!$L$3:$AA$3&lt;=الإعدادات!$B$2)))</f>
        <v>2</v>
      </c>
      <c r="L167" s="17">
        <f>IF($B167="","",MAX(0,الإعدادات!$B$10-IF(J167="",الإعدادات!$B$9,MAX(J167,الإعدادات!$B$9))+1-N('الإدخال اليومي'!G141))+SUMPRODUCT(('الإدخال اليومي'!$L141:$AA141&gt;0)*('الإدخال اليومي'!$L$3:$AA$3&gt;=MAX(الإعدادات!$B$10+1,N(J167)))*('الإدخال اليومي'!$L$3:$AA$3&lt;=الإعدادات!$B$2)))</f>
        <v>15</v>
      </c>
      <c r="M167" s="19" t="str">
        <f>IF($B167="","",IF(C167="امازون","",(IFERROR(INDEX(الإعدادات!$B$19:$B$22,MATCH(C167,الإعدادات!$A$19:$A$22,0)),الإعدادات!$B$3)/الإعدادات!$B$4)*L167))</f>
        <v/>
      </c>
      <c r="N167" s="21" t="str">
        <f t="shared" si="5"/>
        <v/>
      </c>
      <c r="O167" s="19" t="str">
        <f>IF($B167="","",IF(OR(C167="امازون",L167=0),"",ROUND(F167/L167*الإعدادات!$B$4,0)))</f>
        <v/>
      </c>
      <c r="P167" s="22" t="str">
        <f>IF($B167="","",IF('الإدخال اليومي'!AF141="لا يعمل","مستبعد (ترك العمل)",IF('الإدخال اليومي'!AF141="اجازه","مستبعد (اجازة)",IF(C167="امازون","امازون (شحنات)",IF(L167=0,"مستبعد (لم يعمل)",IF(F167&gt;=M167,"حقق",IF(F167&gt;=M167*الإعدادات!$B$8,"قريب","بعيد")))))))</f>
        <v>امازون (شحنات)</v>
      </c>
      <c r="Q167" s="16" t="str">
        <f>IF($B167="","",TRIM('الإدخال اليومي'!H141&amp;IF(N('الإدخال اليومي'!AC141)&gt;0," | + "&amp;'الإدخال اليومي'!AC141&amp;" طلب من "&amp;'الإدخال اليومي'!AB141&amp;" (محسوبة في الإجمالي)","")))</f>
        <v/>
      </c>
      <c r="R167" s="17">
        <f t="shared" si="6"/>
        <v>1</v>
      </c>
      <c r="S167" s="17" t="str">
        <f>IF($B167="","",IF('الإدخال اليومي'!AF141="","يعمل",'الإدخال اليومي'!AF141))</f>
        <v>يعمل</v>
      </c>
    </row>
    <row r="168" spans="1:19" ht="27.6" x14ac:dyDescent="0.3">
      <c r="A168" s="15">
        <f>IF('الإدخال اليومي'!$B142="","",IF('الإدخال اليومي'!A142="","",'الإدخال اليومي'!A142))</f>
        <v>2558834301</v>
      </c>
      <c r="B168" s="16" t="str">
        <f>IF('الإدخال اليومي'!$B142="","",IF('الإدخال اليومي'!B142="","",'الإدخال اليومي'!B142))</f>
        <v>MUHAMMAD ANAS RAZA ASGHAR ALI</v>
      </c>
      <c r="C168" s="17" t="str">
        <f>IF('الإدخال اليومي'!$B142="","",IF('الإدخال اليومي'!C142="","",'الإدخال اليومي'!C142))</f>
        <v>امازون</v>
      </c>
      <c r="D168" s="17">
        <f>IF($B168="","",138)</f>
        <v>138</v>
      </c>
      <c r="E168" s="17" t="str">
        <f>IF('الإدخال اليومي'!$B142="","",IF('الإدخال اليومي'!AD142="","",'الإدخال اليومي'!AD142))</f>
        <v>كفالة</v>
      </c>
      <c r="F168" s="18">
        <f>IF($B168="","",'الإدخال اليومي'!I142)</f>
        <v>0</v>
      </c>
      <c r="G168" s="19" t="str">
        <f>IF($B168="","",IF(N('الإدخال اليومي'!AG142)=0,"",'الإدخال اليومي'!AG142))</f>
        <v/>
      </c>
      <c r="H168" s="17" t="str">
        <f>IF('الإدخال اليومي'!$B142="","",IF('الإدخال اليومي'!AE142="","",'الإدخال اليومي'!AE142))</f>
        <v>عبدالرحمن رحومة</v>
      </c>
      <c r="I168" s="17">
        <f>IF($B168="","",IFERROR(INDEX('الإدخال اليومي'!K142:AA142,MATCH(الإعدادات!$B$2,'الإدخال اليومي'!$K$3:$AA$3,0)),0))</f>
        <v>0</v>
      </c>
      <c r="J168" s="20">
        <f>IF('الإدخال اليومي'!$B142="","",IF('الإدخال اليومي'!F142="","",'الإدخال اليومي'!F142))</f>
        <v>45890</v>
      </c>
      <c r="K168" s="17">
        <f>IF($B168="","",N('الإدخال اليومي'!G142)+MAX(0,الإعدادات!$B$2-MAX(الإعدادات!$B$10+1,N(J168))+1)-SUMPRODUCT(('الإدخال اليومي'!$L142:$AA142&gt;0)*('الإدخال اليومي'!$L$3:$AA$3&gt;=MAX(الإعدادات!$B$10+1,N(J168)))*('الإدخال اليومي'!$L$3:$AA$3&lt;=الإعدادات!$B$2)))</f>
        <v>2</v>
      </c>
      <c r="L168" s="17">
        <f>IF($B168="","",MAX(0,الإعدادات!$B$10-IF(J168="",الإعدادات!$B$9,MAX(J168,الإعدادات!$B$9))+1-N('الإدخال اليومي'!G142))+SUMPRODUCT(('الإدخال اليومي'!$L142:$AA142&gt;0)*('الإدخال اليومي'!$L$3:$AA$3&gt;=MAX(الإعدادات!$B$10+1,N(J168)))*('الإدخال اليومي'!$L$3:$AA$3&lt;=الإعدادات!$B$2)))</f>
        <v>15</v>
      </c>
      <c r="M168" s="19" t="str">
        <f>IF($B168="","",IF(C168="امازون","",(IFERROR(INDEX(الإعدادات!$B$19:$B$22,MATCH(C168,الإعدادات!$A$19:$A$22,0)),الإعدادات!$B$3)/الإعدادات!$B$4)*L168))</f>
        <v/>
      </c>
      <c r="N168" s="21" t="str">
        <f t="shared" si="5"/>
        <v/>
      </c>
      <c r="O168" s="19" t="str">
        <f>IF($B168="","",IF(OR(C168="امازون",L168=0),"",ROUND(F168/L168*الإعدادات!$B$4,0)))</f>
        <v/>
      </c>
      <c r="P168" s="22" t="str">
        <f>IF($B168="","",IF('الإدخال اليومي'!AF142="لا يعمل","مستبعد (ترك العمل)",IF('الإدخال اليومي'!AF142="اجازه","مستبعد (اجازة)",IF(C168="امازون","امازون (شحنات)",IF(L168=0,"مستبعد (لم يعمل)",IF(F168&gt;=M168,"حقق",IF(F168&gt;=M168*الإعدادات!$B$8,"قريب","بعيد")))))))</f>
        <v>امازون (شحنات)</v>
      </c>
      <c r="Q168" s="16" t="str">
        <f>IF($B168="","",TRIM('الإدخال اليومي'!H142&amp;IF(N('الإدخال اليومي'!AC142)&gt;0," | + "&amp;'الإدخال اليومي'!AC142&amp;" طلب من "&amp;'الإدخال اليومي'!AB142&amp;" (محسوبة في الإجمالي)","")))</f>
        <v/>
      </c>
      <c r="R168" s="17">
        <f t="shared" si="6"/>
        <v>1</v>
      </c>
      <c r="S168" s="17" t="str">
        <f>IF($B168="","",IF('الإدخال اليومي'!AF142="","يعمل",'الإدخال اليومي'!AF142))</f>
        <v>يعمل</v>
      </c>
    </row>
    <row r="169" spans="1:19" ht="27.6" x14ac:dyDescent="0.3">
      <c r="A169" s="15">
        <f>IF('الإدخال اليومي'!$B143="","",IF('الإدخال اليومي'!A143="","",'الإدخال اليومي'!A143))</f>
        <v>2558830671</v>
      </c>
      <c r="B169" s="16" t="str">
        <f>IF('الإدخال اليومي'!$B143="","",IF('الإدخال اليومي'!B143="","",'الإدخال اليومي'!B143))</f>
        <v>MUHAMMAD ARSLAN EJAZ AHMED</v>
      </c>
      <c r="C169" s="17" t="str">
        <f>IF('الإدخال اليومي'!$B143="","",IF('الإدخال اليومي'!C143="","",'الإدخال اليومي'!C143))</f>
        <v>امازون</v>
      </c>
      <c r="D169" s="17">
        <f>IF($B169="","",139)</f>
        <v>139</v>
      </c>
      <c r="E169" s="17" t="str">
        <f>IF('الإدخال اليومي'!$B143="","",IF('الإدخال اليومي'!AD143="","",'الإدخال اليومي'!AD143))</f>
        <v>كفالة</v>
      </c>
      <c r="F169" s="18">
        <f>IF($B169="","",'الإدخال اليومي'!I143)</f>
        <v>0</v>
      </c>
      <c r="G169" s="19" t="str">
        <f>IF($B169="","",IF(N('الإدخال اليومي'!AG143)=0,"",'الإدخال اليومي'!AG143))</f>
        <v/>
      </c>
      <c r="H169" s="17" t="str">
        <f>IF('الإدخال اليومي'!$B143="","",IF('الإدخال اليومي'!AE143="","",'الإدخال اليومي'!AE143))</f>
        <v>عبدالرحمن رحومة</v>
      </c>
      <c r="I169" s="17">
        <f>IF($B169="","",IFERROR(INDEX('الإدخال اليومي'!K143:AA143,MATCH(الإعدادات!$B$2,'الإدخال اليومي'!$K$3:$AA$3,0)),0))</f>
        <v>0</v>
      </c>
      <c r="J169" s="20">
        <f>IF('الإدخال اليومي'!$B143="","",IF('الإدخال اليومي'!F143="","",'الإدخال اليومي'!F143))</f>
        <v>45924</v>
      </c>
      <c r="K169" s="17">
        <f>IF($B169="","",N('الإدخال اليومي'!G143)+MAX(0,الإعدادات!$B$2-MAX(الإعدادات!$B$10+1,N(J169))+1)-SUMPRODUCT(('الإدخال اليومي'!$L143:$AA143&gt;0)*('الإدخال اليومي'!$L$3:$AA$3&gt;=MAX(الإعدادات!$B$10+1,N(J169)))*('الإدخال اليومي'!$L$3:$AA$3&lt;=الإعدادات!$B$2)))</f>
        <v>2</v>
      </c>
      <c r="L169" s="17">
        <f>IF($B169="","",MAX(0,الإعدادات!$B$10-IF(J169="",الإعدادات!$B$9,MAX(J169,الإعدادات!$B$9))+1-N('الإدخال اليومي'!G143))+SUMPRODUCT(('الإدخال اليومي'!$L143:$AA143&gt;0)*('الإدخال اليومي'!$L$3:$AA$3&gt;=MAX(الإعدادات!$B$10+1,N(J169)))*('الإدخال اليومي'!$L$3:$AA$3&lt;=الإعدادات!$B$2)))</f>
        <v>15</v>
      </c>
      <c r="M169" s="19" t="str">
        <f>IF($B169="","",IF(C169="امازون","",(IFERROR(INDEX(الإعدادات!$B$19:$B$22,MATCH(C169,الإعدادات!$A$19:$A$22,0)),الإعدادات!$B$3)/الإعدادات!$B$4)*L169))</f>
        <v/>
      </c>
      <c r="N169" s="21" t="str">
        <f t="shared" si="5"/>
        <v/>
      </c>
      <c r="O169" s="19" t="str">
        <f>IF($B169="","",IF(OR(C169="امازون",L169=0),"",ROUND(F169/L169*الإعدادات!$B$4,0)))</f>
        <v/>
      </c>
      <c r="P169" s="22" t="str">
        <f>IF($B169="","",IF('الإدخال اليومي'!AF143="لا يعمل","مستبعد (ترك العمل)",IF('الإدخال اليومي'!AF143="اجازه","مستبعد (اجازة)",IF(C169="امازون","امازون (شحنات)",IF(L169=0,"مستبعد (لم يعمل)",IF(F169&gt;=M169,"حقق",IF(F169&gt;=M169*الإعدادات!$B$8,"قريب","بعيد")))))))</f>
        <v>امازون (شحنات)</v>
      </c>
      <c r="Q169" s="16" t="str">
        <f>IF($B169="","",TRIM('الإدخال اليومي'!H143&amp;IF(N('الإدخال اليومي'!AC143)&gt;0," | + "&amp;'الإدخال اليومي'!AC143&amp;" طلب من "&amp;'الإدخال اليومي'!AB143&amp;" (محسوبة في الإجمالي)","")))</f>
        <v/>
      </c>
      <c r="R169" s="17">
        <f t="shared" si="6"/>
        <v>1</v>
      </c>
      <c r="S169" s="17" t="str">
        <f>IF($B169="","",IF('الإدخال اليومي'!AF143="","يعمل",'الإدخال اليومي'!AF143))</f>
        <v>يعمل</v>
      </c>
    </row>
    <row r="170" spans="1:19" x14ac:dyDescent="0.3">
      <c r="A170" s="15">
        <f>IF('الإدخال اليومي'!$B144="","",IF('الإدخال اليومي'!A144="","",'الإدخال اليومي'!A144))</f>
        <v>2562717062</v>
      </c>
      <c r="B170" s="16" t="str">
        <f>IF('الإدخال اليومي'!$B144="","",IF('الإدخال اليومي'!B144="","",'الإدخال اليومي'!B144))</f>
        <v>NAGAR SK</v>
      </c>
      <c r="C170" s="17" t="str">
        <f>IF('الإدخال اليومي'!$B144="","",IF('الإدخال اليومي'!C144="","",'الإدخال اليومي'!C144))</f>
        <v>امازون</v>
      </c>
      <c r="D170" s="17">
        <f>IF($B170="","",140)</f>
        <v>140</v>
      </c>
      <c r="E170" s="17" t="str">
        <f>IF('الإدخال اليومي'!$B144="","",IF('الإدخال اليومي'!AD144="","",'الإدخال اليومي'!AD144))</f>
        <v>كفالة</v>
      </c>
      <c r="F170" s="18">
        <f>IF($B170="","",'الإدخال اليومي'!I144)</f>
        <v>0</v>
      </c>
      <c r="G170" s="19" t="str">
        <f>IF($B170="","",IF(N('الإدخال اليومي'!AG144)=0,"",'الإدخال اليومي'!AG144))</f>
        <v/>
      </c>
      <c r="H170" s="17" t="str">
        <f>IF('الإدخال اليومي'!$B144="","",IF('الإدخال اليومي'!AE144="","",'الإدخال اليومي'!AE144))</f>
        <v>عبدالرحمن رحومة</v>
      </c>
      <c r="I170" s="17">
        <f>IF($B170="","",IFERROR(INDEX('الإدخال اليومي'!K144:AA144,MATCH(الإعدادات!$B$2,'الإدخال اليومي'!$K$3:$AA$3,0)),0))</f>
        <v>0</v>
      </c>
      <c r="J170" s="20">
        <f>IF('الإدخال اليومي'!$B144="","",IF('الإدخال اليومي'!F144="","",'الإدخال اليومي'!F144))</f>
        <v>45382</v>
      </c>
      <c r="K170" s="17">
        <f>IF($B170="","",N('الإدخال اليومي'!G144)+MAX(0,الإعدادات!$B$2-MAX(الإعدادات!$B$10+1,N(J170))+1)-SUMPRODUCT(('الإدخال اليومي'!$L144:$AA144&gt;0)*('الإدخال اليومي'!$L$3:$AA$3&gt;=MAX(الإعدادات!$B$10+1,N(J170)))*('الإدخال اليومي'!$L$3:$AA$3&lt;=الإعدادات!$B$2)))</f>
        <v>2</v>
      </c>
      <c r="L170" s="17">
        <f>IF($B170="","",MAX(0,الإعدادات!$B$10-IF(J170="",الإعدادات!$B$9,MAX(J170,الإعدادات!$B$9))+1-N('الإدخال اليومي'!G144))+SUMPRODUCT(('الإدخال اليومي'!$L144:$AA144&gt;0)*('الإدخال اليومي'!$L$3:$AA$3&gt;=MAX(الإعدادات!$B$10+1,N(J170)))*('الإدخال اليومي'!$L$3:$AA$3&lt;=الإعدادات!$B$2)))</f>
        <v>15</v>
      </c>
      <c r="M170" s="19" t="str">
        <f>IF($B170="","",IF(C170="امازون","",(IFERROR(INDEX(الإعدادات!$B$19:$B$22,MATCH(C170,الإعدادات!$A$19:$A$22,0)),الإعدادات!$B$3)/الإعدادات!$B$4)*L170))</f>
        <v/>
      </c>
      <c r="N170" s="21" t="str">
        <f t="shared" si="5"/>
        <v/>
      </c>
      <c r="O170" s="19" t="str">
        <f>IF($B170="","",IF(OR(C170="امازون",L170=0),"",ROUND(F170/L170*الإعدادات!$B$4,0)))</f>
        <v/>
      </c>
      <c r="P170" s="22" t="str">
        <f>IF($B170="","",IF('الإدخال اليومي'!AF144="لا يعمل","مستبعد (ترك العمل)",IF('الإدخال اليومي'!AF144="اجازه","مستبعد (اجازة)",IF(C170="امازون","امازون (شحنات)",IF(L170=0,"مستبعد (لم يعمل)",IF(F170&gt;=M170,"حقق",IF(F170&gt;=M170*الإعدادات!$B$8,"قريب","بعيد")))))))</f>
        <v>امازون (شحنات)</v>
      </c>
      <c r="Q170" s="16" t="str">
        <f>IF($B170="","",TRIM('الإدخال اليومي'!H144&amp;IF(N('الإدخال اليومي'!AC144)&gt;0," | + "&amp;'الإدخال اليومي'!AC144&amp;" طلب من "&amp;'الإدخال اليومي'!AB144&amp;" (محسوبة في الإجمالي)","")))</f>
        <v/>
      </c>
      <c r="R170" s="17">
        <f t="shared" si="6"/>
        <v>1</v>
      </c>
      <c r="S170" s="17" t="str">
        <f>IF($B170="","",IF('الإدخال اليومي'!AF144="","يعمل",'الإدخال اليومي'!AF144))</f>
        <v>يعمل</v>
      </c>
    </row>
    <row r="171" spans="1:19" ht="27.6" x14ac:dyDescent="0.3">
      <c r="A171" s="15">
        <f>IF('الإدخال اليومي'!$B145="","",IF('الإدخال اليومي'!A145="","",'الإدخال اليومي'!A145))</f>
        <v>2562206330</v>
      </c>
      <c r="B171" s="16" t="str">
        <f>IF('الإدخال اليومي'!$B145="","",IF('الإدخال اليومي'!B145="","",'الإدخال اليومي'!B145))</f>
        <v>QASIR SHABBIR SHABBIR AHMED</v>
      </c>
      <c r="C171" s="17" t="str">
        <f>IF('الإدخال اليومي'!$B145="","",IF('الإدخال اليومي'!C145="","",'الإدخال اليومي'!C145))</f>
        <v>امازون</v>
      </c>
      <c r="D171" s="17">
        <f>IF($B171="","",141)</f>
        <v>141</v>
      </c>
      <c r="E171" s="17" t="str">
        <f>IF('الإدخال اليومي'!$B145="","",IF('الإدخال اليومي'!AD145="","",'الإدخال اليومي'!AD145))</f>
        <v>كفالة</v>
      </c>
      <c r="F171" s="18">
        <f>IF($B171="","",'الإدخال اليومي'!I145)</f>
        <v>0</v>
      </c>
      <c r="G171" s="19" t="str">
        <f>IF($B171="","",IF(N('الإدخال اليومي'!AG145)=0,"",'الإدخال اليومي'!AG145))</f>
        <v/>
      </c>
      <c r="H171" s="17" t="str">
        <f>IF('الإدخال اليومي'!$B145="","",IF('الإدخال اليومي'!AE145="","",'الإدخال اليومي'!AE145))</f>
        <v>عبدالرحمن رحومة</v>
      </c>
      <c r="I171" s="17">
        <f>IF($B171="","",IFERROR(INDEX('الإدخال اليومي'!K145:AA145,MATCH(الإعدادات!$B$2,'الإدخال اليومي'!$K$3:$AA$3,0)),0))</f>
        <v>0</v>
      </c>
      <c r="J171" s="20">
        <f>IF('الإدخال اليومي'!$B145="","",IF('الإدخال اليومي'!F145="","",'الإدخال اليومي'!F145))</f>
        <v>45382</v>
      </c>
      <c r="K171" s="17">
        <f>IF($B171="","",N('الإدخال اليومي'!G145)+MAX(0,الإعدادات!$B$2-MAX(الإعدادات!$B$10+1,N(J171))+1)-SUMPRODUCT(('الإدخال اليومي'!$L145:$AA145&gt;0)*('الإدخال اليومي'!$L$3:$AA$3&gt;=MAX(الإعدادات!$B$10+1,N(J171)))*('الإدخال اليومي'!$L$3:$AA$3&lt;=الإعدادات!$B$2)))</f>
        <v>2</v>
      </c>
      <c r="L171" s="17">
        <f>IF($B171="","",MAX(0,الإعدادات!$B$10-IF(J171="",الإعدادات!$B$9,MAX(J171,الإعدادات!$B$9))+1-N('الإدخال اليومي'!G145))+SUMPRODUCT(('الإدخال اليومي'!$L145:$AA145&gt;0)*('الإدخال اليومي'!$L$3:$AA$3&gt;=MAX(الإعدادات!$B$10+1,N(J171)))*('الإدخال اليومي'!$L$3:$AA$3&lt;=الإعدادات!$B$2)))</f>
        <v>15</v>
      </c>
      <c r="M171" s="19" t="str">
        <f>IF($B171="","",IF(C171="امازون","",(IFERROR(INDEX(الإعدادات!$B$19:$B$22,MATCH(C171,الإعدادات!$A$19:$A$22,0)),الإعدادات!$B$3)/الإعدادات!$B$4)*L171))</f>
        <v/>
      </c>
      <c r="N171" s="21" t="str">
        <f t="shared" si="5"/>
        <v/>
      </c>
      <c r="O171" s="19" t="str">
        <f>IF($B171="","",IF(OR(C171="امازون",L171=0),"",ROUND(F171/L171*الإعدادات!$B$4,0)))</f>
        <v/>
      </c>
      <c r="P171" s="22" t="str">
        <f>IF($B171="","",IF('الإدخال اليومي'!AF145="لا يعمل","مستبعد (ترك العمل)",IF('الإدخال اليومي'!AF145="اجازه","مستبعد (اجازة)",IF(C171="امازون","امازون (شحنات)",IF(L171=0,"مستبعد (لم يعمل)",IF(F171&gt;=M171,"حقق",IF(F171&gt;=M171*الإعدادات!$B$8,"قريب","بعيد")))))))</f>
        <v>امازون (شحنات)</v>
      </c>
      <c r="Q171" s="16" t="str">
        <f>IF($B171="","",TRIM('الإدخال اليومي'!H145&amp;IF(N('الإدخال اليومي'!AC145)&gt;0," | + "&amp;'الإدخال اليومي'!AC145&amp;" طلب من "&amp;'الإدخال اليومي'!AB145&amp;" (محسوبة في الإجمالي)","")))</f>
        <v/>
      </c>
      <c r="R171" s="17">
        <f t="shared" si="6"/>
        <v>1</v>
      </c>
      <c r="S171" s="17" t="str">
        <f>IF($B171="","",IF('الإدخال اليومي'!AF145="","يعمل",'الإدخال اليومي'!AF145))</f>
        <v>يعمل</v>
      </c>
    </row>
    <row r="172" spans="1:19" ht="27.6" x14ac:dyDescent="0.3">
      <c r="A172" s="15">
        <f>IF('الإدخال اليومي'!$B146="","",IF('الإدخال اليومي'!A146="","",'الإدخال اليومي'!A146))</f>
        <v>2562205761</v>
      </c>
      <c r="B172" s="16" t="str">
        <f>IF('الإدخال اليومي'!$B146="","",IF('الإدخال اليومي'!B146="","",'الإدخال اليومي'!B146))</f>
        <v>SHAHZAD AHMAD IRSHAD ULLAH</v>
      </c>
      <c r="C172" s="17" t="str">
        <f>IF('الإدخال اليومي'!$B146="","",IF('الإدخال اليومي'!C146="","",'الإدخال اليومي'!C146))</f>
        <v>امازون</v>
      </c>
      <c r="D172" s="17">
        <f>IF($B172="","",142)</f>
        <v>142</v>
      </c>
      <c r="E172" s="17" t="str">
        <f>IF('الإدخال اليومي'!$B146="","",IF('الإدخال اليومي'!AD146="","",'الإدخال اليومي'!AD146))</f>
        <v>كفالة</v>
      </c>
      <c r="F172" s="18">
        <f>IF($B172="","",'الإدخال اليومي'!I146)</f>
        <v>0</v>
      </c>
      <c r="G172" s="19" t="str">
        <f>IF($B172="","",IF(N('الإدخال اليومي'!AG146)=0,"",'الإدخال اليومي'!AG146))</f>
        <v/>
      </c>
      <c r="H172" s="17" t="str">
        <f>IF('الإدخال اليومي'!$B146="","",IF('الإدخال اليومي'!AE146="","",'الإدخال اليومي'!AE146))</f>
        <v>عبدالرحمن رحومة</v>
      </c>
      <c r="I172" s="17">
        <f>IF($B172="","",IFERROR(INDEX('الإدخال اليومي'!K146:AA146,MATCH(الإعدادات!$B$2,'الإدخال اليومي'!$K$3:$AA$3,0)),0))</f>
        <v>0</v>
      </c>
      <c r="J172" s="20">
        <f>IF('الإدخال اليومي'!$B146="","",IF('الإدخال اليومي'!F146="","",'الإدخال اليومي'!F146))</f>
        <v>45382</v>
      </c>
      <c r="K172" s="17">
        <f>IF($B172="","",N('الإدخال اليومي'!G146)+MAX(0,الإعدادات!$B$2-MAX(الإعدادات!$B$10+1,N(J172))+1)-SUMPRODUCT(('الإدخال اليومي'!$L146:$AA146&gt;0)*('الإدخال اليومي'!$L$3:$AA$3&gt;=MAX(الإعدادات!$B$10+1,N(J172)))*('الإدخال اليومي'!$L$3:$AA$3&lt;=الإعدادات!$B$2)))</f>
        <v>2</v>
      </c>
      <c r="L172" s="17">
        <f>IF($B172="","",MAX(0,الإعدادات!$B$10-IF(J172="",الإعدادات!$B$9,MAX(J172,الإعدادات!$B$9))+1-N('الإدخال اليومي'!G146))+SUMPRODUCT(('الإدخال اليومي'!$L146:$AA146&gt;0)*('الإدخال اليومي'!$L$3:$AA$3&gt;=MAX(الإعدادات!$B$10+1,N(J172)))*('الإدخال اليومي'!$L$3:$AA$3&lt;=الإعدادات!$B$2)))</f>
        <v>15</v>
      </c>
      <c r="M172" s="19" t="str">
        <f>IF($B172="","",IF(C172="امازون","",(IFERROR(INDEX(الإعدادات!$B$19:$B$22,MATCH(C172,الإعدادات!$A$19:$A$22,0)),الإعدادات!$B$3)/الإعدادات!$B$4)*L172))</f>
        <v/>
      </c>
      <c r="N172" s="21" t="str">
        <f t="shared" si="5"/>
        <v/>
      </c>
      <c r="O172" s="19" t="str">
        <f>IF($B172="","",IF(OR(C172="امازون",L172=0),"",ROUND(F172/L172*الإعدادات!$B$4,0)))</f>
        <v/>
      </c>
      <c r="P172" s="22" t="str">
        <f>IF($B172="","",IF('الإدخال اليومي'!AF146="لا يعمل","مستبعد (ترك العمل)",IF('الإدخال اليومي'!AF146="اجازه","مستبعد (اجازة)",IF(C172="امازون","امازون (شحنات)",IF(L172=0,"مستبعد (لم يعمل)",IF(F172&gt;=M172,"حقق",IF(F172&gt;=M172*الإعدادات!$B$8,"قريب","بعيد")))))))</f>
        <v>امازون (شحنات)</v>
      </c>
      <c r="Q172" s="16" t="str">
        <f>IF($B172="","",TRIM('الإدخال اليومي'!H146&amp;IF(N('الإدخال اليومي'!AC146)&gt;0," | + "&amp;'الإدخال اليومي'!AC146&amp;" طلب من "&amp;'الإدخال اليومي'!AB146&amp;" (محسوبة في الإجمالي)","")))</f>
        <v/>
      </c>
      <c r="R172" s="17">
        <f t="shared" si="6"/>
        <v>1</v>
      </c>
      <c r="S172" s="17" t="str">
        <f>IF($B172="","",IF('الإدخال اليومي'!AF146="","يعمل",'الإدخال اليومي'!AF146))</f>
        <v>يعمل</v>
      </c>
    </row>
    <row r="173" spans="1:19" ht="27.6" x14ac:dyDescent="0.3">
      <c r="A173" s="15">
        <f>IF('الإدخال اليومي'!$B147="","",IF('الإدخال اليومي'!A147="","",'الإدخال اليومي'!A147))</f>
        <v>2588700563</v>
      </c>
      <c r="B173" s="16" t="str">
        <f>IF('الإدخال اليومي'!$B147="","",IF('الإدخال اليومي'!B147="","",'الإدخال اليومي'!B147))</f>
        <v>SHAHZAD ALI SHABBIR AHMED</v>
      </c>
      <c r="C173" s="17" t="str">
        <f>IF('الإدخال اليومي'!$B147="","",IF('الإدخال اليومي'!C147="","",'الإدخال اليومي'!C147))</f>
        <v>امازون</v>
      </c>
      <c r="D173" s="17">
        <f>IF($B173="","",143)</f>
        <v>143</v>
      </c>
      <c r="E173" s="17" t="str">
        <f>IF('الإدخال اليومي'!$B147="","",IF('الإدخال اليومي'!AD147="","",'الإدخال اليومي'!AD147))</f>
        <v>كفالة</v>
      </c>
      <c r="F173" s="18">
        <f>IF($B173="","",'الإدخال اليومي'!I147)</f>
        <v>0</v>
      </c>
      <c r="G173" s="19" t="str">
        <f>IF($B173="","",IF(N('الإدخال اليومي'!AG147)=0,"",'الإدخال اليومي'!AG147))</f>
        <v/>
      </c>
      <c r="H173" s="17" t="str">
        <f>IF('الإدخال اليومي'!$B147="","",IF('الإدخال اليومي'!AE147="","",'الإدخال اليومي'!AE147))</f>
        <v>عبدالرحمن رحومة</v>
      </c>
      <c r="I173" s="17">
        <f>IF($B173="","",IFERROR(INDEX('الإدخال اليومي'!K147:AA147,MATCH(الإعدادات!$B$2,'الإدخال اليومي'!$K$3:$AA$3,0)),0))</f>
        <v>0</v>
      </c>
      <c r="J173" s="20">
        <f>IF('الإدخال اليومي'!$B147="","",IF('الإدخال اليومي'!F147="","",'الإدخال اليومي'!F147))</f>
        <v>45890</v>
      </c>
      <c r="K173" s="17">
        <f>IF($B173="","",N('الإدخال اليومي'!G147)+MAX(0,الإعدادات!$B$2-MAX(الإعدادات!$B$10+1,N(J173))+1)-SUMPRODUCT(('الإدخال اليومي'!$L147:$AA147&gt;0)*('الإدخال اليومي'!$L$3:$AA$3&gt;=MAX(الإعدادات!$B$10+1,N(J173)))*('الإدخال اليومي'!$L$3:$AA$3&lt;=الإعدادات!$B$2)))</f>
        <v>2</v>
      </c>
      <c r="L173" s="17">
        <f>IF($B173="","",MAX(0,الإعدادات!$B$10-IF(J173="",الإعدادات!$B$9,MAX(J173,الإعدادات!$B$9))+1-N('الإدخال اليومي'!G147))+SUMPRODUCT(('الإدخال اليومي'!$L147:$AA147&gt;0)*('الإدخال اليومي'!$L$3:$AA$3&gt;=MAX(الإعدادات!$B$10+1,N(J173)))*('الإدخال اليومي'!$L$3:$AA$3&lt;=الإعدادات!$B$2)))</f>
        <v>15</v>
      </c>
      <c r="M173" s="19" t="str">
        <f>IF($B173="","",IF(C173="امازون","",(IFERROR(INDEX(الإعدادات!$B$19:$B$22,MATCH(C173,الإعدادات!$A$19:$A$22,0)),الإعدادات!$B$3)/الإعدادات!$B$4)*L173))</f>
        <v/>
      </c>
      <c r="N173" s="21" t="str">
        <f t="shared" si="5"/>
        <v/>
      </c>
      <c r="O173" s="19" t="str">
        <f>IF($B173="","",IF(OR(C173="امازون",L173=0),"",ROUND(F173/L173*الإعدادات!$B$4,0)))</f>
        <v/>
      </c>
      <c r="P173" s="22" t="str">
        <f>IF($B173="","",IF('الإدخال اليومي'!AF147="لا يعمل","مستبعد (ترك العمل)",IF('الإدخال اليومي'!AF147="اجازه","مستبعد (اجازة)",IF(C173="امازون","امازون (شحنات)",IF(L173=0,"مستبعد (لم يعمل)",IF(F173&gt;=M173,"حقق",IF(F173&gt;=M173*الإعدادات!$B$8,"قريب","بعيد")))))))</f>
        <v>مستبعد (اجازة)</v>
      </c>
      <c r="Q173" s="16" t="str">
        <f>IF($B173="","",TRIM('الإدخال اليومي'!H147&amp;IF(N('الإدخال اليومي'!AC147)&gt;0," | + "&amp;'الإدخال اليومي'!AC147&amp;" طلب من "&amp;'الإدخال اليومي'!AB147&amp;" (محسوبة في الإجمالي)","")))</f>
        <v/>
      </c>
      <c r="R173" s="17">
        <f t="shared" si="6"/>
        <v>1</v>
      </c>
      <c r="S173" s="17" t="str">
        <f>IF($B173="","",IF('الإدخال اليومي'!AF147="","يعمل",'الإدخال اليومي'!AF147))</f>
        <v>اجازه</v>
      </c>
    </row>
    <row r="174" spans="1:19" x14ac:dyDescent="0.3">
      <c r="A174" s="15">
        <f>IF('الإدخال اليومي'!$B148="","",IF('الإدخال اليومي'!A148="","",'الإدخال اليومي'!A148))</f>
        <v>2564307250</v>
      </c>
      <c r="B174" s="16" t="str">
        <f>IF('الإدخال اليومي'!$B148="","",IF('الإدخال اليومي'!B148="","",'الإدخال اليومي'!B148))</f>
        <v>ابراهيم ابوالقاسم احمد قاسم</v>
      </c>
      <c r="C174" s="17" t="str">
        <f>IF('الإدخال اليومي'!$B148="","",IF('الإدخال اليومي'!C148="","",'الإدخال اليومي'!C148))</f>
        <v>امازون</v>
      </c>
      <c r="D174" s="17">
        <f>IF($B174="","",144)</f>
        <v>144</v>
      </c>
      <c r="E174" s="17" t="str">
        <f>IF('الإدخال اليومي'!$B148="","",IF('الإدخال اليومي'!AD148="","",'الإدخال اليومي'!AD148))</f>
        <v>كفالة</v>
      </c>
      <c r="F174" s="18">
        <f>IF($B174="","",'الإدخال اليومي'!I148)</f>
        <v>0</v>
      </c>
      <c r="G174" s="19" t="str">
        <f>IF($B174="","",IF(N('الإدخال اليومي'!AG148)=0,"",'الإدخال اليومي'!AG148))</f>
        <v/>
      </c>
      <c r="H174" s="17" t="str">
        <f>IF('الإدخال اليومي'!$B148="","",IF('الإدخال اليومي'!AE148="","",'الإدخال اليومي'!AE148))</f>
        <v>عبدالرحمن رحومة</v>
      </c>
      <c r="I174" s="17">
        <f>IF($B174="","",IFERROR(INDEX('الإدخال اليومي'!K148:AA148,MATCH(الإعدادات!$B$2,'الإدخال اليومي'!$K$3:$AA$3,0)),0))</f>
        <v>0</v>
      </c>
      <c r="J174" s="20">
        <f>IF('الإدخال اليومي'!$B148="","",IF('الإدخال اليومي'!F148="","",'الإدخال اليومي'!F148))</f>
        <v>45841</v>
      </c>
      <c r="K174" s="17">
        <f>IF($B174="","",N('الإدخال اليومي'!G148)+MAX(0,الإعدادات!$B$2-MAX(الإعدادات!$B$10+1,N(J174))+1)-SUMPRODUCT(('الإدخال اليومي'!$L148:$AA148&gt;0)*('الإدخال اليومي'!$L$3:$AA$3&gt;=MAX(الإعدادات!$B$10+1,N(J174)))*('الإدخال اليومي'!$L$3:$AA$3&lt;=الإعدادات!$B$2)))</f>
        <v>2</v>
      </c>
      <c r="L174" s="17">
        <f>IF($B174="","",MAX(0,الإعدادات!$B$10-IF(J174="",الإعدادات!$B$9,MAX(J174,الإعدادات!$B$9))+1-N('الإدخال اليومي'!G148))+SUMPRODUCT(('الإدخال اليومي'!$L148:$AA148&gt;0)*('الإدخال اليومي'!$L$3:$AA$3&gt;=MAX(الإعدادات!$B$10+1,N(J174)))*('الإدخال اليومي'!$L$3:$AA$3&lt;=الإعدادات!$B$2)))</f>
        <v>15</v>
      </c>
      <c r="M174" s="19" t="str">
        <f>IF($B174="","",IF(C174="امازون","",(IFERROR(INDEX(الإعدادات!$B$19:$B$22,MATCH(C174,الإعدادات!$A$19:$A$22,0)),الإعدادات!$B$3)/الإعدادات!$B$4)*L174))</f>
        <v/>
      </c>
      <c r="N174" s="21" t="str">
        <f t="shared" si="5"/>
        <v/>
      </c>
      <c r="O174" s="19" t="str">
        <f>IF($B174="","",IF(OR(C174="امازون",L174=0),"",ROUND(F174/L174*الإعدادات!$B$4,0)))</f>
        <v/>
      </c>
      <c r="P174" s="22" t="str">
        <f>IF($B174="","",IF('الإدخال اليومي'!AF148="لا يعمل","مستبعد (ترك العمل)",IF('الإدخال اليومي'!AF148="اجازه","مستبعد (اجازة)",IF(C174="امازون","امازون (شحنات)",IF(L174=0,"مستبعد (لم يعمل)",IF(F174&gt;=M174,"حقق",IF(F174&gt;=M174*الإعدادات!$B$8,"قريب","بعيد")))))))</f>
        <v>امازون (شحنات)</v>
      </c>
      <c r="Q174" s="16" t="str">
        <f>IF($B174="","",TRIM('الإدخال اليومي'!H148&amp;IF(N('الإدخال اليومي'!AC148)&gt;0," | + "&amp;'الإدخال اليومي'!AC148&amp;" طلب من "&amp;'الإدخال اليومي'!AB148&amp;" (محسوبة في الإجمالي)","")))</f>
        <v/>
      </c>
      <c r="R174" s="17">
        <f t="shared" si="6"/>
        <v>1</v>
      </c>
      <c r="S174" s="17" t="str">
        <f>IF($B174="","",IF('الإدخال اليومي'!AF148="","يعمل",'الإدخال اليومي'!AF148))</f>
        <v>يعمل</v>
      </c>
    </row>
    <row r="175" spans="1:19" x14ac:dyDescent="0.3">
      <c r="A175" s="15">
        <f>IF('الإدخال اليومي'!$B149="","",IF('الإدخال اليومي'!A149="","",'الإدخال اليومي'!A149))</f>
        <v>2585780618</v>
      </c>
      <c r="B175" s="16" t="str">
        <f>IF('الإدخال اليومي'!$B149="","",IF('الإدخال اليومي'!B149="","",'الإدخال اليومي'!B149))</f>
        <v>احمد جمال انور امام</v>
      </c>
      <c r="C175" s="17" t="str">
        <f>IF('الإدخال اليومي'!$B149="","",IF('الإدخال اليومي'!C149="","",'الإدخال اليومي'!C149))</f>
        <v>امازون</v>
      </c>
      <c r="D175" s="17">
        <f>IF($B175="","",145)</f>
        <v>145</v>
      </c>
      <c r="E175" s="17" t="str">
        <f>IF('الإدخال اليومي'!$B149="","",IF('الإدخال اليومي'!AD149="","",'الإدخال اليومي'!AD149))</f>
        <v>كفالة</v>
      </c>
      <c r="F175" s="18">
        <f>IF($B175="","",'الإدخال اليومي'!I149)</f>
        <v>0</v>
      </c>
      <c r="G175" s="19" t="str">
        <f>IF($B175="","",IF(N('الإدخال اليومي'!AG149)=0,"",'الإدخال اليومي'!AG149))</f>
        <v/>
      </c>
      <c r="H175" s="17" t="str">
        <f>IF('الإدخال اليومي'!$B149="","",IF('الإدخال اليومي'!AE149="","",'الإدخال اليومي'!AE149))</f>
        <v>عبدالرحمن رحومة</v>
      </c>
      <c r="I175" s="17">
        <f>IF($B175="","",IFERROR(INDEX('الإدخال اليومي'!K149:AA149,MATCH(الإعدادات!$B$2,'الإدخال اليومي'!$K$3:$AA$3,0)),0))</f>
        <v>0</v>
      </c>
      <c r="J175" s="20">
        <f>IF('الإدخال اليومي'!$B149="","",IF('الإدخال اليومي'!F149="","",'الإدخال اليومي'!F149))</f>
        <v>45891</v>
      </c>
      <c r="K175" s="17">
        <f>IF($B175="","",N('الإدخال اليومي'!G149)+MAX(0,الإعدادات!$B$2-MAX(الإعدادات!$B$10+1,N(J175))+1)-SUMPRODUCT(('الإدخال اليومي'!$L149:$AA149&gt;0)*('الإدخال اليومي'!$L$3:$AA$3&gt;=MAX(الإعدادات!$B$10+1,N(J175)))*('الإدخال اليومي'!$L$3:$AA$3&lt;=الإعدادات!$B$2)))</f>
        <v>2</v>
      </c>
      <c r="L175" s="17">
        <f>IF($B175="","",MAX(0,الإعدادات!$B$10-IF(J175="",الإعدادات!$B$9,MAX(J175,الإعدادات!$B$9))+1-N('الإدخال اليومي'!G149))+SUMPRODUCT(('الإدخال اليومي'!$L149:$AA149&gt;0)*('الإدخال اليومي'!$L$3:$AA$3&gt;=MAX(الإعدادات!$B$10+1,N(J175)))*('الإدخال اليومي'!$L$3:$AA$3&lt;=الإعدادات!$B$2)))</f>
        <v>15</v>
      </c>
      <c r="M175" s="19" t="str">
        <f>IF($B175="","",IF(C175="امازون","",(IFERROR(INDEX(الإعدادات!$B$19:$B$22,MATCH(C175,الإعدادات!$A$19:$A$22,0)),الإعدادات!$B$3)/الإعدادات!$B$4)*L175))</f>
        <v/>
      </c>
      <c r="N175" s="21" t="str">
        <f t="shared" si="5"/>
        <v/>
      </c>
      <c r="O175" s="19" t="str">
        <f>IF($B175="","",IF(OR(C175="امازون",L175=0),"",ROUND(F175/L175*الإعدادات!$B$4,0)))</f>
        <v/>
      </c>
      <c r="P175" s="22" t="str">
        <f>IF($B175="","",IF('الإدخال اليومي'!AF149="لا يعمل","مستبعد (ترك العمل)",IF('الإدخال اليومي'!AF149="اجازه","مستبعد (اجازة)",IF(C175="امازون","امازون (شحنات)",IF(L175=0,"مستبعد (لم يعمل)",IF(F175&gt;=M175,"حقق",IF(F175&gt;=M175*الإعدادات!$B$8,"قريب","بعيد")))))))</f>
        <v>امازون (شحنات)</v>
      </c>
      <c r="Q175" s="16" t="str">
        <f>IF($B175="","",TRIM('الإدخال اليومي'!H149&amp;IF(N('الإدخال اليومي'!AC149)&gt;0," | + "&amp;'الإدخال اليومي'!AC149&amp;" طلب من "&amp;'الإدخال اليومي'!AB149&amp;" (محسوبة في الإجمالي)","")))</f>
        <v/>
      </c>
      <c r="R175" s="17">
        <f t="shared" si="6"/>
        <v>1</v>
      </c>
      <c r="S175" s="17" t="str">
        <f>IF($B175="","",IF('الإدخال اليومي'!AF149="","يعمل",'الإدخال اليومي'!AF149))</f>
        <v>يعمل</v>
      </c>
    </row>
    <row r="176" spans="1:19" x14ac:dyDescent="0.3">
      <c r="A176" s="15">
        <f>IF('الإدخال اليومي'!$B150="","",IF('الإدخال اليومي'!A150="","",'الإدخال اليومي'!A150))</f>
        <v>2540796881</v>
      </c>
      <c r="B176" s="16" t="str">
        <f>IF('الإدخال اليومي'!$B150="","",IF('الإدخال اليومي'!B150="","",'الإدخال اليومي'!B150))</f>
        <v>احمد حماده احمد الطاهرى</v>
      </c>
      <c r="C176" s="17" t="str">
        <f>IF('الإدخال اليومي'!$B150="","",IF('الإدخال اليومي'!C150="","",'الإدخال اليومي'!C150))</f>
        <v>امازون</v>
      </c>
      <c r="D176" s="17">
        <f>IF($B176="","",146)</f>
        <v>146</v>
      </c>
      <c r="E176" s="17" t="str">
        <f>IF('الإدخال اليومي'!$B150="","",IF('الإدخال اليومي'!AD150="","",'الإدخال اليومي'!AD150))</f>
        <v>كفالة</v>
      </c>
      <c r="F176" s="18">
        <f>IF($B176="","",'الإدخال اليومي'!I150)</f>
        <v>0</v>
      </c>
      <c r="G176" s="19" t="str">
        <f>IF($B176="","",IF(N('الإدخال اليومي'!AG150)=0,"",'الإدخال اليومي'!AG150))</f>
        <v/>
      </c>
      <c r="H176" s="17" t="str">
        <f>IF('الإدخال اليومي'!$B150="","",IF('الإدخال اليومي'!AE150="","",'الإدخال اليومي'!AE150))</f>
        <v>عبدالرحمن رحومة</v>
      </c>
      <c r="I176" s="17">
        <f>IF($B176="","",IFERROR(INDEX('الإدخال اليومي'!K150:AA150,MATCH(الإعدادات!$B$2,'الإدخال اليومي'!$K$3:$AA$3,0)),0))</f>
        <v>0</v>
      </c>
      <c r="J176" s="20">
        <f>IF('الإدخال اليومي'!$B150="","",IF('الإدخال اليومي'!F150="","",'الإدخال اليومي'!F150))</f>
        <v>45907</v>
      </c>
      <c r="K176" s="17">
        <f>IF($B176="","",N('الإدخال اليومي'!G150)+MAX(0,الإعدادات!$B$2-MAX(الإعدادات!$B$10+1,N(J176))+1)-SUMPRODUCT(('الإدخال اليومي'!$L150:$AA150&gt;0)*('الإدخال اليومي'!$L$3:$AA$3&gt;=MAX(الإعدادات!$B$10+1,N(J176)))*('الإدخال اليومي'!$L$3:$AA$3&lt;=الإعدادات!$B$2)))</f>
        <v>2</v>
      </c>
      <c r="L176" s="17">
        <f>IF($B176="","",MAX(0,الإعدادات!$B$10-IF(J176="",الإعدادات!$B$9,MAX(J176,الإعدادات!$B$9))+1-N('الإدخال اليومي'!G150))+SUMPRODUCT(('الإدخال اليومي'!$L150:$AA150&gt;0)*('الإدخال اليومي'!$L$3:$AA$3&gt;=MAX(الإعدادات!$B$10+1,N(J176)))*('الإدخال اليومي'!$L$3:$AA$3&lt;=الإعدادات!$B$2)))</f>
        <v>15</v>
      </c>
      <c r="M176" s="19" t="str">
        <f>IF($B176="","",IF(C176="امازون","",(IFERROR(INDEX(الإعدادات!$B$19:$B$22,MATCH(C176,الإعدادات!$A$19:$A$22,0)),الإعدادات!$B$3)/الإعدادات!$B$4)*L176))</f>
        <v/>
      </c>
      <c r="N176" s="21" t="str">
        <f t="shared" si="5"/>
        <v/>
      </c>
      <c r="O176" s="19" t="str">
        <f>IF($B176="","",IF(OR(C176="امازون",L176=0),"",ROUND(F176/L176*الإعدادات!$B$4,0)))</f>
        <v/>
      </c>
      <c r="P176" s="22" t="str">
        <f>IF($B176="","",IF('الإدخال اليومي'!AF150="لا يعمل","مستبعد (ترك العمل)",IF('الإدخال اليومي'!AF150="اجازه","مستبعد (اجازة)",IF(C176="امازون","امازون (شحنات)",IF(L176=0,"مستبعد (لم يعمل)",IF(F176&gt;=M176,"حقق",IF(F176&gt;=M176*الإعدادات!$B$8,"قريب","بعيد")))))))</f>
        <v>امازون (شحنات)</v>
      </c>
      <c r="Q176" s="16" t="str">
        <f>IF($B176="","",TRIM('الإدخال اليومي'!H150&amp;IF(N('الإدخال اليومي'!AC150)&gt;0," | + "&amp;'الإدخال اليومي'!AC150&amp;" طلب من "&amp;'الإدخال اليومي'!AB150&amp;" (محسوبة في الإجمالي)","")))</f>
        <v/>
      </c>
      <c r="R176" s="17">
        <f t="shared" si="6"/>
        <v>1</v>
      </c>
      <c r="S176" s="17" t="str">
        <f>IF($B176="","",IF('الإدخال اليومي'!AF150="","يعمل",'الإدخال اليومي'!AF150))</f>
        <v>يعمل</v>
      </c>
    </row>
    <row r="177" spans="1:19" x14ac:dyDescent="0.3">
      <c r="A177" s="15">
        <f>IF('الإدخال اليومي'!$B151="","",IF('الإدخال اليومي'!A151="","",'الإدخال اليومي'!A151))</f>
        <v>2560885176</v>
      </c>
      <c r="B177" s="16" t="str">
        <f>IF('الإدخال اليومي'!$B151="","",IF('الإدخال اليومي'!B151="","",'الإدخال اليومي'!B151))</f>
        <v>احمد عبدالعظيم محمد عبدالسيد</v>
      </c>
      <c r="C177" s="17" t="str">
        <f>IF('الإدخال اليومي'!$B151="","",IF('الإدخال اليومي'!C151="","",'الإدخال اليومي'!C151))</f>
        <v>امازون</v>
      </c>
      <c r="D177" s="17">
        <f>IF($B177="","",147)</f>
        <v>147</v>
      </c>
      <c r="E177" s="17" t="str">
        <f>IF('الإدخال اليومي'!$B151="","",IF('الإدخال اليومي'!AD151="","",'الإدخال اليومي'!AD151))</f>
        <v>كفالة</v>
      </c>
      <c r="F177" s="18">
        <f>IF($B177="","",'الإدخال اليومي'!I151)</f>
        <v>0</v>
      </c>
      <c r="G177" s="19" t="str">
        <f>IF($B177="","",IF(N('الإدخال اليومي'!AG151)=0,"",'الإدخال اليومي'!AG151))</f>
        <v/>
      </c>
      <c r="H177" s="17" t="str">
        <f>IF('الإدخال اليومي'!$B151="","",IF('الإدخال اليومي'!AE151="","",'الإدخال اليومي'!AE151))</f>
        <v>عبدالرحمن رحومة</v>
      </c>
      <c r="I177" s="17">
        <f>IF($B177="","",IFERROR(INDEX('الإدخال اليومي'!K151:AA151,MATCH(الإعدادات!$B$2,'الإدخال اليومي'!$K$3:$AA$3,0)),0))</f>
        <v>0</v>
      </c>
      <c r="J177" s="20">
        <f>IF('الإدخال اليومي'!$B151="","",IF('الإدخال اليومي'!F151="","",'الإدخال اليومي'!F151))</f>
        <v>45322</v>
      </c>
      <c r="K177" s="17">
        <f>IF($B177="","",N('الإدخال اليومي'!G151)+MAX(0,الإعدادات!$B$2-MAX(الإعدادات!$B$10+1,N(J177))+1)-SUMPRODUCT(('الإدخال اليومي'!$L151:$AA151&gt;0)*('الإدخال اليومي'!$L$3:$AA$3&gt;=MAX(الإعدادات!$B$10+1,N(J177)))*('الإدخال اليومي'!$L$3:$AA$3&lt;=الإعدادات!$B$2)))</f>
        <v>2</v>
      </c>
      <c r="L177" s="17">
        <f>IF($B177="","",MAX(0,الإعدادات!$B$10-IF(J177="",الإعدادات!$B$9,MAX(J177,الإعدادات!$B$9))+1-N('الإدخال اليومي'!G151))+SUMPRODUCT(('الإدخال اليومي'!$L151:$AA151&gt;0)*('الإدخال اليومي'!$L$3:$AA$3&gt;=MAX(الإعدادات!$B$10+1,N(J177)))*('الإدخال اليومي'!$L$3:$AA$3&lt;=الإعدادات!$B$2)))</f>
        <v>15</v>
      </c>
      <c r="M177" s="19" t="str">
        <f>IF($B177="","",IF(C177="امازون","",(IFERROR(INDEX(الإعدادات!$B$19:$B$22,MATCH(C177,الإعدادات!$A$19:$A$22,0)),الإعدادات!$B$3)/الإعدادات!$B$4)*L177))</f>
        <v/>
      </c>
      <c r="N177" s="21" t="str">
        <f t="shared" si="5"/>
        <v/>
      </c>
      <c r="O177" s="19" t="str">
        <f>IF($B177="","",IF(OR(C177="امازون",L177=0),"",ROUND(F177/L177*الإعدادات!$B$4,0)))</f>
        <v/>
      </c>
      <c r="P177" s="22" t="str">
        <f>IF($B177="","",IF('الإدخال اليومي'!AF151="لا يعمل","مستبعد (ترك العمل)",IF('الإدخال اليومي'!AF151="اجازه","مستبعد (اجازة)",IF(C177="امازون","امازون (شحنات)",IF(L177=0,"مستبعد (لم يعمل)",IF(F177&gt;=M177,"حقق",IF(F177&gt;=M177*الإعدادات!$B$8,"قريب","بعيد")))))))</f>
        <v>امازون (شحنات)</v>
      </c>
      <c r="Q177" s="16" t="str">
        <f>IF($B177="","",TRIM('الإدخال اليومي'!H151&amp;IF(N('الإدخال اليومي'!AC151)&gt;0," | + "&amp;'الإدخال اليومي'!AC151&amp;" طلب من "&amp;'الإدخال اليومي'!AB151&amp;" (محسوبة في الإجمالي)","")))</f>
        <v/>
      </c>
      <c r="R177" s="17">
        <f t="shared" si="6"/>
        <v>1</v>
      </c>
      <c r="S177" s="17" t="str">
        <f>IF($B177="","",IF('الإدخال اليومي'!AF151="","يعمل",'الإدخال اليومي'!AF151))</f>
        <v>يعمل</v>
      </c>
    </row>
    <row r="178" spans="1:19" x14ac:dyDescent="0.3">
      <c r="A178" s="15">
        <f>IF('الإدخال اليومي'!$B152="","",IF('الإدخال اليومي'!A152="","",'الإدخال اليومي'!A152))</f>
        <v>2586481174</v>
      </c>
      <c r="B178" s="16" t="str">
        <f>IF('الإدخال اليومي'!$B152="","",IF('الإدخال اليومي'!B152="","",'الإدخال اليومي'!B152))</f>
        <v>احمد مجدى حسنى يوسف</v>
      </c>
      <c r="C178" s="17" t="str">
        <f>IF('الإدخال اليومي'!$B152="","",IF('الإدخال اليومي'!C152="","",'الإدخال اليومي'!C152))</f>
        <v>امازون</v>
      </c>
      <c r="D178" s="17">
        <f>IF($B178="","",148)</f>
        <v>148</v>
      </c>
      <c r="E178" s="17" t="str">
        <f>IF('الإدخال اليومي'!$B152="","",IF('الإدخال اليومي'!AD152="","",'الإدخال اليومي'!AD152))</f>
        <v>كفالة</v>
      </c>
      <c r="F178" s="18">
        <f>IF($B178="","",'الإدخال اليومي'!I152)</f>
        <v>0</v>
      </c>
      <c r="G178" s="19" t="str">
        <f>IF($B178="","",IF(N('الإدخال اليومي'!AG152)=0,"",'الإدخال اليومي'!AG152))</f>
        <v/>
      </c>
      <c r="H178" s="17" t="str">
        <f>IF('الإدخال اليومي'!$B152="","",IF('الإدخال اليومي'!AE152="","",'الإدخال اليومي'!AE152))</f>
        <v>عبدالرحمن رحومة</v>
      </c>
      <c r="I178" s="17">
        <f>IF($B178="","",IFERROR(INDEX('الإدخال اليومي'!K152:AA152,MATCH(الإعدادات!$B$2,'الإدخال اليومي'!$K$3:$AA$3,0)),0))</f>
        <v>0</v>
      </c>
      <c r="J178" s="20">
        <f>IF('الإدخال اليومي'!$B152="","",IF('الإدخال اليومي'!F152="","",'الإدخال اليومي'!F152))</f>
        <v>45833</v>
      </c>
      <c r="K178" s="17">
        <f>IF($B178="","",N('الإدخال اليومي'!G152)+MAX(0,الإعدادات!$B$2-MAX(الإعدادات!$B$10+1,N(J178))+1)-SUMPRODUCT(('الإدخال اليومي'!$L152:$AA152&gt;0)*('الإدخال اليومي'!$L$3:$AA$3&gt;=MAX(الإعدادات!$B$10+1,N(J178)))*('الإدخال اليومي'!$L$3:$AA$3&lt;=الإعدادات!$B$2)))</f>
        <v>2</v>
      </c>
      <c r="L178" s="17">
        <f>IF($B178="","",MAX(0,الإعدادات!$B$10-IF(J178="",الإعدادات!$B$9,MAX(J178,الإعدادات!$B$9))+1-N('الإدخال اليومي'!G152))+SUMPRODUCT(('الإدخال اليومي'!$L152:$AA152&gt;0)*('الإدخال اليومي'!$L$3:$AA$3&gt;=MAX(الإعدادات!$B$10+1,N(J178)))*('الإدخال اليومي'!$L$3:$AA$3&lt;=الإعدادات!$B$2)))</f>
        <v>15</v>
      </c>
      <c r="M178" s="19" t="str">
        <f>IF($B178="","",IF(C178="امازون","",(IFERROR(INDEX(الإعدادات!$B$19:$B$22,MATCH(C178,الإعدادات!$A$19:$A$22,0)),الإعدادات!$B$3)/الإعدادات!$B$4)*L178))</f>
        <v/>
      </c>
      <c r="N178" s="21" t="str">
        <f t="shared" si="5"/>
        <v/>
      </c>
      <c r="O178" s="19" t="str">
        <f>IF($B178="","",IF(OR(C178="امازون",L178=0),"",ROUND(F178/L178*الإعدادات!$B$4,0)))</f>
        <v/>
      </c>
      <c r="P178" s="22" t="str">
        <f>IF($B178="","",IF('الإدخال اليومي'!AF152="لا يعمل","مستبعد (ترك العمل)",IF('الإدخال اليومي'!AF152="اجازه","مستبعد (اجازة)",IF(C178="امازون","امازون (شحنات)",IF(L178=0,"مستبعد (لم يعمل)",IF(F178&gt;=M178,"حقق",IF(F178&gt;=M178*الإعدادات!$B$8,"قريب","بعيد")))))))</f>
        <v>امازون (شحنات)</v>
      </c>
      <c r="Q178" s="16" t="str">
        <f>IF($B178="","",TRIM('الإدخال اليومي'!H152&amp;IF(N('الإدخال اليومي'!AC152)&gt;0," | + "&amp;'الإدخال اليومي'!AC152&amp;" طلب من "&amp;'الإدخال اليومي'!AB152&amp;" (محسوبة في الإجمالي)","")))</f>
        <v/>
      </c>
      <c r="R178" s="17">
        <f t="shared" si="6"/>
        <v>1</v>
      </c>
      <c r="S178" s="17" t="str">
        <f>IF($B178="","",IF('الإدخال اليومي'!AF152="","يعمل",'الإدخال اليومي'!AF152))</f>
        <v>يعمل</v>
      </c>
    </row>
    <row r="179" spans="1:19" x14ac:dyDescent="0.3">
      <c r="A179" s="15">
        <f>IF('الإدخال اليومي'!$B153="","",IF('الإدخال اليومي'!A153="","",'الإدخال اليومي'!A153))</f>
        <v>2586978567</v>
      </c>
      <c r="B179" s="16" t="str">
        <f>IF('الإدخال اليومي'!$B153="","",IF('الإدخال اليومي'!B153="","",'الإدخال اليومي'!B153))</f>
        <v>السيد على حسن دياب</v>
      </c>
      <c r="C179" s="17" t="str">
        <f>IF('الإدخال اليومي'!$B153="","",IF('الإدخال اليومي'!C153="","",'الإدخال اليومي'!C153))</f>
        <v>امازون</v>
      </c>
      <c r="D179" s="17">
        <f>IF($B179="","",149)</f>
        <v>149</v>
      </c>
      <c r="E179" s="17" t="str">
        <f>IF('الإدخال اليومي'!$B153="","",IF('الإدخال اليومي'!AD153="","",'الإدخال اليومي'!AD153))</f>
        <v>كفالة</v>
      </c>
      <c r="F179" s="18">
        <f>IF($B179="","",'الإدخال اليومي'!I153)</f>
        <v>0</v>
      </c>
      <c r="G179" s="19" t="str">
        <f>IF($B179="","",IF(N('الإدخال اليومي'!AG153)=0,"",'الإدخال اليومي'!AG153))</f>
        <v/>
      </c>
      <c r="H179" s="17" t="str">
        <f>IF('الإدخال اليومي'!$B153="","",IF('الإدخال اليومي'!AE153="","",'الإدخال اليومي'!AE153))</f>
        <v>عبدالرحمن رحومة</v>
      </c>
      <c r="I179" s="17">
        <f>IF($B179="","",IFERROR(INDEX('الإدخال اليومي'!K153:AA153,MATCH(الإعدادات!$B$2,'الإدخال اليومي'!$K$3:$AA$3,0)),0))</f>
        <v>0</v>
      </c>
      <c r="J179" s="20">
        <f>IF('الإدخال اليومي'!$B153="","",IF('الإدخال اليومي'!F153="","",'الإدخال اليومي'!F153))</f>
        <v>45924</v>
      </c>
      <c r="K179" s="17">
        <f>IF($B179="","",N('الإدخال اليومي'!G153)+MAX(0,الإعدادات!$B$2-MAX(الإعدادات!$B$10+1,N(J179))+1)-SUMPRODUCT(('الإدخال اليومي'!$L153:$AA153&gt;0)*('الإدخال اليومي'!$L$3:$AA$3&gt;=MAX(الإعدادات!$B$10+1,N(J179)))*('الإدخال اليومي'!$L$3:$AA$3&lt;=الإعدادات!$B$2)))</f>
        <v>2</v>
      </c>
      <c r="L179" s="17">
        <f>IF($B179="","",MAX(0,الإعدادات!$B$10-IF(J179="",الإعدادات!$B$9,MAX(J179,الإعدادات!$B$9))+1-N('الإدخال اليومي'!G153))+SUMPRODUCT(('الإدخال اليومي'!$L153:$AA153&gt;0)*('الإدخال اليومي'!$L$3:$AA$3&gt;=MAX(الإعدادات!$B$10+1,N(J179)))*('الإدخال اليومي'!$L$3:$AA$3&lt;=الإعدادات!$B$2)))</f>
        <v>15</v>
      </c>
      <c r="M179" s="19" t="str">
        <f>IF($B179="","",IF(C179="امازون","",(IFERROR(INDEX(الإعدادات!$B$19:$B$22,MATCH(C179,الإعدادات!$A$19:$A$22,0)),الإعدادات!$B$3)/الإعدادات!$B$4)*L179))</f>
        <v/>
      </c>
      <c r="N179" s="21" t="str">
        <f t="shared" si="5"/>
        <v/>
      </c>
      <c r="O179" s="19" t="str">
        <f>IF($B179="","",IF(OR(C179="امازون",L179=0),"",ROUND(F179/L179*الإعدادات!$B$4,0)))</f>
        <v/>
      </c>
      <c r="P179" s="22" t="str">
        <f>IF($B179="","",IF('الإدخال اليومي'!AF153="لا يعمل","مستبعد (ترك العمل)",IF('الإدخال اليومي'!AF153="اجازه","مستبعد (اجازة)",IF(C179="امازون","امازون (شحنات)",IF(L179=0,"مستبعد (لم يعمل)",IF(F179&gt;=M179,"حقق",IF(F179&gt;=M179*الإعدادات!$B$8,"قريب","بعيد")))))))</f>
        <v>امازون (شحنات)</v>
      </c>
      <c r="Q179" s="16" t="str">
        <f>IF($B179="","",TRIM('الإدخال اليومي'!H153&amp;IF(N('الإدخال اليومي'!AC153)&gt;0," | + "&amp;'الإدخال اليومي'!AC153&amp;" طلب من "&amp;'الإدخال اليومي'!AB153&amp;" (محسوبة في الإجمالي)","")))</f>
        <v/>
      </c>
      <c r="R179" s="17">
        <f t="shared" si="6"/>
        <v>1</v>
      </c>
      <c r="S179" s="17" t="str">
        <f>IF($B179="","",IF('الإدخال اليومي'!AF153="","يعمل",'الإدخال اليومي'!AF153))</f>
        <v>يعمل</v>
      </c>
    </row>
    <row r="180" spans="1:19" x14ac:dyDescent="0.3">
      <c r="A180" s="15">
        <f>IF('الإدخال اليومي'!$B154="","",IF('الإدخال اليومي'!A154="","",'الإدخال اليومي'!A154))</f>
        <v>2586780997</v>
      </c>
      <c r="B180" s="16" t="str">
        <f>IF('الإدخال اليومي'!$B154="","",IF('الإدخال اليومي'!B154="","",'الإدخال اليومي'!B154))</f>
        <v>حسن صبحى عبد الفتاح زيدان</v>
      </c>
      <c r="C180" s="17" t="str">
        <f>IF('الإدخال اليومي'!$B154="","",IF('الإدخال اليومي'!C154="","",'الإدخال اليومي'!C154))</f>
        <v>امازون</v>
      </c>
      <c r="D180" s="17">
        <f>IF($B180="","",150)</f>
        <v>150</v>
      </c>
      <c r="E180" s="17" t="str">
        <f>IF('الإدخال اليومي'!$B154="","",IF('الإدخال اليومي'!AD154="","",'الإدخال اليومي'!AD154))</f>
        <v>كفالة</v>
      </c>
      <c r="F180" s="18">
        <f>IF($B180="","",'الإدخال اليومي'!I154)</f>
        <v>0</v>
      </c>
      <c r="G180" s="19" t="str">
        <f>IF($B180="","",IF(N('الإدخال اليومي'!AG154)=0,"",'الإدخال اليومي'!AG154))</f>
        <v/>
      </c>
      <c r="H180" s="17" t="str">
        <f>IF('الإدخال اليومي'!$B154="","",IF('الإدخال اليومي'!AE154="","",'الإدخال اليومي'!AE154))</f>
        <v>عبدالرحمن رحومة</v>
      </c>
      <c r="I180" s="17">
        <f>IF($B180="","",IFERROR(INDEX('الإدخال اليومي'!K154:AA154,MATCH(الإعدادات!$B$2,'الإدخال اليومي'!$K$3:$AA$3,0)),0))</f>
        <v>0</v>
      </c>
      <c r="J180" s="20">
        <f>IF('الإدخال اليومي'!$B154="","",IF('الإدخال اليومي'!F154="","",'الإدخال اليومي'!F154))</f>
        <v>46035</v>
      </c>
      <c r="K180" s="17">
        <f>IF($B180="","",N('الإدخال اليومي'!G154)+MAX(0,الإعدادات!$B$2-MAX(الإعدادات!$B$10+1,N(J180))+1)-SUMPRODUCT(('الإدخال اليومي'!$L154:$AA154&gt;0)*('الإدخال اليومي'!$L$3:$AA$3&gt;=MAX(الإعدادات!$B$10+1,N(J180)))*('الإدخال اليومي'!$L$3:$AA$3&lt;=الإعدادات!$B$2)))</f>
        <v>2</v>
      </c>
      <c r="L180" s="17">
        <f>IF($B180="","",MAX(0,الإعدادات!$B$10-IF(J180="",الإعدادات!$B$9,MAX(J180,الإعدادات!$B$9))+1-N('الإدخال اليومي'!G154))+SUMPRODUCT(('الإدخال اليومي'!$L154:$AA154&gt;0)*('الإدخال اليومي'!$L$3:$AA$3&gt;=MAX(الإعدادات!$B$10+1,N(J180)))*('الإدخال اليومي'!$L$3:$AA$3&lt;=الإعدادات!$B$2)))</f>
        <v>15</v>
      </c>
      <c r="M180" s="19" t="str">
        <f>IF($B180="","",IF(C180="امازون","",(IFERROR(INDEX(الإعدادات!$B$19:$B$22,MATCH(C180,الإعدادات!$A$19:$A$22,0)),الإعدادات!$B$3)/الإعدادات!$B$4)*L180))</f>
        <v/>
      </c>
      <c r="N180" s="21" t="str">
        <f t="shared" si="5"/>
        <v/>
      </c>
      <c r="O180" s="19" t="str">
        <f>IF($B180="","",IF(OR(C180="امازون",L180=0),"",ROUND(F180/L180*الإعدادات!$B$4,0)))</f>
        <v/>
      </c>
      <c r="P180" s="22" t="str">
        <f>IF($B180="","",IF('الإدخال اليومي'!AF154="لا يعمل","مستبعد (ترك العمل)",IF('الإدخال اليومي'!AF154="اجازه","مستبعد (اجازة)",IF(C180="امازون","امازون (شحنات)",IF(L180=0,"مستبعد (لم يعمل)",IF(F180&gt;=M180,"حقق",IF(F180&gt;=M180*الإعدادات!$B$8,"قريب","بعيد")))))))</f>
        <v>امازون (شحنات)</v>
      </c>
      <c r="Q180" s="16" t="str">
        <f>IF($B180="","",TRIM('الإدخال اليومي'!H154&amp;IF(N('الإدخال اليومي'!AC154)&gt;0," | + "&amp;'الإدخال اليومي'!AC154&amp;" طلب من "&amp;'الإدخال اليومي'!AB154&amp;" (محسوبة في الإجمالي)","")))</f>
        <v/>
      </c>
      <c r="R180" s="17">
        <f t="shared" si="6"/>
        <v>1</v>
      </c>
      <c r="S180" s="17" t="str">
        <f>IF($B180="","",IF('الإدخال اليومي'!AF154="","يعمل",'الإدخال اليومي'!AF154))</f>
        <v>يعمل</v>
      </c>
    </row>
    <row r="181" spans="1:19" x14ac:dyDescent="0.3">
      <c r="A181" s="15">
        <f>IF('الإدخال اليومي'!$B155="","",IF('الإدخال اليومي'!A155="","",'الإدخال اليومي'!A155))</f>
        <v>2564307391</v>
      </c>
      <c r="B181" s="16" t="str">
        <f>IF('الإدخال اليومي'!$B155="","",IF('الإدخال اليومي'!B155="","",'الإدخال اليومي'!B155))</f>
        <v>حسين حسن عرفات شعفه</v>
      </c>
      <c r="C181" s="17" t="str">
        <f>IF('الإدخال اليومي'!$B155="","",IF('الإدخال اليومي'!C155="","",'الإدخال اليومي'!C155))</f>
        <v>امازون</v>
      </c>
      <c r="D181" s="17">
        <f>IF($B181="","",151)</f>
        <v>151</v>
      </c>
      <c r="E181" s="17" t="str">
        <f>IF('الإدخال اليومي'!$B155="","",IF('الإدخال اليومي'!AD155="","",'الإدخال اليومي'!AD155))</f>
        <v>كفالة</v>
      </c>
      <c r="F181" s="18">
        <f>IF($B181="","",'الإدخال اليومي'!I155)</f>
        <v>0</v>
      </c>
      <c r="G181" s="19" t="str">
        <f>IF($B181="","",IF(N('الإدخال اليومي'!AG155)=0,"",'الإدخال اليومي'!AG155))</f>
        <v/>
      </c>
      <c r="H181" s="17" t="str">
        <f>IF('الإدخال اليومي'!$B155="","",IF('الإدخال اليومي'!AE155="","",'الإدخال اليومي'!AE155))</f>
        <v>عبدالرحمن رحومة</v>
      </c>
      <c r="I181" s="17">
        <f>IF($B181="","",IFERROR(INDEX('الإدخال اليومي'!K155:AA155,MATCH(الإعدادات!$B$2,'الإدخال اليومي'!$K$3:$AA$3,0)),0))</f>
        <v>0</v>
      </c>
      <c r="J181" s="20">
        <f>IF('الإدخال اليومي'!$B155="","",IF('الإدخال اليومي'!F155="","",'الإدخال اليومي'!F155))</f>
        <v>45851</v>
      </c>
      <c r="K181" s="17">
        <f>IF($B181="","",N('الإدخال اليومي'!G155)+MAX(0,الإعدادات!$B$2-MAX(الإعدادات!$B$10+1,N(J181))+1)-SUMPRODUCT(('الإدخال اليومي'!$L155:$AA155&gt;0)*('الإدخال اليومي'!$L$3:$AA$3&gt;=MAX(الإعدادات!$B$10+1,N(J181)))*('الإدخال اليومي'!$L$3:$AA$3&lt;=الإعدادات!$B$2)))</f>
        <v>2</v>
      </c>
      <c r="L181" s="17">
        <f>IF($B181="","",MAX(0,الإعدادات!$B$10-IF(J181="",الإعدادات!$B$9,MAX(J181,الإعدادات!$B$9))+1-N('الإدخال اليومي'!G155))+SUMPRODUCT(('الإدخال اليومي'!$L155:$AA155&gt;0)*('الإدخال اليومي'!$L$3:$AA$3&gt;=MAX(الإعدادات!$B$10+1,N(J181)))*('الإدخال اليومي'!$L$3:$AA$3&lt;=الإعدادات!$B$2)))</f>
        <v>15</v>
      </c>
      <c r="M181" s="19" t="str">
        <f>IF($B181="","",IF(C181="امازون","",(IFERROR(INDEX(الإعدادات!$B$19:$B$22,MATCH(C181,الإعدادات!$A$19:$A$22,0)),الإعدادات!$B$3)/الإعدادات!$B$4)*L181))</f>
        <v/>
      </c>
      <c r="N181" s="21" t="str">
        <f t="shared" si="5"/>
        <v/>
      </c>
      <c r="O181" s="19" t="str">
        <f>IF($B181="","",IF(OR(C181="امازون",L181=0),"",ROUND(F181/L181*الإعدادات!$B$4,0)))</f>
        <v/>
      </c>
      <c r="P181" s="22" t="str">
        <f>IF($B181="","",IF('الإدخال اليومي'!AF155="لا يعمل","مستبعد (ترك العمل)",IF('الإدخال اليومي'!AF155="اجازه","مستبعد (اجازة)",IF(C181="امازون","امازون (شحنات)",IF(L181=0,"مستبعد (لم يعمل)",IF(F181&gt;=M181,"حقق",IF(F181&gt;=M181*الإعدادات!$B$8,"قريب","بعيد")))))))</f>
        <v>امازون (شحنات)</v>
      </c>
      <c r="Q181" s="16" t="str">
        <f>IF($B181="","",TRIM('الإدخال اليومي'!H155&amp;IF(N('الإدخال اليومي'!AC155)&gt;0," | + "&amp;'الإدخال اليومي'!AC155&amp;" طلب من "&amp;'الإدخال اليومي'!AB155&amp;" (محسوبة في الإجمالي)","")))</f>
        <v/>
      </c>
      <c r="R181" s="17">
        <f t="shared" si="6"/>
        <v>1</v>
      </c>
      <c r="S181" s="17" t="str">
        <f>IF($B181="","",IF('الإدخال اليومي'!AF155="","يعمل",'الإدخال اليومي'!AF155))</f>
        <v>يعمل</v>
      </c>
    </row>
    <row r="182" spans="1:19" x14ac:dyDescent="0.3">
      <c r="A182" s="15">
        <f>IF('الإدخال اليومي'!$B156="","",IF('الإدخال اليومي'!A156="","",'الإدخال اليومي'!A156))</f>
        <v>2560703817</v>
      </c>
      <c r="B182" s="16" t="str">
        <f>IF('الإدخال اليومي'!$B156="","",IF('الإدخال اليومي'!B156="","",'الإدخال اليومي'!B156))</f>
        <v>فايز عبدالهادى عبدالفتاح الشرقاوى</v>
      </c>
      <c r="C182" s="17" t="str">
        <f>IF('الإدخال اليومي'!$B156="","",IF('الإدخال اليومي'!C156="","",'الإدخال اليومي'!C156))</f>
        <v>امازون</v>
      </c>
      <c r="D182" s="17">
        <f>IF($B182="","",152)</f>
        <v>152</v>
      </c>
      <c r="E182" s="17" t="str">
        <f>IF('الإدخال اليومي'!$B156="","",IF('الإدخال اليومي'!AD156="","",'الإدخال اليومي'!AD156))</f>
        <v>كفالة</v>
      </c>
      <c r="F182" s="18">
        <f>IF($B182="","",'الإدخال اليومي'!I156)</f>
        <v>0</v>
      </c>
      <c r="G182" s="19" t="str">
        <f>IF($B182="","",IF(N('الإدخال اليومي'!AG156)=0,"",'الإدخال اليومي'!AG156))</f>
        <v/>
      </c>
      <c r="H182" s="17" t="str">
        <f>IF('الإدخال اليومي'!$B156="","",IF('الإدخال اليومي'!AE156="","",'الإدخال اليومي'!AE156))</f>
        <v>عبدالرحمن رحومة</v>
      </c>
      <c r="I182" s="17">
        <f>IF($B182="","",IFERROR(INDEX('الإدخال اليومي'!K156:AA156,MATCH(الإعدادات!$B$2,'الإدخال اليومي'!$K$3:$AA$3,0)),0))</f>
        <v>0</v>
      </c>
      <c r="J182" s="20">
        <f>IF('الإدخال اليومي'!$B156="","",IF('الإدخال اليومي'!F156="","",'الإدخال اليومي'!F156))</f>
        <v>45889</v>
      </c>
      <c r="K182" s="17">
        <f>IF($B182="","",N('الإدخال اليومي'!G156)+MAX(0,الإعدادات!$B$2-MAX(الإعدادات!$B$10+1,N(J182))+1)-SUMPRODUCT(('الإدخال اليومي'!$L156:$AA156&gt;0)*('الإدخال اليومي'!$L$3:$AA$3&gt;=MAX(الإعدادات!$B$10+1,N(J182)))*('الإدخال اليومي'!$L$3:$AA$3&lt;=الإعدادات!$B$2)))</f>
        <v>2</v>
      </c>
      <c r="L182" s="17">
        <f>IF($B182="","",MAX(0,الإعدادات!$B$10-IF(J182="",الإعدادات!$B$9,MAX(J182,الإعدادات!$B$9))+1-N('الإدخال اليومي'!G156))+SUMPRODUCT(('الإدخال اليومي'!$L156:$AA156&gt;0)*('الإدخال اليومي'!$L$3:$AA$3&gt;=MAX(الإعدادات!$B$10+1,N(J182)))*('الإدخال اليومي'!$L$3:$AA$3&lt;=الإعدادات!$B$2)))</f>
        <v>15</v>
      </c>
      <c r="M182" s="19" t="str">
        <f>IF($B182="","",IF(C182="امازون","",(IFERROR(INDEX(الإعدادات!$B$19:$B$22,MATCH(C182,الإعدادات!$A$19:$A$22,0)),الإعدادات!$B$3)/الإعدادات!$B$4)*L182))</f>
        <v/>
      </c>
      <c r="N182" s="21" t="str">
        <f t="shared" si="5"/>
        <v/>
      </c>
      <c r="O182" s="19" t="str">
        <f>IF($B182="","",IF(OR(C182="امازون",L182=0),"",ROUND(F182/L182*الإعدادات!$B$4,0)))</f>
        <v/>
      </c>
      <c r="P182" s="22" t="str">
        <f>IF($B182="","",IF('الإدخال اليومي'!AF156="لا يعمل","مستبعد (ترك العمل)",IF('الإدخال اليومي'!AF156="اجازه","مستبعد (اجازة)",IF(C182="امازون","امازون (شحنات)",IF(L182=0,"مستبعد (لم يعمل)",IF(F182&gt;=M182,"حقق",IF(F182&gt;=M182*الإعدادات!$B$8,"قريب","بعيد")))))))</f>
        <v>امازون (شحنات)</v>
      </c>
      <c r="Q182" s="16" t="str">
        <f>IF($B182="","",TRIM('الإدخال اليومي'!H156&amp;IF(N('الإدخال اليومي'!AC156)&gt;0," | + "&amp;'الإدخال اليومي'!AC156&amp;" طلب من "&amp;'الإدخال اليومي'!AB156&amp;" (محسوبة في الإجمالي)","")))</f>
        <v/>
      </c>
      <c r="R182" s="17">
        <f t="shared" si="6"/>
        <v>1</v>
      </c>
      <c r="S182" s="17" t="str">
        <f>IF($B182="","",IF('الإدخال اليومي'!AF156="","يعمل",'الإدخال اليومي'!AF156))</f>
        <v>يعمل</v>
      </c>
    </row>
    <row r="183" spans="1:19" x14ac:dyDescent="0.3">
      <c r="A183" s="15">
        <f>IF('الإدخال اليومي'!$B157="","",IF('الإدخال اليومي'!A157="","",'الإدخال اليومي'!A157))</f>
        <v>2575936675</v>
      </c>
      <c r="B183" s="16" t="str">
        <f>IF('الإدخال اليومي'!$B157="","",IF('الإدخال اليومي'!B157="","",'الإدخال اليومي'!B157))</f>
        <v>محمد ابراهيم محمد الميداني</v>
      </c>
      <c r="C183" s="17" t="str">
        <f>IF('الإدخال اليومي'!$B157="","",IF('الإدخال اليومي'!C157="","",'الإدخال اليومي'!C157))</f>
        <v>امازون</v>
      </c>
      <c r="D183" s="17">
        <f>IF($B183="","",153)</f>
        <v>153</v>
      </c>
      <c r="E183" s="17" t="str">
        <f>IF('الإدخال اليومي'!$B157="","",IF('الإدخال اليومي'!AD157="","",'الإدخال اليومي'!AD157))</f>
        <v>كفالة</v>
      </c>
      <c r="F183" s="18">
        <f>IF($B183="","",'الإدخال اليومي'!I157)</f>
        <v>0</v>
      </c>
      <c r="G183" s="19" t="str">
        <f>IF($B183="","",IF(N('الإدخال اليومي'!AG157)=0,"",'الإدخال اليومي'!AG157))</f>
        <v/>
      </c>
      <c r="H183" s="17" t="str">
        <f>IF('الإدخال اليومي'!$B157="","",IF('الإدخال اليومي'!AE157="","",'الإدخال اليومي'!AE157))</f>
        <v>عبدالرحمن رحومة</v>
      </c>
      <c r="I183" s="17">
        <f>IF($B183="","",IFERROR(INDEX('الإدخال اليومي'!K157:AA157,MATCH(الإعدادات!$B$2,'الإدخال اليومي'!$K$3:$AA$3,0)),0))</f>
        <v>0</v>
      </c>
      <c r="J183" s="20">
        <f>IF('الإدخال اليومي'!$B157="","",IF('الإدخال اليومي'!F157="","",'الإدخال اليومي'!F157))</f>
        <v>45890</v>
      </c>
      <c r="K183" s="17">
        <f>IF($B183="","",N('الإدخال اليومي'!G157)+MAX(0,الإعدادات!$B$2-MAX(الإعدادات!$B$10+1,N(J183))+1)-SUMPRODUCT(('الإدخال اليومي'!$L157:$AA157&gt;0)*('الإدخال اليومي'!$L$3:$AA$3&gt;=MAX(الإعدادات!$B$10+1,N(J183)))*('الإدخال اليومي'!$L$3:$AA$3&lt;=الإعدادات!$B$2)))</f>
        <v>2</v>
      </c>
      <c r="L183" s="17">
        <f>IF($B183="","",MAX(0,الإعدادات!$B$10-IF(J183="",الإعدادات!$B$9,MAX(J183,الإعدادات!$B$9))+1-N('الإدخال اليومي'!G157))+SUMPRODUCT(('الإدخال اليومي'!$L157:$AA157&gt;0)*('الإدخال اليومي'!$L$3:$AA$3&gt;=MAX(الإعدادات!$B$10+1,N(J183)))*('الإدخال اليومي'!$L$3:$AA$3&lt;=الإعدادات!$B$2)))</f>
        <v>15</v>
      </c>
      <c r="M183" s="19" t="str">
        <f>IF($B183="","",IF(C183="امازون","",(IFERROR(INDEX(الإعدادات!$B$19:$B$22,MATCH(C183,الإعدادات!$A$19:$A$22,0)),الإعدادات!$B$3)/الإعدادات!$B$4)*L183))</f>
        <v/>
      </c>
      <c r="N183" s="21" t="str">
        <f t="shared" si="5"/>
        <v/>
      </c>
      <c r="O183" s="19" t="str">
        <f>IF($B183="","",IF(OR(C183="امازون",L183=0),"",ROUND(F183/L183*الإعدادات!$B$4,0)))</f>
        <v/>
      </c>
      <c r="P183" s="22" t="str">
        <f>IF($B183="","",IF('الإدخال اليومي'!AF157="لا يعمل","مستبعد (ترك العمل)",IF('الإدخال اليومي'!AF157="اجازه","مستبعد (اجازة)",IF(C183="امازون","امازون (شحنات)",IF(L183=0,"مستبعد (لم يعمل)",IF(F183&gt;=M183,"حقق",IF(F183&gt;=M183*الإعدادات!$B$8,"قريب","بعيد")))))))</f>
        <v>امازون (شحنات)</v>
      </c>
      <c r="Q183" s="16" t="str">
        <f>IF($B183="","",TRIM('الإدخال اليومي'!H157&amp;IF(N('الإدخال اليومي'!AC157)&gt;0," | + "&amp;'الإدخال اليومي'!AC157&amp;" طلب من "&amp;'الإدخال اليومي'!AB157&amp;" (محسوبة في الإجمالي)","")))</f>
        <v/>
      </c>
      <c r="R183" s="17">
        <f t="shared" si="6"/>
        <v>1</v>
      </c>
      <c r="S183" s="17" t="str">
        <f>IF($B183="","",IF('الإدخال اليومي'!AF157="","يعمل",'الإدخال اليومي'!AF157))</f>
        <v>يعمل</v>
      </c>
    </row>
    <row r="184" spans="1:19" x14ac:dyDescent="0.3">
      <c r="A184" s="15">
        <f>IF('الإدخال اليومي'!$B158="","",IF('الإدخال اليومي'!A158="","",'الإدخال اليومي'!A158))</f>
        <v>2585423763</v>
      </c>
      <c r="B184" s="16" t="str">
        <f>IF('الإدخال اليومي'!$B158="","",IF('الإدخال اليومي'!B158="","",'الإدخال اليومي'!B158))</f>
        <v>محمد السيد محمد عبد اللطيف</v>
      </c>
      <c r="C184" s="17" t="str">
        <f>IF('الإدخال اليومي'!$B158="","",IF('الإدخال اليومي'!C158="","",'الإدخال اليومي'!C158))</f>
        <v>امازون</v>
      </c>
      <c r="D184" s="17">
        <f>IF($B184="","",154)</f>
        <v>154</v>
      </c>
      <c r="E184" s="17" t="str">
        <f>IF('الإدخال اليومي'!$B158="","",IF('الإدخال اليومي'!AD158="","",'الإدخال اليومي'!AD158))</f>
        <v>كفالة</v>
      </c>
      <c r="F184" s="18">
        <f>IF($B184="","",'الإدخال اليومي'!I158)</f>
        <v>0</v>
      </c>
      <c r="G184" s="19" t="str">
        <f>IF($B184="","",IF(N('الإدخال اليومي'!AG158)=0,"",'الإدخال اليومي'!AG158))</f>
        <v/>
      </c>
      <c r="H184" s="17" t="str">
        <f>IF('الإدخال اليومي'!$B158="","",IF('الإدخال اليومي'!AE158="","",'الإدخال اليومي'!AE158))</f>
        <v>عبدالرحمن رحومة</v>
      </c>
      <c r="I184" s="17">
        <f>IF($B184="","",IFERROR(INDEX('الإدخال اليومي'!K158:AA158,MATCH(الإعدادات!$B$2,'الإدخال اليومي'!$K$3:$AA$3,0)),0))</f>
        <v>0</v>
      </c>
      <c r="J184" s="20">
        <f>IF('الإدخال اليومي'!$B158="","",IF('الإدخال اليومي'!F158="","",'الإدخال اليومي'!F158))</f>
        <v>46139</v>
      </c>
      <c r="K184" s="17">
        <f>IF($B184="","",N('الإدخال اليومي'!G158)+MAX(0,الإعدادات!$B$2-MAX(الإعدادات!$B$10+1,N(J184))+1)-SUMPRODUCT(('الإدخال اليومي'!$L158:$AA158&gt;0)*('الإدخال اليومي'!$L$3:$AA$3&gt;=MAX(الإعدادات!$B$10+1,N(J184)))*('الإدخال اليومي'!$L$3:$AA$3&lt;=الإعدادات!$B$2)))</f>
        <v>2</v>
      </c>
      <c r="L184" s="17">
        <f>IF($B184="","",MAX(0,الإعدادات!$B$10-IF(J184="",الإعدادات!$B$9,MAX(J184,الإعدادات!$B$9))+1-N('الإدخال اليومي'!G158))+SUMPRODUCT(('الإدخال اليومي'!$L158:$AA158&gt;0)*('الإدخال اليومي'!$L$3:$AA$3&gt;=MAX(الإعدادات!$B$10+1,N(J184)))*('الإدخال اليومي'!$L$3:$AA$3&lt;=الإعدادات!$B$2)))</f>
        <v>15</v>
      </c>
      <c r="M184" s="19" t="str">
        <f>IF($B184="","",IF(C184="امازون","",(IFERROR(INDEX(الإعدادات!$B$19:$B$22,MATCH(C184,الإعدادات!$A$19:$A$22,0)),الإعدادات!$B$3)/الإعدادات!$B$4)*L184))</f>
        <v/>
      </c>
      <c r="N184" s="21" t="str">
        <f t="shared" si="5"/>
        <v/>
      </c>
      <c r="O184" s="19" t="str">
        <f>IF($B184="","",IF(OR(C184="امازون",L184=0),"",ROUND(F184/L184*الإعدادات!$B$4,0)))</f>
        <v/>
      </c>
      <c r="P184" s="22" t="str">
        <f>IF($B184="","",IF('الإدخال اليومي'!AF158="لا يعمل","مستبعد (ترك العمل)",IF('الإدخال اليومي'!AF158="اجازه","مستبعد (اجازة)",IF(C184="امازون","امازون (شحنات)",IF(L184=0,"مستبعد (لم يعمل)",IF(F184&gt;=M184,"حقق",IF(F184&gt;=M184*الإعدادات!$B$8,"قريب","بعيد")))))))</f>
        <v>امازون (شحنات)</v>
      </c>
      <c r="Q184" s="16" t="str">
        <f>IF($B184="","",TRIM('الإدخال اليومي'!H158&amp;IF(N('الإدخال اليومي'!AC158)&gt;0," | + "&amp;'الإدخال اليومي'!AC158&amp;" طلب من "&amp;'الإدخال اليومي'!AB158&amp;" (محسوبة في الإجمالي)","")))</f>
        <v/>
      </c>
      <c r="R184" s="17">
        <f t="shared" si="6"/>
        <v>1</v>
      </c>
      <c r="S184" s="17" t="str">
        <f>IF($B184="","",IF('الإدخال اليومي'!AF158="","يعمل",'الإدخال اليومي'!AF158))</f>
        <v>يعمل</v>
      </c>
    </row>
    <row r="185" spans="1:19" x14ac:dyDescent="0.3">
      <c r="A185" s="15">
        <f>IF('الإدخال اليومي'!$B159="","",IF('الإدخال اليومي'!A159="","",'الإدخال اليومي'!A159))</f>
        <v>2586563708</v>
      </c>
      <c r="B185" s="16" t="str">
        <f>IF('الإدخال اليومي'!$B159="","",IF('الإدخال اليومي'!B159="","",'الإدخال اليومي'!B159))</f>
        <v>محمد سعيد عبد الهادى هلال</v>
      </c>
      <c r="C185" s="17" t="str">
        <f>IF('الإدخال اليومي'!$B159="","",IF('الإدخال اليومي'!C159="","",'الإدخال اليومي'!C159))</f>
        <v>امازون</v>
      </c>
      <c r="D185" s="17">
        <f>IF($B185="","",155)</f>
        <v>155</v>
      </c>
      <c r="E185" s="17" t="str">
        <f>IF('الإدخال اليومي'!$B159="","",IF('الإدخال اليومي'!AD159="","",'الإدخال اليومي'!AD159))</f>
        <v>كفالة</v>
      </c>
      <c r="F185" s="18">
        <f>IF($B185="","",'الإدخال اليومي'!I159)</f>
        <v>0</v>
      </c>
      <c r="G185" s="19" t="str">
        <f>IF($B185="","",IF(N('الإدخال اليومي'!AG159)=0,"",'الإدخال اليومي'!AG159))</f>
        <v/>
      </c>
      <c r="H185" s="17" t="str">
        <f>IF('الإدخال اليومي'!$B159="","",IF('الإدخال اليومي'!AE159="","",'الإدخال اليومي'!AE159))</f>
        <v>عبدالرحمن رحومة</v>
      </c>
      <c r="I185" s="17">
        <f>IF($B185="","",IFERROR(INDEX('الإدخال اليومي'!K159:AA159,MATCH(الإعدادات!$B$2,'الإدخال اليومي'!$K$3:$AA$3,0)),0))</f>
        <v>0</v>
      </c>
      <c r="J185" s="20">
        <f>IF('الإدخال اليومي'!$B159="","",IF('الإدخال اليومي'!F159="","",'الإدخال اليومي'!F159))</f>
        <v>45833</v>
      </c>
      <c r="K185" s="17">
        <f>IF($B185="","",N('الإدخال اليومي'!G159)+MAX(0,الإعدادات!$B$2-MAX(الإعدادات!$B$10+1,N(J185))+1)-SUMPRODUCT(('الإدخال اليومي'!$L159:$AA159&gt;0)*('الإدخال اليومي'!$L$3:$AA$3&gt;=MAX(الإعدادات!$B$10+1,N(J185)))*('الإدخال اليومي'!$L$3:$AA$3&lt;=الإعدادات!$B$2)))</f>
        <v>2</v>
      </c>
      <c r="L185" s="17">
        <f>IF($B185="","",MAX(0,الإعدادات!$B$10-IF(J185="",الإعدادات!$B$9,MAX(J185,الإعدادات!$B$9))+1-N('الإدخال اليومي'!G159))+SUMPRODUCT(('الإدخال اليومي'!$L159:$AA159&gt;0)*('الإدخال اليومي'!$L$3:$AA$3&gt;=MAX(الإعدادات!$B$10+1,N(J185)))*('الإدخال اليومي'!$L$3:$AA$3&lt;=الإعدادات!$B$2)))</f>
        <v>15</v>
      </c>
      <c r="M185" s="19" t="str">
        <f>IF($B185="","",IF(C185="امازون","",(IFERROR(INDEX(الإعدادات!$B$19:$B$22,MATCH(C185,الإعدادات!$A$19:$A$22,0)),الإعدادات!$B$3)/الإعدادات!$B$4)*L185))</f>
        <v/>
      </c>
      <c r="N185" s="21" t="str">
        <f t="shared" si="5"/>
        <v/>
      </c>
      <c r="O185" s="19" t="str">
        <f>IF($B185="","",IF(OR(C185="امازون",L185=0),"",ROUND(F185/L185*الإعدادات!$B$4,0)))</f>
        <v/>
      </c>
      <c r="P185" s="22" t="str">
        <f>IF($B185="","",IF('الإدخال اليومي'!AF159="لا يعمل","مستبعد (ترك العمل)",IF('الإدخال اليومي'!AF159="اجازه","مستبعد (اجازة)",IF(C185="امازون","امازون (شحنات)",IF(L185=0,"مستبعد (لم يعمل)",IF(F185&gt;=M185,"حقق",IF(F185&gt;=M185*الإعدادات!$B$8,"قريب","بعيد")))))))</f>
        <v>امازون (شحنات)</v>
      </c>
      <c r="Q185" s="16" t="str">
        <f>IF($B185="","",TRIM('الإدخال اليومي'!H159&amp;IF(N('الإدخال اليومي'!AC159)&gt;0," | + "&amp;'الإدخال اليومي'!AC159&amp;" طلب من "&amp;'الإدخال اليومي'!AB159&amp;" (محسوبة في الإجمالي)","")))</f>
        <v/>
      </c>
      <c r="R185" s="17">
        <f t="shared" si="6"/>
        <v>1</v>
      </c>
      <c r="S185" s="17" t="str">
        <f>IF($B185="","",IF('الإدخال اليومي'!AF159="","يعمل",'الإدخال اليومي'!AF159))</f>
        <v>يعمل</v>
      </c>
    </row>
    <row r="186" spans="1:19" x14ac:dyDescent="0.3">
      <c r="A186" s="15">
        <f>IF('الإدخال اليومي'!$B160="","",IF('الإدخال اليومي'!A160="","",'الإدخال اليومي'!A160))</f>
        <v>2600302281</v>
      </c>
      <c r="B186" s="16" t="str">
        <f>IF('الإدخال اليومي'!$B160="","",IF('الإدخال اليومي'!B160="","",'الإدخال اليومي'!B160))</f>
        <v>محمد سعيد محمود النحاس</v>
      </c>
      <c r="C186" s="17" t="str">
        <f>IF('الإدخال اليومي'!$B160="","",IF('الإدخال اليومي'!C160="","",'الإدخال اليومي'!C160))</f>
        <v>امازون</v>
      </c>
      <c r="D186" s="17">
        <f>IF($B186="","",156)</f>
        <v>156</v>
      </c>
      <c r="E186" s="17" t="str">
        <f>IF('الإدخال اليومي'!$B160="","",IF('الإدخال اليومي'!AD160="","",'الإدخال اليومي'!AD160))</f>
        <v>كفالة</v>
      </c>
      <c r="F186" s="18">
        <f>IF($B186="","",'الإدخال اليومي'!I160)</f>
        <v>0</v>
      </c>
      <c r="G186" s="19" t="str">
        <f>IF($B186="","",IF(N('الإدخال اليومي'!AG160)=0,"",'الإدخال اليومي'!AG160))</f>
        <v/>
      </c>
      <c r="H186" s="17" t="str">
        <f>IF('الإدخال اليومي'!$B160="","",IF('الإدخال اليومي'!AE160="","",'الإدخال اليومي'!AE160))</f>
        <v>عبدالرحمن رحومة</v>
      </c>
      <c r="I186" s="17">
        <f>IF($B186="","",IFERROR(INDEX('الإدخال اليومي'!K160:AA160,MATCH(الإعدادات!$B$2,'الإدخال اليومي'!$K$3:$AA$3,0)),0))</f>
        <v>0</v>
      </c>
      <c r="J186" s="20">
        <f>IF('الإدخال اليومي'!$B160="","",IF('الإدخال اليومي'!F160="","",'الإدخال اليومي'!F160))</f>
        <v>45891</v>
      </c>
      <c r="K186" s="17">
        <f>IF($B186="","",N('الإدخال اليومي'!G160)+MAX(0,الإعدادات!$B$2-MAX(الإعدادات!$B$10+1,N(J186))+1)-SUMPRODUCT(('الإدخال اليومي'!$L160:$AA160&gt;0)*('الإدخال اليومي'!$L$3:$AA$3&gt;=MAX(الإعدادات!$B$10+1,N(J186)))*('الإدخال اليومي'!$L$3:$AA$3&lt;=الإعدادات!$B$2)))</f>
        <v>2</v>
      </c>
      <c r="L186" s="17">
        <f>IF($B186="","",MAX(0,الإعدادات!$B$10-IF(J186="",الإعدادات!$B$9,MAX(J186,الإعدادات!$B$9))+1-N('الإدخال اليومي'!G160))+SUMPRODUCT(('الإدخال اليومي'!$L160:$AA160&gt;0)*('الإدخال اليومي'!$L$3:$AA$3&gt;=MAX(الإعدادات!$B$10+1,N(J186)))*('الإدخال اليومي'!$L$3:$AA$3&lt;=الإعدادات!$B$2)))</f>
        <v>15</v>
      </c>
      <c r="M186" s="19" t="str">
        <f>IF($B186="","",IF(C186="امازون","",(IFERROR(INDEX(الإعدادات!$B$19:$B$22,MATCH(C186,الإعدادات!$A$19:$A$22,0)),الإعدادات!$B$3)/الإعدادات!$B$4)*L186))</f>
        <v/>
      </c>
      <c r="N186" s="21" t="str">
        <f t="shared" si="5"/>
        <v/>
      </c>
      <c r="O186" s="19" t="str">
        <f>IF($B186="","",IF(OR(C186="امازون",L186=0),"",ROUND(F186/L186*الإعدادات!$B$4,0)))</f>
        <v/>
      </c>
      <c r="P186" s="22" t="str">
        <f>IF($B186="","",IF('الإدخال اليومي'!AF160="لا يعمل","مستبعد (ترك العمل)",IF('الإدخال اليومي'!AF160="اجازه","مستبعد (اجازة)",IF(C186="امازون","امازون (شحنات)",IF(L186=0,"مستبعد (لم يعمل)",IF(F186&gt;=M186,"حقق",IF(F186&gt;=M186*الإعدادات!$B$8,"قريب","بعيد")))))))</f>
        <v>امازون (شحنات)</v>
      </c>
      <c r="Q186" s="16" t="str">
        <f>IF($B186="","",TRIM('الإدخال اليومي'!H160&amp;IF(N('الإدخال اليومي'!AC160)&gt;0," | + "&amp;'الإدخال اليومي'!AC160&amp;" طلب من "&amp;'الإدخال اليومي'!AB160&amp;" (محسوبة في الإجمالي)","")))</f>
        <v/>
      </c>
      <c r="R186" s="17">
        <f t="shared" si="6"/>
        <v>1</v>
      </c>
      <c r="S186" s="17" t="str">
        <f>IF($B186="","",IF('الإدخال اليومي'!AF160="","يعمل",'الإدخال اليومي'!AF160))</f>
        <v>يعمل</v>
      </c>
    </row>
    <row r="187" spans="1:19" x14ac:dyDescent="0.3">
      <c r="A187" s="15">
        <f>IF('الإدخال اليومي'!$B161="","",IF('الإدخال اليومي'!A161="","",'الإدخال اليومي'!A161))</f>
        <v>2586565455</v>
      </c>
      <c r="B187" s="16" t="str">
        <f>IF('الإدخال اليومي'!$B161="","",IF('الإدخال اليومي'!B161="","",'الإدخال اليومي'!B161))</f>
        <v>محمود السيد محمد عطيه</v>
      </c>
      <c r="C187" s="17" t="str">
        <f>IF('الإدخال اليومي'!$B161="","",IF('الإدخال اليومي'!C161="","",'الإدخال اليومي'!C161))</f>
        <v>امازون</v>
      </c>
      <c r="D187" s="17">
        <f>IF($B187="","",157)</f>
        <v>157</v>
      </c>
      <c r="E187" s="17" t="str">
        <f>IF('الإدخال اليومي'!$B161="","",IF('الإدخال اليومي'!AD161="","",'الإدخال اليومي'!AD161))</f>
        <v>كفالة</v>
      </c>
      <c r="F187" s="18">
        <f>IF($B187="","",'الإدخال اليومي'!I161)</f>
        <v>0</v>
      </c>
      <c r="G187" s="19" t="str">
        <f>IF($B187="","",IF(N('الإدخال اليومي'!AG161)=0,"",'الإدخال اليومي'!AG161))</f>
        <v/>
      </c>
      <c r="H187" s="17" t="str">
        <f>IF('الإدخال اليومي'!$B161="","",IF('الإدخال اليومي'!AE161="","",'الإدخال اليومي'!AE161))</f>
        <v>عبدالرحمن رحومة</v>
      </c>
      <c r="I187" s="17">
        <f>IF($B187="","",IFERROR(INDEX('الإدخال اليومي'!K161:AA161,MATCH(الإعدادات!$B$2,'الإدخال اليومي'!$K$3:$AA$3,0)),0))</f>
        <v>0</v>
      </c>
      <c r="J187" s="20">
        <f>IF('الإدخال اليومي'!$B161="","",IF('الإدخال اليومي'!F161="","",'الإدخال اليومي'!F161))</f>
        <v>45889</v>
      </c>
      <c r="K187" s="17">
        <f>IF($B187="","",N('الإدخال اليومي'!G161)+MAX(0,الإعدادات!$B$2-MAX(الإعدادات!$B$10+1,N(J187))+1)-SUMPRODUCT(('الإدخال اليومي'!$L161:$AA161&gt;0)*('الإدخال اليومي'!$L$3:$AA$3&gt;=MAX(الإعدادات!$B$10+1,N(J187)))*('الإدخال اليومي'!$L$3:$AA$3&lt;=الإعدادات!$B$2)))</f>
        <v>2</v>
      </c>
      <c r="L187" s="17">
        <f>IF($B187="","",MAX(0,الإعدادات!$B$10-IF(J187="",الإعدادات!$B$9,MAX(J187,الإعدادات!$B$9))+1-N('الإدخال اليومي'!G161))+SUMPRODUCT(('الإدخال اليومي'!$L161:$AA161&gt;0)*('الإدخال اليومي'!$L$3:$AA$3&gt;=MAX(الإعدادات!$B$10+1,N(J187)))*('الإدخال اليومي'!$L$3:$AA$3&lt;=الإعدادات!$B$2)))</f>
        <v>15</v>
      </c>
      <c r="M187" s="19" t="str">
        <f>IF($B187="","",IF(C187="امازون","",(IFERROR(INDEX(الإعدادات!$B$19:$B$22,MATCH(C187,الإعدادات!$A$19:$A$22,0)),الإعدادات!$B$3)/الإعدادات!$B$4)*L187))</f>
        <v/>
      </c>
      <c r="N187" s="21" t="str">
        <f t="shared" si="5"/>
        <v/>
      </c>
      <c r="O187" s="19" t="str">
        <f>IF($B187="","",IF(OR(C187="امازون",L187=0),"",ROUND(F187/L187*الإعدادات!$B$4,0)))</f>
        <v/>
      </c>
      <c r="P187" s="22" t="str">
        <f>IF($B187="","",IF('الإدخال اليومي'!AF161="لا يعمل","مستبعد (ترك العمل)",IF('الإدخال اليومي'!AF161="اجازه","مستبعد (اجازة)",IF(C187="امازون","امازون (شحنات)",IF(L187=0,"مستبعد (لم يعمل)",IF(F187&gt;=M187,"حقق",IF(F187&gt;=M187*الإعدادات!$B$8,"قريب","بعيد")))))))</f>
        <v>امازون (شحنات)</v>
      </c>
      <c r="Q187" s="16" t="str">
        <f>IF($B187="","",TRIM('الإدخال اليومي'!H161&amp;IF(N('الإدخال اليومي'!AC161)&gt;0," | + "&amp;'الإدخال اليومي'!AC161&amp;" طلب من "&amp;'الإدخال اليومي'!AB161&amp;" (محسوبة في الإجمالي)","")))</f>
        <v/>
      </c>
      <c r="R187" s="17">
        <f t="shared" si="6"/>
        <v>1</v>
      </c>
      <c r="S187" s="17" t="str">
        <f>IF($B187="","",IF('الإدخال اليومي'!AF161="","يعمل",'الإدخال اليومي'!AF161))</f>
        <v>يعمل</v>
      </c>
    </row>
    <row r="188" spans="1:19" x14ac:dyDescent="0.3">
      <c r="A188" s="15">
        <f>IF('الإدخال اليومي'!$B162="","",IF('الإدخال اليومي'!A162="","",'الإدخال اليومي'!A162))</f>
        <v>2578797025</v>
      </c>
      <c r="B188" s="16" t="str">
        <f>IF('الإدخال اليومي'!$B162="","",IF('الإدخال اليومي'!B162="","",'الإدخال اليومي'!B162))</f>
        <v>محمود سعد محمود مرعى</v>
      </c>
      <c r="C188" s="17" t="str">
        <f>IF('الإدخال اليومي'!$B162="","",IF('الإدخال اليومي'!C162="","",'الإدخال اليومي'!C162))</f>
        <v>امازون</v>
      </c>
      <c r="D188" s="17">
        <f>IF($B188="","",158)</f>
        <v>158</v>
      </c>
      <c r="E188" s="17" t="str">
        <f>IF('الإدخال اليومي'!$B162="","",IF('الإدخال اليومي'!AD162="","",'الإدخال اليومي'!AD162))</f>
        <v>كفالة</v>
      </c>
      <c r="F188" s="18">
        <f>IF($B188="","",'الإدخال اليومي'!I162)</f>
        <v>0</v>
      </c>
      <c r="G188" s="19" t="str">
        <f>IF($B188="","",IF(N('الإدخال اليومي'!AG162)=0,"",'الإدخال اليومي'!AG162))</f>
        <v/>
      </c>
      <c r="H188" s="17" t="str">
        <f>IF('الإدخال اليومي'!$B162="","",IF('الإدخال اليومي'!AE162="","",'الإدخال اليومي'!AE162))</f>
        <v>عبدالرحمن رحومة</v>
      </c>
      <c r="I188" s="17">
        <f>IF($B188="","",IFERROR(INDEX('الإدخال اليومي'!K162:AA162,MATCH(الإعدادات!$B$2,'الإدخال اليومي'!$K$3:$AA$3,0)),0))</f>
        <v>0</v>
      </c>
      <c r="J188" s="20">
        <f>IF('الإدخال اليومي'!$B162="","",IF('الإدخال اليومي'!F162="","",'الإدخال اليومي'!F162))</f>
        <v>45962</v>
      </c>
      <c r="K188" s="17">
        <f>IF($B188="","",N('الإدخال اليومي'!G162)+MAX(0,الإعدادات!$B$2-MAX(الإعدادات!$B$10+1,N(J188))+1)-SUMPRODUCT(('الإدخال اليومي'!$L162:$AA162&gt;0)*('الإدخال اليومي'!$L$3:$AA$3&gt;=MAX(الإعدادات!$B$10+1,N(J188)))*('الإدخال اليومي'!$L$3:$AA$3&lt;=الإعدادات!$B$2)))</f>
        <v>2</v>
      </c>
      <c r="L188" s="17">
        <f>IF($B188="","",MAX(0,الإعدادات!$B$10-IF(J188="",الإعدادات!$B$9,MAX(J188,الإعدادات!$B$9))+1-N('الإدخال اليومي'!G162))+SUMPRODUCT(('الإدخال اليومي'!$L162:$AA162&gt;0)*('الإدخال اليومي'!$L$3:$AA$3&gt;=MAX(الإعدادات!$B$10+1,N(J188)))*('الإدخال اليومي'!$L$3:$AA$3&lt;=الإعدادات!$B$2)))</f>
        <v>15</v>
      </c>
      <c r="M188" s="19" t="str">
        <f>IF($B188="","",IF(C188="امازون","",(IFERROR(INDEX(الإعدادات!$B$19:$B$22,MATCH(C188,الإعدادات!$A$19:$A$22,0)),الإعدادات!$B$3)/الإعدادات!$B$4)*L188))</f>
        <v/>
      </c>
      <c r="N188" s="21" t="str">
        <f t="shared" si="5"/>
        <v/>
      </c>
      <c r="O188" s="19" t="str">
        <f>IF($B188="","",IF(OR(C188="امازون",L188=0),"",ROUND(F188/L188*الإعدادات!$B$4,0)))</f>
        <v/>
      </c>
      <c r="P188" s="22" t="str">
        <f>IF($B188="","",IF('الإدخال اليومي'!AF162="لا يعمل","مستبعد (ترك العمل)",IF('الإدخال اليومي'!AF162="اجازه","مستبعد (اجازة)",IF(C188="امازون","امازون (شحنات)",IF(L188=0,"مستبعد (لم يعمل)",IF(F188&gt;=M188,"حقق",IF(F188&gt;=M188*الإعدادات!$B$8,"قريب","بعيد")))))))</f>
        <v>امازون (شحنات)</v>
      </c>
      <c r="Q188" s="16" t="str">
        <f>IF($B188="","",TRIM('الإدخال اليومي'!H162&amp;IF(N('الإدخال اليومي'!AC162)&gt;0," | + "&amp;'الإدخال اليومي'!AC162&amp;" طلب من "&amp;'الإدخال اليومي'!AB162&amp;" (محسوبة في الإجمالي)","")))</f>
        <v/>
      </c>
      <c r="R188" s="17">
        <f t="shared" si="6"/>
        <v>1</v>
      </c>
      <c r="S188" s="17" t="str">
        <f>IF($B188="","",IF('الإدخال اليومي'!AF162="","يعمل",'الإدخال اليومي'!AF162))</f>
        <v>يعمل</v>
      </c>
    </row>
    <row r="189" spans="1:19" x14ac:dyDescent="0.3">
      <c r="A189" s="15">
        <f>IF('الإدخال اليومي'!$B163="","",IF('الإدخال اليومي'!A163="","",'الإدخال اليومي'!A163))</f>
        <v>2596558060</v>
      </c>
      <c r="B189" s="16" t="str">
        <f>IF('الإدخال اليومي'!$B163="","",IF('الإدخال اليومي'!B163="","",'الإدخال اليومي'!B163))</f>
        <v>مصطفى علاء الدين محمد عطيه</v>
      </c>
      <c r="C189" s="17" t="str">
        <f>IF('الإدخال اليومي'!$B163="","",IF('الإدخال اليومي'!C163="","",'الإدخال اليومي'!C163))</f>
        <v>امازون</v>
      </c>
      <c r="D189" s="17">
        <f>IF($B189="","",159)</f>
        <v>159</v>
      </c>
      <c r="E189" s="17" t="str">
        <f>IF('الإدخال اليومي'!$B163="","",IF('الإدخال اليومي'!AD163="","",'الإدخال اليومي'!AD163))</f>
        <v>كفالة</v>
      </c>
      <c r="F189" s="18">
        <f>IF($B189="","",'الإدخال اليومي'!I163)</f>
        <v>0</v>
      </c>
      <c r="G189" s="19" t="str">
        <f>IF($B189="","",IF(N('الإدخال اليومي'!AG163)=0,"",'الإدخال اليومي'!AG163))</f>
        <v/>
      </c>
      <c r="H189" s="17" t="str">
        <f>IF('الإدخال اليومي'!$B163="","",IF('الإدخال اليومي'!AE163="","",'الإدخال اليومي'!AE163))</f>
        <v>عبدالرحمن رحومة</v>
      </c>
      <c r="I189" s="17">
        <f>IF($B189="","",IFERROR(INDEX('الإدخال اليومي'!K163:AA163,MATCH(الإعدادات!$B$2,'الإدخال اليومي'!$K$3:$AA$3,0)),0))</f>
        <v>0</v>
      </c>
      <c r="J189" s="20">
        <f>IF('الإدخال اليومي'!$B163="","",IF('الإدخال اليومي'!F163="","",'الإدخال اليومي'!F163))</f>
        <v>45889</v>
      </c>
      <c r="K189" s="17">
        <f>IF($B189="","",N('الإدخال اليومي'!G163)+MAX(0,الإعدادات!$B$2-MAX(الإعدادات!$B$10+1,N(J189))+1)-SUMPRODUCT(('الإدخال اليومي'!$L163:$AA163&gt;0)*('الإدخال اليومي'!$L$3:$AA$3&gt;=MAX(الإعدادات!$B$10+1,N(J189)))*('الإدخال اليومي'!$L$3:$AA$3&lt;=الإعدادات!$B$2)))</f>
        <v>2</v>
      </c>
      <c r="L189" s="17">
        <f>IF($B189="","",MAX(0,الإعدادات!$B$10-IF(J189="",الإعدادات!$B$9,MAX(J189,الإعدادات!$B$9))+1-N('الإدخال اليومي'!G163))+SUMPRODUCT(('الإدخال اليومي'!$L163:$AA163&gt;0)*('الإدخال اليومي'!$L$3:$AA$3&gt;=MAX(الإعدادات!$B$10+1,N(J189)))*('الإدخال اليومي'!$L$3:$AA$3&lt;=الإعدادات!$B$2)))</f>
        <v>15</v>
      </c>
      <c r="M189" s="19" t="str">
        <f>IF($B189="","",IF(C189="امازون","",(IFERROR(INDEX(الإعدادات!$B$19:$B$22,MATCH(C189,الإعدادات!$A$19:$A$22,0)),الإعدادات!$B$3)/الإعدادات!$B$4)*L189))</f>
        <v/>
      </c>
      <c r="N189" s="21" t="str">
        <f t="shared" si="5"/>
        <v/>
      </c>
      <c r="O189" s="19" t="str">
        <f>IF($B189="","",IF(OR(C189="امازون",L189=0),"",ROUND(F189/L189*الإعدادات!$B$4,0)))</f>
        <v/>
      </c>
      <c r="P189" s="22" t="str">
        <f>IF($B189="","",IF('الإدخال اليومي'!AF163="لا يعمل","مستبعد (ترك العمل)",IF('الإدخال اليومي'!AF163="اجازه","مستبعد (اجازة)",IF(C189="امازون","امازون (شحنات)",IF(L189=0,"مستبعد (لم يعمل)",IF(F189&gt;=M189,"حقق",IF(F189&gt;=M189*الإعدادات!$B$8,"قريب","بعيد")))))))</f>
        <v>امازون (شحنات)</v>
      </c>
      <c r="Q189" s="16" t="str">
        <f>IF($B189="","",TRIM('الإدخال اليومي'!H163&amp;IF(N('الإدخال اليومي'!AC163)&gt;0," | + "&amp;'الإدخال اليومي'!AC163&amp;" طلب من "&amp;'الإدخال اليومي'!AB163&amp;" (محسوبة في الإجمالي)","")))</f>
        <v/>
      </c>
      <c r="R189" s="17">
        <f t="shared" si="6"/>
        <v>1</v>
      </c>
      <c r="S189" s="17" t="str">
        <f>IF($B189="","",IF('الإدخال اليومي'!AF163="","يعمل",'الإدخال اليومي'!AF163))</f>
        <v>يعمل</v>
      </c>
    </row>
    <row r="190" spans="1:19" x14ac:dyDescent="0.3">
      <c r="A190" s="15">
        <f>IF('الإدخال اليومي'!$B164="","",IF('الإدخال اليومي'!A164="","",'الإدخال اليومي'!A164))</f>
        <v>2602574606</v>
      </c>
      <c r="B190" s="16" t="str">
        <f>IF('الإدخال اليومي'!$B164="","",IF('الإدخال اليومي'!B164="","",'الإدخال اليومي'!B164))</f>
        <v>MD OHID SHEIKH</v>
      </c>
      <c r="C190" s="17" t="str">
        <f>IF('الإدخال اليومي'!$B164="","",IF('الإدخال اليومي'!C164="","",'الإدخال اليومي'!C164))</f>
        <v>امازون</v>
      </c>
      <c r="D190" s="17">
        <f>IF($B190="","",160)</f>
        <v>160</v>
      </c>
      <c r="E190" s="17" t="str">
        <f>IF('الإدخال اليومي'!$B164="","",IF('الإدخال اليومي'!AD164="","",'الإدخال اليومي'!AD164))</f>
        <v>كفالة</v>
      </c>
      <c r="F190" s="18">
        <f>IF($B190="","",'الإدخال اليومي'!I164)</f>
        <v>0</v>
      </c>
      <c r="G190" s="19" t="str">
        <f>IF($B190="","",IF(N('الإدخال اليومي'!AG164)=0,"",'الإدخال اليومي'!AG164))</f>
        <v/>
      </c>
      <c r="H190" s="17" t="str">
        <f>IF('الإدخال اليومي'!$B164="","",IF('الإدخال اليومي'!AE164="","",'الإدخال اليومي'!AE164))</f>
        <v>عبدالرحمن رحومة</v>
      </c>
      <c r="I190" s="17">
        <f>IF($B190="","",IFERROR(INDEX('الإدخال اليومي'!K164:AA164,MATCH(الإعدادات!$B$2,'الإدخال اليومي'!$K$3:$AA$3,0)),0))</f>
        <v>0</v>
      </c>
      <c r="J190" s="20">
        <f>IF('الإدخال اليومي'!$B164="","",IF('الإدخال اليومي'!F164="","",'الإدخال اليومي'!F164))</f>
        <v>46138</v>
      </c>
      <c r="K190" s="17">
        <f>IF($B190="","",N('الإدخال اليومي'!G164)+MAX(0,الإعدادات!$B$2-MAX(الإعدادات!$B$10+1,N(J190))+1)-SUMPRODUCT(('الإدخال اليومي'!$L164:$AA164&gt;0)*('الإدخال اليومي'!$L$3:$AA$3&gt;=MAX(الإعدادات!$B$10+1,N(J190)))*('الإدخال اليومي'!$L$3:$AA$3&lt;=الإعدادات!$B$2)))</f>
        <v>2</v>
      </c>
      <c r="L190" s="17">
        <f>IF($B190="","",MAX(0,الإعدادات!$B$10-IF(J190="",الإعدادات!$B$9,MAX(J190,الإعدادات!$B$9))+1-N('الإدخال اليومي'!G164))+SUMPRODUCT(('الإدخال اليومي'!$L164:$AA164&gt;0)*('الإدخال اليومي'!$L$3:$AA$3&gt;=MAX(الإعدادات!$B$10+1,N(J190)))*('الإدخال اليومي'!$L$3:$AA$3&lt;=الإعدادات!$B$2)))</f>
        <v>15</v>
      </c>
      <c r="M190" s="19" t="str">
        <f>IF($B190="","",IF(C190="امازون","",(IFERROR(INDEX(الإعدادات!$B$19:$B$22,MATCH(C190,الإعدادات!$A$19:$A$22,0)),الإعدادات!$B$3)/الإعدادات!$B$4)*L190))</f>
        <v/>
      </c>
      <c r="N190" s="21" t="str">
        <f t="shared" si="5"/>
        <v/>
      </c>
      <c r="O190" s="19" t="str">
        <f>IF($B190="","",IF(OR(C190="امازون",L190=0),"",ROUND(F190/L190*الإعدادات!$B$4,0)))</f>
        <v/>
      </c>
      <c r="P190" s="22" t="str">
        <f>IF($B190="","",IF('الإدخال اليومي'!AF164="لا يعمل","مستبعد (ترك العمل)",IF('الإدخال اليومي'!AF164="اجازه","مستبعد (اجازة)",IF(C190="امازون","امازون (شحنات)",IF(L190=0,"مستبعد (لم يعمل)",IF(F190&gt;=M190,"حقق",IF(F190&gt;=M190*الإعدادات!$B$8,"قريب","بعيد")))))))</f>
        <v>امازون (شحنات)</v>
      </c>
      <c r="Q190" s="16" t="str">
        <f>IF($B190="","",TRIM('الإدخال اليومي'!H164&amp;IF(N('الإدخال اليومي'!AC164)&gt;0," | + "&amp;'الإدخال اليومي'!AC164&amp;" طلب من "&amp;'الإدخال اليومي'!AB164&amp;" (محسوبة في الإجمالي)","")))</f>
        <v/>
      </c>
      <c r="R190" s="17">
        <f t="shared" si="6"/>
        <v>1</v>
      </c>
      <c r="S190" s="17" t="str">
        <f>IF($B190="","",IF('الإدخال اليومي'!AF164="","يعمل",'الإدخال اليومي'!AF164))</f>
        <v>يعمل</v>
      </c>
    </row>
    <row r="191" spans="1:19" x14ac:dyDescent="0.3">
      <c r="A191" s="15">
        <f>IF('الإدخال اليومي'!$B165="","",IF('الإدخال اليومي'!A165="","",'الإدخال اليومي'!A165))</f>
        <v>2573679533</v>
      </c>
      <c r="B191" s="16" t="str">
        <f>IF('الإدخال اليومي'!$B165="","",IF('الإدخال اليومي'!B165="","",'الإدخال اليومي'!B165))</f>
        <v>RAMIM ISLAM MUNNA</v>
      </c>
      <c r="C191" s="17" t="str">
        <f>IF('الإدخال اليومي'!$B165="","",IF('الإدخال اليومي'!C165="","",'الإدخال اليومي'!C165))</f>
        <v>امازون</v>
      </c>
      <c r="D191" s="17">
        <f>IF($B191="","",161)</f>
        <v>161</v>
      </c>
      <c r="E191" s="17" t="str">
        <f>IF('الإدخال اليومي'!$B165="","",IF('الإدخال اليومي'!AD165="","",'الإدخال اليومي'!AD165))</f>
        <v>كفالة</v>
      </c>
      <c r="F191" s="18">
        <f>IF($B191="","",'الإدخال اليومي'!I165)</f>
        <v>0</v>
      </c>
      <c r="G191" s="19" t="str">
        <f>IF($B191="","",IF(N('الإدخال اليومي'!AG165)=0,"",'الإدخال اليومي'!AG165))</f>
        <v/>
      </c>
      <c r="H191" s="17" t="str">
        <f>IF('الإدخال اليومي'!$B165="","",IF('الإدخال اليومي'!AE165="","",'الإدخال اليومي'!AE165))</f>
        <v>عبدالرحمن رحومة</v>
      </c>
      <c r="I191" s="17">
        <f>IF($B191="","",IFERROR(INDEX('الإدخال اليومي'!K165:AA165,MATCH(الإعدادات!$B$2,'الإدخال اليومي'!$K$3:$AA$3,0)),0))</f>
        <v>0</v>
      </c>
      <c r="J191" s="20">
        <f>IF('الإدخال اليومي'!$B165="","",IF('الإدخال اليومي'!F165="","",'الإدخال اليومي'!F165))</f>
        <v>46139</v>
      </c>
      <c r="K191" s="17">
        <f>IF($B191="","",N('الإدخال اليومي'!G165)+MAX(0,الإعدادات!$B$2-MAX(الإعدادات!$B$10+1,N(J191))+1)-SUMPRODUCT(('الإدخال اليومي'!$L165:$AA165&gt;0)*('الإدخال اليومي'!$L$3:$AA$3&gt;=MAX(الإعدادات!$B$10+1,N(J191)))*('الإدخال اليومي'!$L$3:$AA$3&lt;=الإعدادات!$B$2)))</f>
        <v>2</v>
      </c>
      <c r="L191" s="17">
        <f>IF($B191="","",MAX(0,الإعدادات!$B$10-IF(J191="",الإعدادات!$B$9,MAX(J191,الإعدادات!$B$9))+1-N('الإدخال اليومي'!G165))+SUMPRODUCT(('الإدخال اليومي'!$L165:$AA165&gt;0)*('الإدخال اليومي'!$L$3:$AA$3&gt;=MAX(الإعدادات!$B$10+1,N(J191)))*('الإدخال اليومي'!$L$3:$AA$3&lt;=الإعدادات!$B$2)))</f>
        <v>15</v>
      </c>
      <c r="M191" s="19" t="str">
        <f>IF($B191="","",IF(C191="امازون","",(IFERROR(INDEX(الإعدادات!$B$19:$B$22,MATCH(C191,الإعدادات!$A$19:$A$22,0)),الإعدادات!$B$3)/الإعدادات!$B$4)*L191))</f>
        <v/>
      </c>
      <c r="N191" s="21" t="str">
        <f t="shared" si="5"/>
        <v/>
      </c>
      <c r="O191" s="19" t="str">
        <f>IF($B191="","",IF(OR(C191="امازون",L191=0),"",ROUND(F191/L191*الإعدادات!$B$4,0)))</f>
        <v/>
      </c>
      <c r="P191" s="22" t="str">
        <f>IF($B191="","",IF('الإدخال اليومي'!AF165="لا يعمل","مستبعد (ترك العمل)",IF('الإدخال اليومي'!AF165="اجازه","مستبعد (اجازة)",IF(C191="امازون","امازون (شحنات)",IF(L191=0,"مستبعد (لم يعمل)",IF(F191&gt;=M191,"حقق",IF(F191&gt;=M191*الإعدادات!$B$8,"قريب","بعيد")))))))</f>
        <v>امازون (شحنات)</v>
      </c>
      <c r="Q191" s="16" t="str">
        <f>IF($B191="","",TRIM('الإدخال اليومي'!H165&amp;IF(N('الإدخال اليومي'!AC165)&gt;0," | + "&amp;'الإدخال اليومي'!AC165&amp;" طلب من "&amp;'الإدخال اليومي'!AB165&amp;" (محسوبة في الإجمالي)","")))</f>
        <v/>
      </c>
      <c r="R191" s="17">
        <f t="shared" si="6"/>
        <v>1</v>
      </c>
      <c r="S191" s="17" t="str">
        <f>IF($B191="","",IF('الإدخال اليومي'!AF165="","يعمل",'الإدخال اليومي'!AF165))</f>
        <v>يعمل</v>
      </c>
    </row>
    <row r="192" spans="1:19" x14ac:dyDescent="0.3">
      <c r="A192" s="15">
        <f>IF('الإدخال اليومي'!$B166="","",IF('الإدخال اليومي'!A166="","",'الإدخال اليومي'!A166))</f>
        <v>2581879877</v>
      </c>
      <c r="B192" s="16" t="str">
        <f>IF('الإدخال اليومي'!$B166="","",IF('الإدخال اليومي'!B166="","",'الإدخال اليومي'!B166))</f>
        <v>Shofikul Islam Shipon</v>
      </c>
      <c r="C192" s="17" t="str">
        <f>IF('الإدخال اليومي'!$B166="","",IF('الإدخال اليومي'!C166="","",'الإدخال اليومي'!C166))</f>
        <v>امازون</v>
      </c>
      <c r="D192" s="17">
        <f>IF($B192="","",162)</f>
        <v>162</v>
      </c>
      <c r="E192" s="17" t="str">
        <f>IF('الإدخال اليومي'!$B166="","",IF('الإدخال اليومي'!AD166="","",'الإدخال اليومي'!AD166))</f>
        <v>كفالة</v>
      </c>
      <c r="F192" s="18">
        <f>IF($B192="","",'الإدخال اليومي'!I166)</f>
        <v>0</v>
      </c>
      <c r="G192" s="19" t="str">
        <f>IF($B192="","",IF(N('الإدخال اليومي'!AG166)=0,"",'الإدخال اليومي'!AG166))</f>
        <v/>
      </c>
      <c r="H192" s="17" t="str">
        <f>IF('الإدخال اليومي'!$B166="","",IF('الإدخال اليومي'!AE166="","",'الإدخال اليومي'!AE166))</f>
        <v>عبدالرحمن رحومة</v>
      </c>
      <c r="I192" s="17">
        <f>IF($B192="","",IFERROR(INDEX('الإدخال اليومي'!K166:AA166,MATCH(الإعدادات!$B$2,'الإدخال اليومي'!$K$3:$AA$3,0)),0))</f>
        <v>0</v>
      </c>
      <c r="J192" s="20">
        <f>IF('الإدخال اليومي'!$B166="","",IF('الإدخال اليومي'!F166="","",'الإدخال اليومي'!F166))</f>
        <v>46139</v>
      </c>
      <c r="K192" s="17">
        <f>IF($B192="","",N('الإدخال اليومي'!G166)+MAX(0,الإعدادات!$B$2-MAX(الإعدادات!$B$10+1,N(J192))+1)-SUMPRODUCT(('الإدخال اليومي'!$L166:$AA166&gt;0)*('الإدخال اليومي'!$L$3:$AA$3&gt;=MAX(الإعدادات!$B$10+1,N(J192)))*('الإدخال اليومي'!$L$3:$AA$3&lt;=الإعدادات!$B$2)))</f>
        <v>2</v>
      </c>
      <c r="L192" s="17">
        <f>IF($B192="","",MAX(0,الإعدادات!$B$10-IF(J192="",الإعدادات!$B$9,MAX(J192,الإعدادات!$B$9))+1-N('الإدخال اليومي'!G166))+SUMPRODUCT(('الإدخال اليومي'!$L166:$AA166&gt;0)*('الإدخال اليومي'!$L$3:$AA$3&gt;=MAX(الإعدادات!$B$10+1,N(J192)))*('الإدخال اليومي'!$L$3:$AA$3&lt;=الإعدادات!$B$2)))</f>
        <v>15</v>
      </c>
      <c r="M192" s="19" t="str">
        <f>IF($B192="","",IF(C192="امازون","",(IFERROR(INDEX(الإعدادات!$B$19:$B$22,MATCH(C192,الإعدادات!$A$19:$A$22,0)),الإعدادات!$B$3)/الإعدادات!$B$4)*L192))</f>
        <v/>
      </c>
      <c r="N192" s="21" t="str">
        <f t="shared" si="5"/>
        <v/>
      </c>
      <c r="O192" s="19" t="str">
        <f>IF($B192="","",IF(OR(C192="امازون",L192=0),"",ROUND(F192/L192*الإعدادات!$B$4,0)))</f>
        <v/>
      </c>
      <c r="P192" s="22" t="str">
        <f>IF($B192="","",IF('الإدخال اليومي'!AF166="لا يعمل","مستبعد (ترك العمل)",IF('الإدخال اليومي'!AF166="اجازه","مستبعد (اجازة)",IF(C192="امازون","امازون (شحنات)",IF(L192=0,"مستبعد (لم يعمل)",IF(F192&gt;=M192,"حقق",IF(F192&gt;=M192*الإعدادات!$B$8,"قريب","بعيد")))))))</f>
        <v>امازون (شحنات)</v>
      </c>
      <c r="Q192" s="16" t="str">
        <f>IF($B192="","",TRIM('الإدخال اليومي'!H166&amp;IF(N('الإدخال اليومي'!AC166)&gt;0," | + "&amp;'الإدخال اليومي'!AC166&amp;" طلب من "&amp;'الإدخال اليومي'!AB166&amp;" (محسوبة في الإجمالي)","")))</f>
        <v/>
      </c>
      <c r="R192" s="17">
        <f t="shared" si="6"/>
        <v>1</v>
      </c>
      <c r="S192" s="17" t="str">
        <f>IF($B192="","",IF('الإدخال اليومي'!AF166="","يعمل",'الإدخال اليومي'!AF166))</f>
        <v>يعمل</v>
      </c>
    </row>
    <row r="193" spans="1:19" x14ac:dyDescent="0.3">
      <c r="A193" s="15">
        <f>IF('الإدخال اليومي'!$B167="","",IF('الإدخال اليومي'!A167="","",'الإدخال اليومي'!A167))</f>
        <v>2586867489</v>
      </c>
      <c r="B193" s="16" t="str">
        <f>IF('الإدخال اليومي'!$B167="","",IF('الإدخال اليومي'!B167="","",'الإدخال اليومي'!B167))</f>
        <v>محمد روبين شيخ</v>
      </c>
      <c r="C193" s="17" t="str">
        <f>IF('الإدخال اليومي'!$B167="","",IF('الإدخال اليومي'!C167="","",'الإدخال اليومي'!C167))</f>
        <v>امازون</v>
      </c>
      <c r="D193" s="17">
        <f>IF($B193="","",163)</f>
        <v>163</v>
      </c>
      <c r="E193" s="17" t="str">
        <f>IF('الإدخال اليومي'!$B167="","",IF('الإدخال اليومي'!AD167="","",'الإدخال اليومي'!AD167))</f>
        <v>فري لانسر</v>
      </c>
      <c r="F193" s="18">
        <f>IF($B193="","",'الإدخال اليومي'!I167)</f>
        <v>0</v>
      </c>
      <c r="G193" s="19" t="str">
        <f>IF($B193="","",IF(N('الإدخال اليومي'!AG167)=0,"",'الإدخال اليومي'!AG167))</f>
        <v/>
      </c>
      <c r="H193" s="17" t="str">
        <f>IF('الإدخال اليومي'!$B167="","",IF('الإدخال اليومي'!AE167="","",'الإدخال اليومي'!AE167))</f>
        <v>عبدالرحمن رحومة</v>
      </c>
      <c r="I193" s="17">
        <f>IF($B193="","",IFERROR(INDEX('الإدخال اليومي'!K167:AA167,MATCH(الإعدادات!$B$2,'الإدخال اليومي'!$K$3:$AA$3,0)),0))</f>
        <v>0</v>
      </c>
      <c r="J193" s="20">
        <f>IF('الإدخال اليومي'!$B167="","",IF('الإدخال اليومي'!F167="","",'الإدخال اليومي'!F167))</f>
        <v>46204</v>
      </c>
      <c r="K193" s="17">
        <f>IF($B193="","",N('الإدخال اليومي'!G167)+MAX(0,الإعدادات!$B$2-MAX(الإعدادات!$B$10+1,N(J193))+1)-SUMPRODUCT(('الإدخال اليومي'!$L167:$AA167&gt;0)*('الإدخال اليومي'!$L$3:$AA$3&gt;=MAX(الإعدادات!$B$10+1,N(J193)))*('الإدخال اليومي'!$L$3:$AA$3&lt;=الإعدادات!$B$2)))</f>
        <v>2</v>
      </c>
      <c r="L193" s="17">
        <f>IF($B193="","",MAX(0,الإعدادات!$B$10-IF(J193="",الإعدادات!$B$9,MAX(J193,الإعدادات!$B$9))+1-N('الإدخال اليومي'!G167))+SUMPRODUCT(('الإدخال اليومي'!$L167:$AA167&gt;0)*('الإدخال اليومي'!$L$3:$AA$3&gt;=MAX(الإعدادات!$B$10+1,N(J193)))*('الإدخال اليومي'!$L$3:$AA$3&lt;=الإعدادات!$B$2)))</f>
        <v>15</v>
      </c>
      <c r="M193" s="19" t="str">
        <f>IF($B193="","",IF(C193="امازون","",(IFERROR(INDEX(الإعدادات!$B$19:$B$22,MATCH(C193,الإعدادات!$A$19:$A$22,0)),الإعدادات!$B$3)/الإعدادات!$B$4)*L193))</f>
        <v/>
      </c>
      <c r="N193" s="21" t="str">
        <f t="shared" si="5"/>
        <v/>
      </c>
      <c r="O193" s="19" t="str">
        <f>IF($B193="","",IF(OR(C193="امازون",L193=0),"",ROUND(F193/L193*الإعدادات!$B$4,0)))</f>
        <v/>
      </c>
      <c r="P193" s="22" t="str">
        <f>IF($B193="","",IF('الإدخال اليومي'!AF167="لا يعمل","مستبعد (ترك العمل)",IF('الإدخال اليومي'!AF167="اجازه","مستبعد (اجازة)",IF(C193="امازون","امازون (شحنات)",IF(L193=0,"مستبعد (لم يعمل)",IF(F193&gt;=M193,"حقق",IF(F193&gt;=M193*الإعدادات!$B$8,"قريب","بعيد")))))))</f>
        <v>امازون (شحنات)</v>
      </c>
      <c r="Q193" s="16" t="str">
        <f>IF($B193="","",TRIM('الإدخال اليومي'!H167&amp;IF(N('الإدخال اليومي'!AC167)&gt;0," | + "&amp;'الإدخال اليومي'!AC167&amp;" طلب من "&amp;'الإدخال اليومي'!AB167&amp;" (محسوبة في الإجمالي)","")))</f>
        <v/>
      </c>
      <c r="R193" s="17">
        <f t="shared" si="6"/>
        <v>1</v>
      </c>
      <c r="S193" s="17" t="str">
        <f>IF($B193="","",IF('الإدخال اليومي'!AF167="","يعمل",'الإدخال اليومي'!AF167))</f>
        <v>يعمل</v>
      </c>
    </row>
    <row r="194" spans="1:19" x14ac:dyDescent="0.3">
      <c r="A194" s="15">
        <f>IF('الإدخال اليومي'!$B168="","",IF('الإدخال اليومي'!A168="","",'الإدخال اليومي'!A168))</f>
        <v>2570585915</v>
      </c>
      <c r="B194" s="16" t="str">
        <f>IF('الإدخال اليومي'!$B168="","",IF('الإدخال اليومي'!B168="","",'الإدخال اليومي'!B168))</f>
        <v>محمد ريزول جنات مران</v>
      </c>
      <c r="C194" s="17" t="str">
        <f>IF('الإدخال اليومي'!$B168="","",IF('الإدخال اليومي'!C168="","",'الإدخال اليومي'!C168))</f>
        <v>امازون</v>
      </c>
      <c r="D194" s="17">
        <f>IF($B194="","",164)</f>
        <v>164</v>
      </c>
      <c r="E194" s="17" t="str">
        <f>IF('الإدخال اليومي'!$B168="","",IF('الإدخال اليومي'!AD168="","",'الإدخال اليومي'!AD168))</f>
        <v>فري لانسر</v>
      </c>
      <c r="F194" s="18">
        <f>IF($B194="","",'الإدخال اليومي'!I168)</f>
        <v>0</v>
      </c>
      <c r="G194" s="19" t="str">
        <f>IF($B194="","",IF(N('الإدخال اليومي'!AG168)=0,"",'الإدخال اليومي'!AG168))</f>
        <v/>
      </c>
      <c r="H194" s="17" t="str">
        <f>IF('الإدخال اليومي'!$B168="","",IF('الإدخال اليومي'!AE168="","",'الإدخال اليومي'!AE168))</f>
        <v>عبدالرحمن رحومة</v>
      </c>
      <c r="I194" s="17">
        <f>IF($B194="","",IFERROR(INDEX('الإدخال اليومي'!K168:AA168,MATCH(الإعدادات!$B$2,'الإدخال اليومي'!$K$3:$AA$3,0)),0))</f>
        <v>0</v>
      </c>
      <c r="J194" s="20">
        <f>IF('الإدخال اليومي'!$B168="","",IF('الإدخال اليومي'!F168="","",'الإدخال اليومي'!F168))</f>
        <v>46204</v>
      </c>
      <c r="K194" s="17">
        <f>IF($B194="","",N('الإدخال اليومي'!G168)+MAX(0,الإعدادات!$B$2-MAX(الإعدادات!$B$10+1,N(J194))+1)-SUMPRODUCT(('الإدخال اليومي'!$L168:$AA168&gt;0)*('الإدخال اليومي'!$L$3:$AA$3&gt;=MAX(الإعدادات!$B$10+1,N(J194)))*('الإدخال اليومي'!$L$3:$AA$3&lt;=الإعدادات!$B$2)))</f>
        <v>2</v>
      </c>
      <c r="L194" s="17">
        <f>IF($B194="","",MAX(0,الإعدادات!$B$10-IF(J194="",الإعدادات!$B$9,MAX(J194,الإعدادات!$B$9))+1-N('الإدخال اليومي'!G168))+SUMPRODUCT(('الإدخال اليومي'!$L168:$AA168&gt;0)*('الإدخال اليومي'!$L$3:$AA$3&gt;=MAX(الإعدادات!$B$10+1,N(J194)))*('الإدخال اليومي'!$L$3:$AA$3&lt;=الإعدادات!$B$2)))</f>
        <v>15</v>
      </c>
      <c r="M194" s="19" t="str">
        <f>IF($B194="","",IF(C194="امازون","",(IFERROR(INDEX(الإعدادات!$B$19:$B$22,MATCH(C194,الإعدادات!$A$19:$A$22,0)),الإعدادات!$B$3)/الإعدادات!$B$4)*L194))</f>
        <v/>
      </c>
      <c r="N194" s="21" t="str">
        <f t="shared" si="5"/>
        <v/>
      </c>
      <c r="O194" s="19" t="str">
        <f>IF($B194="","",IF(OR(C194="امازون",L194=0),"",ROUND(F194/L194*الإعدادات!$B$4,0)))</f>
        <v/>
      </c>
      <c r="P194" s="22" t="str">
        <f>IF($B194="","",IF('الإدخال اليومي'!AF168="لا يعمل","مستبعد (ترك العمل)",IF('الإدخال اليومي'!AF168="اجازه","مستبعد (اجازة)",IF(C194="امازون","امازون (شحنات)",IF(L194=0,"مستبعد (لم يعمل)",IF(F194&gt;=M194,"حقق",IF(F194&gt;=M194*الإعدادات!$B$8,"قريب","بعيد")))))))</f>
        <v>امازون (شحنات)</v>
      </c>
      <c r="Q194" s="16" t="str">
        <f>IF($B194="","",TRIM('الإدخال اليومي'!H168&amp;IF(N('الإدخال اليومي'!AC168)&gt;0," | + "&amp;'الإدخال اليومي'!AC168&amp;" طلب من "&amp;'الإدخال اليومي'!AB168&amp;" (محسوبة في الإجمالي)","")))</f>
        <v/>
      </c>
      <c r="R194" s="17">
        <f t="shared" si="6"/>
        <v>1</v>
      </c>
      <c r="S194" s="17" t="str">
        <f>IF($B194="","",IF('الإدخال اليومي'!AF168="","يعمل",'الإدخال اليومي'!AF168))</f>
        <v>يعمل</v>
      </c>
    </row>
    <row r="195" spans="1:19" x14ac:dyDescent="0.3">
      <c r="A195" s="15">
        <f>IF('الإدخال اليومي'!$B169="","",IF('الإدخال اليومي'!A169="","",'الإدخال اليومي'!A169))</f>
        <v>2557191836</v>
      </c>
      <c r="B195" s="16" t="str">
        <f>IF('الإدخال اليومي'!$B169="","",IF('الإدخال اليومي'!B169="","",'الإدخال اليومي'!B169))</f>
        <v>MUHAMMAD IKRAM BASHIR</v>
      </c>
      <c r="C195" s="17" t="str">
        <f>IF('الإدخال اليومي'!$B169="","",IF('الإدخال اليومي'!C169="","",'الإدخال اليومي'!C169))</f>
        <v>امازون</v>
      </c>
      <c r="D195" s="17">
        <f>IF($B195="","",165)</f>
        <v>165</v>
      </c>
      <c r="E195" s="17" t="str">
        <f>IF('الإدخال اليومي'!$B169="","",IF('الإدخال اليومي'!AD169="","",'الإدخال اليومي'!AD169))</f>
        <v>كفالة</v>
      </c>
      <c r="F195" s="18">
        <f>IF($B195="","",'الإدخال اليومي'!I169)</f>
        <v>0</v>
      </c>
      <c r="G195" s="19" t="str">
        <f>IF($B195="","",IF(N('الإدخال اليومي'!AG169)=0,"",'الإدخال اليومي'!AG169))</f>
        <v/>
      </c>
      <c r="H195" s="17" t="str">
        <f>IF('الإدخال اليومي'!$B169="","",IF('الإدخال اليومي'!AE169="","",'الإدخال اليومي'!AE169))</f>
        <v>عبدالرحمن رحومة</v>
      </c>
      <c r="I195" s="17">
        <f>IF($B195="","",IFERROR(INDEX('الإدخال اليومي'!K169:AA169,MATCH(الإعدادات!$B$2,'الإدخال اليومي'!$K$3:$AA$3,0)),0))</f>
        <v>0</v>
      </c>
      <c r="J195" s="20">
        <f>IF('الإدخال اليومي'!$B169="","",IF('الإدخال اليومي'!F169="","",'الإدخال اليومي'!F169))</f>
        <v>46142</v>
      </c>
      <c r="K195" s="17">
        <f>IF($B195="","",N('الإدخال اليومي'!G169)+MAX(0,الإعدادات!$B$2-MAX(الإعدادات!$B$10+1,N(J195))+1)-SUMPRODUCT(('الإدخال اليومي'!$L169:$AA169&gt;0)*('الإدخال اليومي'!$L$3:$AA$3&gt;=MAX(الإعدادات!$B$10+1,N(J195)))*('الإدخال اليومي'!$L$3:$AA$3&lt;=الإعدادات!$B$2)))</f>
        <v>2</v>
      </c>
      <c r="L195" s="17">
        <f>IF($B195="","",MAX(0,الإعدادات!$B$10-IF(J195="",الإعدادات!$B$9,MAX(J195,الإعدادات!$B$9))+1-N('الإدخال اليومي'!G169))+SUMPRODUCT(('الإدخال اليومي'!$L169:$AA169&gt;0)*('الإدخال اليومي'!$L$3:$AA$3&gt;=MAX(الإعدادات!$B$10+1,N(J195)))*('الإدخال اليومي'!$L$3:$AA$3&lt;=الإعدادات!$B$2)))</f>
        <v>15</v>
      </c>
      <c r="M195" s="19" t="str">
        <f>IF($B195="","",IF(C195="امازون","",(IFERROR(INDEX(الإعدادات!$B$19:$B$22,MATCH(C195,الإعدادات!$A$19:$A$22,0)),الإعدادات!$B$3)/الإعدادات!$B$4)*L195))</f>
        <v/>
      </c>
      <c r="N195" s="21" t="str">
        <f t="shared" si="5"/>
        <v/>
      </c>
      <c r="O195" s="19" t="str">
        <f>IF($B195="","",IF(OR(C195="امازون",L195=0),"",ROUND(F195/L195*الإعدادات!$B$4,0)))</f>
        <v/>
      </c>
      <c r="P195" s="22" t="str">
        <f>IF($B195="","",IF('الإدخال اليومي'!AF169="لا يعمل","مستبعد (ترك العمل)",IF('الإدخال اليومي'!AF169="اجازه","مستبعد (اجازة)",IF(C195="امازون","امازون (شحنات)",IF(L195=0,"مستبعد (لم يعمل)",IF(F195&gt;=M195,"حقق",IF(F195&gt;=M195*الإعدادات!$B$8,"قريب","بعيد")))))))</f>
        <v>امازون (شحنات)</v>
      </c>
      <c r="Q195" s="16" t="str">
        <f>IF($B195="","",TRIM('الإدخال اليومي'!H169&amp;IF(N('الإدخال اليومي'!AC169)&gt;0," | + "&amp;'الإدخال اليومي'!AC169&amp;" طلب من "&amp;'الإدخال اليومي'!AB169&amp;" (محسوبة في الإجمالي)","")))</f>
        <v/>
      </c>
      <c r="R195" s="17">
        <f t="shared" si="6"/>
        <v>1</v>
      </c>
      <c r="S195" s="17" t="str">
        <f>IF($B195="","",IF('الإدخال اليومي'!AF169="","يعمل",'الإدخال اليومي'!AF169))</f>
        <v>يعمل</v>
      </c>
    </row>
    <row r="196" spans="1:19" x14ac:dyDescent="0.3">
      <c r="A196" s="15">
        <f>IF('الإدخال اليومي'!$B170="","",IF('الإدخال اليومي'!A170="","",'الإدخال اليومي'!A170))</f>
        <v>2587774726</v>
      </c>
      <c r="B196" s="16" t="str">
        <f>IF('الإدخال اليومي'!$B170="","",IF('الإدخال اليومي'!B170="","",'الإدخال اليومي'!B170))</f>
        <v>Musadaq Hussain</v>
      </c>
      <c r="C196" s="17" t="str">
        <f>IF('الإدخال اليومي'!$B170="","",IF('الإدخال اليومي'!C170="","",'الإدخال اليومي'!C170))</f>
        <v>امازون</v>
      </c>
      <c r="D196" s="17">
        <f>IF($B196="","",166)</f>
        <v>166</v>
      </c>
      <c r="E196" s="17" t="str">
        <f>IF('الإدخال اليومي'!$B170="","",IF('الإدخال اليومي'!AD170="","",'الإدخال اليومي'!AD170))</f>
        <v>كفالة</v>
      </c>
      <c r="F196" s="18">
        <f>IF($B196="","",'الإدخال اليومي'!I170)</f>
        <v>0</v>
      </c>
      <c r="G196" s="19" t="str">
        <f>IF($B196="","",IF(N('الإدخال اليومي'!AG170)=0,"",'الإدخال اليومي'!AG170))</f>
        <v/>
      </c>
      <c r="H196" s="17" t="str">
        <f>IF('الإدخال اليومي'!$B170="","",IF('الإدخال اليومي'!AE170="","",'الإدخال اليومي'!AE170))</f>
        <v>عبدالرحمن رحومة</v>
      </c>
      <c r="I196" s="17">
        <f>IF($B196="","",IFERROR(INDEX('الإدخال اليومي'!K170:AA170,MATCH(الإعدادات!$B$2,'الإدخال اليومي'!$K$3:$AA$3,0)),0))</f>
        <v>0</v>
      </c>
      <c r="J196" s="20">
        <f>IF('الإدخال اليومي'!$B170="","",IF('الإدخال اليومي'!F170="","",'الإدخال اليومي'!F170))</f>
        <v>46158</v>
      </c>
      <c r="K196" s="17">
        <f>IF($B196="","",N('الإدخال اليومي'!G170)+MAX(0,الإعدادات!$B$2-MAX(الإعدادات!$B$10+1,N(J196))+1)-SUMPRODUCT(('الإدخال اليومي'!$L170:$AA170&gt;0)*('الإدخال اليومي'!$L$3:$AA$3&gt;=MAX(الإعدادات!$B$10+1,N(J196)))*('الإدخال اليومي'!$L$3:$AA$3&lt;=الإعدادات!$B$2)))</f>
        <v>2</v>
      </c>
      <c r="L196" s="17">
        <f>IF($B196="","",MAX(0,الإعدادات!$B$10-IF(J196="",الإعدادات!$B$9,MAX(J196,الإعدادات!$B$9))+1-N('الإدخال اليومي'!G170))+SUMPRODUCT(('الإدخال اليومي'!$L170:$AA170&gt;0)*('الإدخال اليومي'!$L$3:$AA$3&gt;=MAX(الإعدادات!$B$10+1,N(J196)))*('الإدخال اليومي'!$L$3:$AA$3&lt;=الإعدادات!$B$2)))</f>
        <v>15</v>
      </c>
      <c r="M196" s="19" t="str">
        <f>IF($B196="","",IF(C196="امازون","",(IFERROR(INDEX(الإعدادات!$B$19:$B$22,MATCH(C196,الإعدادات!$A$19:$A$22,0)),الإعدادات!$B$3)/الإعدادات!$B$4)*L196))</f>
        <v/>
      </c>
      <c r="N196" s="21" t="str">
        <f t="shared" si="5"/>
        <v/>
      </c>
      <c r="O196" s="19" t="str">
        <f>IF($B196="","",IF(OR(C196="امازون",L196=0),"",ROUND(F196/L196*الإعدادات!$B$4,0)))</f>
        <v/>
      </c>
      <c r="P196" s="22" t="str">
        <f>IF($B196="","",IF('الإدخال اليومي'!AF170="لا يعمل","مستبعد (ترك العمل)",IF('الإدخال اليومي'!AF170="اجازه","مستبعد (اجازة)",IF(C196="امازون","امازون (شحنات)",IF(L196=0,"مستبعد (لم يعمل)",IF(F196&gt;=M196,"حقق",IF(F196&gt;=M196*الإعدادات!$B$8,"قريب","بعيد")))))))</f>
        <v>امازون (شحنات)</v>
      </c>
      <c r="Q196" s="16" t="str">
        <f>IF($B196="","",TRIM('الإدخال اليومي'!H170&amp;IF(N('الإدخال اليومي'!AC170)&gt;0," | + "&amp;'الإدخال اليومي'!AC170&amp;" طلب من "&amp;'الإدخال اليومي'!AB170&amp;" (محسوبة في الإجمالي)","")))</f>
        <v/>
      </c>
      <c r="R196" s="17">
        <f t="shared" si="6"/>
        <v>1</v>
      </c>
      <c r="S196" s="17" t="str">
        <f>IF($B196="","",IF('الإدخال اليومي'!AF170="","يعمل",'الإدخال اليومي'!AF170))</f>
        <v>يعمل</v>
      </c>
    </row>
    <row r="197" spans="1:19" x14ac:dyDescent="0.3">
      <c r="A197" s="15">
        <f>IF('الإدخال اليومي'!$B171="","",IF('الإدخال اليومي'!A171="","",'الإدخال اليومي'!A171))</f>
        <v>2583315326</v>
      </c>
      <c r="B197" s="16" t="str">
        <f>IF('الإدخال اليومي'!$B171="","",IF('الإدخال اليومي'!B171="","",'الإدخال اليومي'!B171))</f>
        <v>ALI BASYOUNI</v>
      </c>
      <c r="C197" s="17" t="str">
        <f>IF('الإدخال اليومي'!$B171="","",IF('الإدخال اليومي'!C171="","",'الإدخال اليومي'!C171))</f>
        <v>امازون</v>
      </c>
      <c r="D197" s="17">
        <f>IF($B197="","",167)</f>
        <v>167</v>
      </c>
      <c r="E197" s="17" t="str">
        <f>IF('الإدخال اليومي'!$B171="","",IF('الإدخال اليومي'!AD171="","",'الإدخال اليومي'!AD171))</f>
        <v>كفالة</v>
      </c>
      <c r="F197" s="18">
        <f>IF($B197="","",'الإدخال اليومي'!I171)</f>
        <v>0</v>
      </c>
      <c r="G197" s="19" t="str">
        <f>IF($B197="","",IF(N('الإدخال اليومي'!AG171)=0,"",'الإدخال اليومي'!AG171))</f>
        <v/>
      </c>
      <c r="H197" s="17" t="str">
        <f>IF('الإدخال اليومي'!$B171="","",IF('الإدخال اليومي'!AE171="","",'الإدخال اليومي'!AE171))</f>
        <v>عبدالرحمن رحومة</v>
      </c>
      <c r="I197" s="17">
        <f>IF($B197="","",IFERROR(INDEX('الإدخال اليومي'!K171:AA171,MATCH(الإعدادات!$B$2,'الإدخال اليومي'!$K$3:$AA$3,0)),0))</f>
        <v>0</v>
      </c>
      <c r="J197" s="20">
        <f>IF('الإدخال اليومي'!$B171="","",IF('الإدخال اليومي'!F171="","",'الإدخال اليومي'!F171))</f>
        <v>46077</v>
      </c>
      <c r="K197" s="17">
        <f>IF($B197="","",N('الإدخال اليومي'!G171)+MAX(0,الإعدادات!$B$2-MAX(الإعدادات!$B$10+1,N(J197))+1)-SUMPRODUCT(('الإدخال اليومي'!$L171:$AA171&gt;0)*('الإدخال اليومي'!$L$3:$AA$3&gt;=MAX(الإعدادات!$B$10+1,N(J197)))*('الإدخال اليومي'!$L$3:$AA$3&lt;=الإعدادات!$B$2)))</f>
        <v>2</v>
      </c>
      <c r="L197" s="17">
        <f>IF($B197="","",MAX(0,الإعدادات!$B$10-IF(J197="",الإعدادات!$B$9,MAX(J197,الإعدادات!$B$9))+1-N('الإدخال اليومي'!G171))+SUMPRODUCT(('الإدخال اليومي'!$L171:$AA171&gt;0)*('الإدخال اليومي'!$L$3:$AA$3&gt;=MAX(الإعدادات!$B$10+1,N(J197)))*('الإدخال اليومي'!$L$3:$AA$3&lt;=الإعدادات!$B$2)))</f>
        <v>15</v>
      </c>
      <c r="M197" s="19" t="str">
        <f>IF($B197="","",IF(C197="امازون","",(IFERROR(INDEX(الإعدادات!$B$19:$B$22,MATCH(C197,الإعدادات!$A$19:$A$22,0)),الإعدادات!$B$3)/الإعدادات!$B$4)*L197))</f>
        <v/>
      </c>
      <c r="N197" s="21" t="str">
        <f t="shared" si="5"/>
        <v/>
      </c>
      <c r="O197" s="19" t="str">
        <f>IF($B197="","",IF(OR(C197="امازون",L197=0),"",ROUND(F197/L197*الإعدادات!$B$4,0)))</f>
        <v/>
      </c>
      <c r="P197" s="22" t="str">
        <f>IF($B197="","",IF('الإدخال اليومي'!AF171="لا يعمل","مستبعد (ترك العمل)",IF('الإدخال اليومي'!AF171="اجازه","مستبعد (اجازة)",IF(C197="امازون","امازون (شحنات)",IF(L197=0,"مستبعد (لم يعمل)",IF(F197&gt;=M197,"حقق",IF(F197&gt;=M197*الإعدادات!$B$8,"قريب","بعيد")))))))</f>
        <v>امازون (شحنات)</v>
      </c>
      <c r="Q197" s="16" t="str">
        <f>IF($B197="","",TRIM('الإدخال اليومي'!H171&amp;IF(N('الإدخال اليومي'!AC171)&gt;0," | + "&amp;'الإدخال اليومي'!AC171&amp;" طلب من "&amp;'الإدخال اليومي'!AB171&amp;" (محسوبة في الإجمالي)","")))</f>
        <v/>
      </c>
      <c r="R197" s="17">
        <f t="shared" si="6"/>
        <v>1</v>
      </c>
      <c r="S197" s="17" t="str">
        <f>IF($B197="","",IF('الإدخال اليومي'!AF171="","يعمل",'الإدخال اليومي'!AF171))</f>
        <v>يعمل</v>
      </c>
    </row>
    <row r="198" spans="1:19" x14ac:dyDescent="0.3">
      <c r="A198" s="15">
        <f>IF('الإدخال اليومي'!$B172="","",IF('الإدخال اليومي'!A172="","",'الإدخال اليومي'!A172))</f>
        <v>2562206058</v>
      </c>
      <c r="B198" s="16" t="str">
        <f>IF('الإدخال اليومي'!$B172="","",IF('الإدخال اليومي'!B172="","",'الإدخال اليومي'!B172))</f>
        <v>AMEER HAMZA MEHMOOD</v>
      </c>
      <c r="C198" s="17" t="str">
        <f>IF('الإدخال اليومي'!$B172="","",IF('الإدخال اليومي'!C172="","",'الإدخال اليومي'!C172))</f>
        <v>امازون</v>
      </c>
      <c r="D198" s="17">
        <f>IF($B198="","",168)</f>
        <v>168</v>
      </c>
      <c r="E198" s="17" t="str">
        <f>IF('الإدخال اليومي'!$B172="","",IF('الإدخال اليومي'!AD172="","",'الإدخال اليومي'!AD172))</f>
        <v>كفالة</v>
      </c>
      <c r="F198" s="18">
        <f>IF($B198="","",'الإدخال اليومي'!I172)</f>
        <v>0</v>
      </c>
      <c r="G198" s="19" t="str">
        <f>IF($B198="","",IF(N('الإدخال اليومي'!AG172)=0,"",'الإدخال اليومي'!AG172))</f>
        <v/>
      </c>
      <c r="H198" s="17" t="str">
        <f>IF('الإدخال اليومي'!$B172="","",IF('الإدخال اليومي'!AE172="","",'الإدخال اليومي'!AE172))</f>
        <v>عبدالرحمن رحومة</v>
      </c>
      <c r="I198" s="17">
        <f>IF($B198="","",IFERROR(INDEX('الإدخال اليومي'!K172:AA172,MATCH(الإعدادات!$B$2,'الإدخال اليومي'!$K$3:$AA$3,0)),0))</f>
        <v>0</v>
      </c>
      <c r="J198" s="20">
        <f>IF('الإدخال اليومي'!$B172="","",IF('الإدخال اليومي'!F172="","",'الإدخال اليومي'!F172))</f>
        <v>45351</v>
      </c>
      <c r="K198" s="17">
        <f>IF($B198="","",N('الإدخال اليومي'!G172)+MAX(0,الإعدادات!$B$2-MAX(الإعدادات!$B$10+1,N(J198))+1)-SUMPRODUCT(('الإدخال اليومي'!$L172:$AA172&gt;0)*('الإدخال اليومي'!$L$3:$AA$3&gt;=MAX(الإعدادات!$B$10+1,N(J198)))*('الإدخال اليومي'!$L$3:$AA$3&lt;=الإعدادات!$B$2)))</f>
        <v>2</v>
      </c>
      <c r="L198" s="17">
        <f>IF($B198="","",MAX(0,الإعدادات!$B$10-IF(J198="",الإعدادات!$B$9,MAX(J198,الإعدادات!$B$9))+1-N('الإدخال اليومي'!G172))+SUMPRODUCT(('الإدخال اليومي'!$L172:$AA172&gt;0)*('الإدخال اليومي'!$L$3:$AA$3&gt;=MAX(الإعدادات!$B$10+1,N(J198)))*('الإدخال اليومي'!$L$3:$AA$3&lt;=الإعدادات!$B$2)))</f>
        <v>15</v>
      </c>
      <c r="M198" s="19" t="str">
        <f>IF($B198="","",IF(C198="امازون","",(IFERROR(INDEX(الإعدادات!$B$19:$B$22,MATCH(C198,الإعدادات!$A$19:$A$22,0)),الإعدادات!$B$3)/الإعدادات!$B$4)*L198))</f>
        <v/>
      </c>
      <c r="N198" s="21" t="str">
        <f t="shared" si="5"/>
        <v/>
      </c>
      <c r="O198" s="19" t="str">
        <f>IF($B198="","",IF(OR(C198="امازون",L198=0),"",ROUND(F198/L198*الإعدادات!$B$4,0)))</f>
        <v/>
      </c>
      <c r="P198" s="22" t="str">
        <f>IF($B198="","",IF('الإدخال اليومي'!AF172="لا يعمل","مستبعد (ترك العمل)",IF('الإدخال اليومي'!AF172="اجازه","مستبعد (اجازة)",IF(C198="امازون","امازون (شحنات)",IF(L198=0,"مستبعد (لم يعمل)",IF(F198&gt;=M198,"حقق",IF(F198&gt;=M198*الإعدادات!$B$8,"قريب","بعيد")))))))</f>
        <v>امازون (شحنات)</v>
      </c>
      <c r="Q198" s="16" t="str">
        <f>IF($B198="","",TRIM('الإدخال اليومي'!H172&amp;IF(N('الإدخال اليومي'!AC172)&gt;0," | + "&amp;'الإدخال اليومي'!AC172&amp;" طلب من "&amp;'الإدخال اليومي'!AB172&amp;" (محسوبة في الإجمالي)","")))</f>
        <v/>
      </c>
      <c r="R198" s="17">
        <f t="shared" si="6"/>
        <v>1</v>
      </c>
      <c r="S198" s="17" t="str">
        <f>IF($B198="","",IF('الإدخال اليومي'!AF172="","يعمل",'الإدخال اليومي'!AF172))</f>
        <v>يعمل</v>
      </c>
    </row>
    <row r="199" spans="1:19" x14ac:dyDescent="0.3">
      <c r="A199" s="15">
        <f>IF('الإدخال اليومي'!$B173="","",IF('الإدخال اليومي'!A173="","",'الإدخال اليومي'!A173))</f>
        <v>2552546232</v>
      </c>
      <c r="B199" s="16" t="str">
        <f>IF('الإدخال اليومي'!$B173="","",IF('الإدخال اليومي'!B173="","",'الإدخال اليومي'!B173))</f>
        <v>MD ARIF</v>
      </c>
      <c r="C199" s="17" t="str">
        <f>IF('الإدخال اليومي'!$B173="","",IF('الإدخال اليومي'!C173="","",'الإدخال اليومي'!C173))</f>
        <v>امازون</v>
      </c>
      <c r="D199" s="17">
        <f>IF($B199="","",169)</f>
        <v>169</v>
      </c>
      <c r="E199" s="17" t="str">
        <f>IF('الإدخال اليومي'!$B173="","",IF('الإدخال اليومي'!AD173="","",'الإدخال اليومي'!AD173))</f>
        <v>كفالة</v>
      </c>
      <c r="F199" s="18">
        <f>IF($B199="","",'الإدخال اليومي'!I173)</f>
        <v>0</v>
      </c>
      <c r="G199" s="19" t="str">
        <f>IF($B199="","",IF(N('الإدخال اليومي'!AG173)=0,"",'الإدخال اليومي'!AG173))</f>
        <v/>
      </c>
      <c r="H199" s="17" t="str">
        <f>IF('الإدخال اليومي'!$B173="","",IF('الإدخال اليومي'!AE173="","",'الإدخال اليومي'!AE173))</f>
        <v>عبدالرحمن رحومة</v>
      </c>
      <c r="I199" s="17">
        <f>IF($B199="","",IFERROR(INDEX('الإدخال اليومي'!K173:AA173,MATCH(الإعدادات!$B$2,'الإدخال اليومي'!$K$3:$AA$3,0)),0))</f>
        <v>0</v>
      </c>
      <c r="J199" s="20">
        <f>IF('الإدخال اليومي'!$B173="","",IF('الإدخال اليومي'!F173="","",'الإدخال اليومي'!F173))</f>
        <v>45351</v>
      </c>
      <c r="K199" s="17">
        <f>IF($B199="","",N('الإدخال اليومي'!G173)+MAX(0,الإعدادات!$B$2-MAX(الإعدادات!$B$10+1,N(J199))+1)-SUMPRODUCT(('الإدخال اليومي'!$L173:$AA173&gt;0)*('الإدخال اليومي'!$L$3:$AA$3&gt;=MAX(الإعدادات!$B$10+1,N(J199)))*('الإدخال اليومي'!$L$3:$AA$3&lt;=الإعدادات!$B$2)))</f>
        <v>2</v>
      </c>
      <c r="L199" s="17">
        <f>IF($B199="","",MAX(0,الإعدادات!$B$10-IF(J199="",الإعدادات!$B$9,MAX(J199,الإعدادات!$B$9))+1-N('الإدخال اليومي'!G173))+SUMPRODUCT(('الإدخال اليومي'!$L173:$AA173&gt;0)*('الإدخال اليومي'!$L$3:$AA$3&gt;=MAX(الإعدادات!$B$10+1,N(J199)))*('الإدخال اليومي'!$L$3:$AA$3&lt;=الإعدادات!$B$2)))</f>
        <v>15</v>
      </c>
      <c r="M199" s="19" t="str">
        <f>IF($B199="","",IF(C199="امازون","",(IFERROR(INDEX(الإعدادات!$B$19:$B$22,MATCH(C199,الإعدادات!$A$19:$A$22,0)),الإعدادات!$B$3)/الإعدادات!$B$4)*L199))</f>
        <v/>
      </c>
      <c r="N199" s="21" t="str">
        <f t="shared" si="5"/>
        <v/>
      </c>
      <c r="O199" s="19" t="str">
        <f>IF($B199="","",IF(OR(C199="امازون",L199=0),"",ROUND(F199/L199*الإعدادات!$B$4,0)))</f>
        <v/>
      </c>
      <c r="P199" s="22" t="str">
        <f>IF($B199="","",IF('الإدخال اليومي'!AF173="لا يعمل","مستبعد (ترك العمل)",IF('الإدخال اليومي'!AF173="اجازه","مستبعد (اجازة)",IF(C199="امازون","امازون (شحنات)",IF(L199=0,"مستبعد (لم يعمل)",IF(F199&gt;=M199,"حقق",IF(F199&gt;=M199*الإعدادات!$B$8,"قريب","بعيد")))))))</f>
        <v>امازون (شحنات)</v>
      </c>
      <c r="Q199" s="16" t="str">
        <f>IF($B199="","",TRIM('الإدخال اليومي'!H173&amp;IF(N('الإدخال اليومي'!AC173)&gt;0," | + "&amp;'الإدخال اليومي'!AC173&amp;" طلب من "&amp;'الإدخال اليومي'!AB173&amp;" (محسوبة في الإجمالي)","")))</f>
        <v/>
      </c>
      <c r="R199" s="17">
        <f t="shared" si="6"/>
        <v>1</v>
      </c>
      <c r="S199" s="17" t="str">
        <f>IF($B199="","",IF('الإدخال اليومي'!AF173="","يعمل",'الإدخال اليومي'!AF173))</f>
        <v>يعمل</v>
      </c>
    </row>
    <row r="200" spans="1:19" x14ac:dyDescent="0.3">
      <c r="A200" s="15">
        <f>IF('الإدخال اليومي'!$B174="","",IF('الإدخال اليومي'!A174="","",'الإدخال اليومي'!A174))</f>
        <v>2575175340</v>
      </c>
      <c r="B200" s="16" t="str">
        <f>IF('الإدخال اليومي'!$B174="","",IF('الإدخال اليومي'!B174="","",'الإدخال اليومي'!B174))</f>
        <v>Mohamed Mansy</v>
      </c>
      <c r="C200" s="17" t="str">
        <f>IF('الإدخال اليومي'!$B174="","",IF('الإدخال اليومي'!C174="","",'الإدخال اليومي'!C174))</f>
        <v>امازون</v>
      </c>
      <c r="D200" s="17">
        <f>IF($B200="","",170)</f>
        <v>170</v>
      </c>
      <c r="E200" s="17" t="str">
        <f>IF('الإدخال اليومي'!$B174="","",IF('الإدخال اليومي'!AD174="","",'الإدخال اليومي'!AD174))</f>
        <v>كفالة</v>
      </c>
      <c r="F200" s="18">
        <f>IF($B200="","",'الإدخال اليومي'!I174)</f>
        <v>0</v>
      </c>
      <c r="G200" s="19" t="str">
        <f>IF($B200="","",IF(N('الإدخال اليومي'!AG174)=0,"",'الإدخال اليومي'!AG174))</f>
        <v/>
      </c>
      <c r="H200" s="17" t="str">
        <f>IF('الإدخال اليومي'!$B174="","",IF('الإدخال اليومي'!AE174="","",'الإدخال اليومي'!AE174))</f>
        <v>عبدالرحمن رحومة</v>
      </c>
      <c r="I200" s="17">
        <f>IF($B200="","",IFERROR(INDEX('الإدخال اليومي'!K174:AA174,MATCH(الإعدادات!$B$2,'الإدخال اليومي'!$K$3:$AA$3,0)),0))</f>
        <v>0</v>
      </c>
      <c r="J200" s="20">
        <f>IF('الإدخال اليومي'!$B174="","",IF('الإدخال اليومي'!F174="","",'الإدخال اليومي'!F174))</f>
        <v>46147</v>
      </c>
      <c r="K200" s="17">
        <f>IF($B200="","",N('الإدخال اليومي'!G174)+MAX(0,الإعدادات!$B$2-MAX(الإعدادات!$B$10+1,N(J200))+1)-SUMPRODUCT(('الإدخال اليومي'!$L174:$AA174&gt;0)*('الإدخال اليومي'!$L$3:$AA$3&gt;=MAX(الإعدادات!$B$10+1,N(J200)))*('الإدخال اليومي'!$L$3:$AA$3&lt;=الإعدادات!$B$2)))</f>
        <v>2</v>
      </c>
      <c r="L200" s="17">
        <f>IF($B200="","",MAX(0,الإعدادات!$B$10-IF(J200="",الإعدادات!$B$9,MAX(J200,الإعدادات!$B$9))+1-N('الإدخال اليومي'!G174))+SUMPRODUCT(('الإدخال اليومي'!$L174:$AA174&gt;0)*('الإدخال اليومي'!$L$3:$AA$3&gt;=MAX(الإعدادات!$B$10+1,N(J200)))*('الإدخال اليومي'!$L$3:$AA$3&lt;=الإعدادات!$B$2)))</f>
        <v>15</v>
      </c>
      <c r="M200" s="19" t="str">
        <f>IF($B200="","",IF(C200="امازون","",(IFERROR(INDEX(الإعدادات!$B$19:$B$22,MATCH(C200,الإعدادات!$A$19:$A$22,0)),الإعدادات!$B$3)/الإعدادات!$B$4)*L200))</f>
        <v/>
      </c>
      <c r="N200" s="21" t="str">
        <f t="shared" si="5"/>
        <v/>
      </c>
      <c r="O200" s="19" t="str">
        <f>IF($B200="","",IF(OR(C200="امازون",L200=0),"",ROUND(F200/L200*الإعدادات!$B$4,0)))</f>
        <v/>
      </c>
      <c r="P200" s="22" t="str">
        <f>IF($B200="","",IF('الإدخال اليومي'!AF174="لا يعمل","مستبعد (ترك العمل)",IF('الإدخال اليومي'!AF174="اجازه","مستبعد (اجازة)",IF(C200="امازون","امازون (شحنات)",IF(L200=0,"مستبعد (لم يعمل)",IF(F200&gt;=M200,"حقق",IF(F200&gt;=M200*الإعدادات!$B$8,"قريب","بعيد")))))))</f>
        <v>امازون (شحنات)</v>
      </c>
      <c r="Q200" s="16" t="str">
        <f>IF($B200="","",TRIM('الإدخال اليومي'!H174&amp;IF(N('الإدخال اليومي'!AC174)&gt;0," | + "&amp;'الإدخال اليومي'!AC174&amp;" طلب من "&amp;'الإدخال اليومي'!AB174&amp;" (محسوبة في الإجمالي)","")))</f>
        <v/>
      </c>
      <c r="R200" s="17">
        <f t="shared" si="6"/>
        <v>1</v>
      </c>
      <c r="S200" s="17" t="str">
        <f>IF($B200="","",IF('الإدخال اليومي'!AF174="","يعمل",'الإدخال اليومي'!AF174))</f>
        <v>يعمل</v>
      </c>
    </row>
    <row r="201" spans="1:19" x14ac:dyDescent="0.3">
      <c r="A201" s="15">
        <f>IF('الإدخال اليومي'!$B175="","",IF('الإدخال اليومي'!A175="","",'الإدخال اليومي'!A175))</f>
        <v>2581308950</v>
      </c>
      <c r="B201" s="16" t="str">
        <f>IF('الإدخال اليومي'!$B175="","",IF('الإدخال اليومي'!B175="","",'الإدخال اليومي'!B175))</f>
        <v>Shehab Abdelhamid</v>
      </c>
      <c r="C201" s="17" t="str">
        <f>IF('الإدخال اليومي'!$B175="","",IF('الإدخال اليومي'!C175="","",'الإدخال اليومي'!C175))</f>
        <v>امازون</v>
      </c>
      <c r="D201" s="17">
        <f>IF($B201="","",171)</f>
        <v>171</v>
      </c>
      <c r="E201" s="17" t="str">
        <f>IF('الإدخال اليومي'!$B175="","",IF('الإدخال اليومي'!AD175="","",'الإدخال اليومي'!AD175))</f>
        <v>كفالة</v>
      </c>
      <c r="F201" s="18">
        <f>IF($B201="","",'الإدخال اليومي'!I175)</f>
        <v>0</v>
      </c>
      <c r="G201" s="19" t="str">
        <f>IF($B201="","",IF(N('الإدخال اليومي'!AG175)=0,"",'الإدخال اليومي'!AG175))</f>
        <v/>
      </c>
      <c r="H201" s="17" t="str">
        <f>IF('الإدخال اليومي'!$B175="","",IF('الإدخال اليومي'!AE175="","",'الإدخال اليومي'!AE175))</f>
        <v>عبدالرحمن رحومة</v>
      </c>
      <c r="I201" s="17">
        <f>IF($B201="","",IFERROR(INDEX('الإدخال اليومي'!K175:AA175,MATCH(الإعدادات!$B$2,'الإدخال اليومي'!$K$3:$AA$3,0)),0))</f>
        <v>0</v>
      </c>
      <c r="J201" s="20">
        <f>IF('الإدخال اليومي'!$B175="","",IF('الإدخال اليومي'!F175="","",'الإدخال اليومي'!F175))</f>
        <v>46138</v>
      </c>
      <c r="K201" s="17">
        <f>IF($B201="","",N('الإدخال اليومي'!G175)+MAX(0,الإعدادات!$B$2-MAX(الإعدادات!$B$10+1,N(J201))+1)-SUMPRODUCT(('الإدخال اليومي'!$L175:$AA175&gt;0)*('الإدخال اليومي'!$L$3:$AA$3&gt;=MAX(الإعدادات!$B$10+1,N(J201)))*('الإدخال اليومي'!$L$3:$AA$3&lt;=الإعدادات!$B$2)))</f>
        <v>2</v>
      </c>
      <c r="L201" s="17">
        <f>IF($B201="","",MAX(0,الإعدادات!$B$10-IF(J201="",الإعدادات!$B$9,MAX(J201,الإعدادات!$B$9))+1-N('الإدخال اليومي'!G175))+SUMPRODUCT(('الإدخال اليومي'!$L175:$AA175&gt;0)*('الإدخال اليومي'!$L$3:$AA$3&gt;=MAX(الإعدادات!$B$10+1,N(J201)))*('الإدخال اليومي'!$L$3:$AA$3&lt;=الإعدادات!$B$2)))</f>
        <v>15</v>
      </c>
      <c r="M201" s="19" t="str">
        <f>IF($B201="","",IF(C201="امازون","",(IFERROR(INDEX(الإعدادات!$B$19:$B$22,MATCH(C201,الإعدادات!$A$19:$A$22,0)),الإعدادات!$B$3)/الإعدادات!$B$4)*L201))</f>
        <v/>
      </c>
      <c r="N201" s="21" t="str">
        <f t="shared" si="5"/>
        <v/>
      </c>
      <c r="O201" s="19" t="str">
        <f>IF($B201="","",IF(OR(C201="امازون",L201=0),"",ROUND(F201/L201*الإعدادات!$B$4,0)))</f>
        <v/>
      </c>
      <c r="P201" s="22" t="str">
        <f>IF($B201="","",IF('الإدخال اليومي'!AF175="لا يعمل","مستبعد (ترك العمل)",IF('الإدخال اليومي'!AF175="اجازه","مستبعد (اجازة)",IF(C201="امازون","امازون (شحنات)",IF(L201=0,"مستبعد (لم يعمل)",IF(F201&gt;=M201,"حقق",IF(F201&gt;=M201*الإعدادات!$B$8,"قريب","بعيد")))))))</f>
        <v>امازون (شحنات)</v>
      </c>
      <c r="Q201" s="16" t="str">
        <f>IF($B201="","",TRIM('الإدخال اليومي'!H175&amp;IF(N('الإدخال اليومي'!AC175)&gt;0," | + "&amp;'الإدخال اليومي'!AC175&amp;" طلب من "&amp;'الإدخال اليومي'!AB175&amp;" (محسوبة في الإجمالي)","")))</f>
        <v/>
      </c>
      <c r="R201" s="17">
        <f t="shared" si="6"/>
        <v>1</v>
      </c>
      <c r="S201" s="17" t="str">
        <f>IF($B201="","",IF('الإدخال اليومي'!AF175="","يعمل",'الإدخال اليومي'!AF175))</f>
        <v>يعمل</v>
      </c>
    </row>
    <row r="202" spans="1:19" x14ac:dyDescent="0.3">
      <c r="A202" s="15">
        <f>IF('الإدخال اليومي'!$B176="","",IF('الإدخال اليومي'!A176="","",'الإدخال اليومي'!A176))</f>
        <v>2583917600</v>
      </c>
      <c r="B202" s="16" t="str">
        <f>IF('الإدخال اليومي'!$B176="","",IF('الإدخال اليومي'!B176="","",'الإدخال اليومي'!B176))</f>
        <v>سامح عاطف فتحى درويش</v>
      </c>
      <c r="C202" s="17" t="str">
        <f>IF('الإدخال اليومي'!$B176="","",IF('الإدخال اليومي'!C176="","",'الإدخال اليومي'!C176))</f>
        <v>امازون</v>
      </c>
      <c r="D202" s="17">
        <f>IF($B202="","",172)</f>
        <v>172</v>
      </c>
      <c r="E202" s="17" t="str">
        <f>IF('الإدخال اليومي'!$B176="","",IF('الإدخال اليومي'!AD176="","",'الإدخال اليومي'!AD176))</f>
        <v>كفالة</v>
      </c>
      <c r="F202" s="18">
        <f>IF($B202="","",'الإدخال اليومي'!I176)</f>
        <v>0</v>
      </c>
      <c r="G202" s="19" t="str">
        <f>IF($B202="","",IF(N('الإدخال اليومي'!AG176)=0,"",'الإدخال اليومي'!AG176))</f>
        <v/>
      </c>
      <c r="H202" s="17" t="str">
        <f>IF('الإدخال اليومي'!$B176="","",IF('الإدخال اليومي'!AE176="","",'الإدخال اليومي'!AE176))</f>
        <v>عبدالرحمن رحومة</v>
      </c>
      <c r="I202" s="17">
        <f>IF($B202="","",IFERROR(INDEX('الإدخال اليومي'!K176:AA176,MATCH(الإعدادات!$B$2,'الإدخال اليومي'!$K$3:$AA$3,0)),0))</f>
        <v>0</v>
      </c>
      <c r="J202" s="20">
        <f>IF('الإدخال اليومي'!$B176="","",IF('الإدخال اليومي'!F176="","",'الإدخال اليومي'!F176))</f>
        <v>45596</v>
      </c>
      <c r="K202" s="17">
        <f>IF($B202="","",N('الإدخال اليومي'!G176)+MAX(0,الإعدادات!$B$2-MAX(الإعدادات!$B$10+1,N(J202))+1)-SUMPRODUCT(('الإدخال اليومي'!$L176:$AA176&gt;0)*('الإدخال اليومي'!$L$3:$AA$3&gt;=MAX(الإعدادات!$B$10+1,N(J202)))*('الإدخال اليومي'!$L$3:$AA$3&lt;=الإعدادات!$B$2)))</f>
        <v>2</v>
      </c>
      <c r="L202" s="17">
        <f>IF($B202="","",MAX(0,الإعدادات!$B$10-IF(J202="",الإعدادات!$B$9,MAX(J202,الإعدادات!$B$9))+1-N('الإدخال اليومي'!G176))+SUMPRODUCT(('الإدخال اليومي'!$L176:$AA176&gt;0)*('الإدخال اليومي'!$L$3:$AA$3&gt;=MAX(الإعدادات!$B$10+1,N(J202)))*('الإدخال اليومي'!$L$3:$AA$3&lt;=الإعدادات!$B$2)))</f>
        <v>15</v>
      </c>
      <c r="M202" s="19" t="str">
        <f>IF($B202="","",IF(C202="امازون","",(IFERROR(INDEX(الإعدادات!$B$19:$B$22,MATCH(C202,الإعدادات!$A$19:$A$22,0)),الإعدادات!$B$3)/الإعدادات!$B$4)*L202))</f>
        <v/>
      </c>
      <c r="N202" s="21" t="str">
        <f t="shared" si="5"/>
        <v/>
      </c>
      <c r="O202" s="19" t="str">
        <f>IF($B202="","",IF(OR(C202="امازون",L202=0),"",ROUND(F202/L202*الإعدادات!$B$4,0)))</f>
        <v/>
      </c>
      <c r="P202" s="22" t="str">
        <f>IF($B202="","",IF('الإدخال اليومي'!AF176="لا يعمل","مستبعد (ترك العمل)",IF('الإدخال اليومي'!AF176="اجازه","مستبعد (اجازة)",IF(C202="امازون","امازون (شحنات)",IF(L202=0,"مستبعد (لم يعمل)",IF(F202&gt;=M202,"حقق",IF(F202&gt;=M202*الإعدادات!$B$8,"قريب","بعيد")))))))</f>
        <v>امازون (شحنات)</v>
      </c>
      <c r="Q202" s="16" t="str">
        <f>IF($B202="","",TRIM('الإدخال اليومي'!H176&amp;IF(N('الإدخال اليومي'!AC176)&gt;0," | + "&amp;'الإدخال اليومي'!AC176&amp;" طلب من "&amp;'الإدخال اليومي'!AB176&amp;" (محسوبة في الإجمالي)","")))</f>
        <v/>
      </c>
      <c r="R202" s="17">
        <f t="shared" si="6"/>
        <v>1</v>
      </c>
      <c r="S202" s="17" t="str">
        <f>IF($B202="","",IF('الإدخال اليومي'!AF176="","يعمل",'الإدخال اليومي'!AF176))</f>
        <v>يعمل</v>
      </c>
    </row>
    <row r="203" spans="1:19" x14ac:dyDescent="0.3">
      <c r="A203" s="15">
        <f>IF('الإدخال اليومي'!$B177="","",IF('الإدخال اليومي'!A177="","",'الإدخال اليومي'!A177))</f>
        <v>2567989856</v>
      </c>
      <c r="B203" s="16" t="str">
        <f>IF('الإدخال اليومي'!$B177="","",IF('الإدخال اليومي'!B177="","",'الإدخال اليومي'!B177))</f>
        <v>NASIR SK KARIM SK</v>
      </c>
      <c r="C203" s="17" t="str">
        <f>IF('الإدخال اليومي'!$B177="","",IF('الإدخال اليومي'!C177="","",'الإدخال اليومي'!C177))</f>
        <v>امازون</v>
      </c>
      <c r="D203" s="17">
        <f>IF($B203="","",173)</f>
        <v>173</v>
      </c>
      <c r="E203" s="17" t="str">
        <f>IF('الإدخال اليومي'!$B177="","",IF('الإدخال اليومي'!AD177="","",'الإدخال اليومي'!AD177))</f>
        <v>كفالة</v>
      </c>
      <c r="F203" s="18">
        <f>IF($B203="","",'الإدخال اليومي'!I177)</f>
        <v>0</v>
      </c>
      <c r="G203" s="19" t="str">
        <f>IF($B203="","",IF(N('الإدخال اليومي'!AG177)=0,"",'الإدخال اليومي'!AG177))</f>
        <v/>
      </c>
      <c r="H203" s="17" t="str">
        <f>IF('الإدخال اليومي'!$B177="","",IF('الإدخال اليومي'!AE177="","",'الإدخال اليومي'!AE177))</f>
        <v>عبدالرحمن رحومة</v>
      </c>
      <c r="I203" s="17">
        <f>IF($B203="","",IFERROR(INDEX('الإدخال اليومي'!K177:AA177,MATCH(الإعدادات!$B$2,'الإدخال اليومي'!$K$3:$AA$3,0)),0))</f>
        <v>0</v>
      </c>
      <c r="J203" s="20">
        <f>IF('الإدخال اليومي'!$B177="","",IF('الإدخال اليومي'!F177="","",'الإدخال اليومي'!F177))</f>
        <v>45412</v>
      </c>
      <c r="K203" s="17">
        <f>IF($B203="","",N('الإدخال اليومي'!G177)+MAX(0,الإعدادات!$B$2-MAX(الإعدادات!$B$10+1,N(J203))+1)-SUMPRODUCT(('الإدخال اليومي'!$L177:$AA177&gt;0)*('الإدخال اليومي'!$L$3:$AA$3&gt;=MAX(الإعدادات!$B$10+1,N(J203)))*('الإدخال اليومي'!$L$3:$AA$3&lt;=الإعدادات!$B$2)))</f>
        <v>2</v>
      </c>
      <c r="L203" s="17">
        <f>IF($B203="","",MAX(0,الإعدادات!$B$10-IF(J203="",الإعدادات!$B$9,MAX(J203,الإعدادات!$B$9))+1-N('الإدخال اليومي'!G177))+SUMPRODUCT(('الإدخال اليومي'!$L177:$AA177&gt;0)*('الإدخال اليومي'!$L$3:$AA$3&gt;=MAX(الإعدادات!$B$10+1,N(J203)))*('الإدخال اليومي'!$L$3:$AA$3&lt;=الإعدادات!$B$2)))</f>
        <v>15</v>
      </c>
      <c r="M203" s="19" t="str">
        <f>IF($B203="","",IF(C203="امازون","",(IFERROR(INDEX(الإعدادات!$B$19:$B$22,MATCH(C203,الإعدادات!$A$19:$A$22,0)),الإعدادات!$B$3)/الإعدادات!$B$4)*L203))</f>
        <v/>
      </c>
      <c r="N203" s="21" t="str">
        <f t="shared" si="5"/>
        <v/>
      </c>
      <c r="O203" s="19" t="str">
        <f>IF($B203="","",IF(OR(C203="امازون",L203=0),"",ROUND(F203/L203*الإعدادات!$B$4,0)))</f>
        <v/>
      </c>
      <c r="P203" s="22" t="str">
        <f>IF($B203="","",IF('الإدخال اليومي'!AF177="لا يعمل","مستبعد (ترك العمل)",IF('الإدخال اليومي'!AF177="اجازه","مستبعد (اجازة)",IF(C203="امازون","امازون (شحنات)",IF(L203=0,"مستبعد (لم يعمل)",IF(F203&gt;=M203,"حقق",IF(F203&gt;=M203*الإعدادات!$B$8,"قريب","بعيد")))))))</f>
        <v>مستبعد (اجازة)</v>
      </c>
      <c r="Q203" s="16" t="str">
        <f>IF($B203="","",TRIM('الإدخال اليومي'!H177&amp;IF(N('الإدخال اليومي'!AC177)&gt;0," | + "&amp;'الإدخال اليومي'!AC177&amp;" طلب من "&amp;'الإدخال اليومي'!AB177&amp;" (محسوبة في الإجمالي)","")))</f>
        <v/>
      </c>
      <c r="R203" s="17">
        <f t="shared" si="6"/>
        <v>1</v>
      </c>
      <c r="S203" s="17" t="str">
        <f>IF($B203="","",IF('الإدخال اليومي'!AF177="","يعمل",'الإدخال اليومي'!AF177))</f>
        <v>اجازه</v>
      </c>
    </row>
    <row r="204" spans="1:19" x14ac:dyDescent="0.3">
      <c r="A204" s="15">
        <f>IF('الإدخال اليومي'!$B178="","",IF('الإدخال اليومي'!A178="","",'الإدخال اليومي'!A178))</f>
        <v>2646556874</v>
      </c>
      <c r="B204" s="16" t="str">
        <f>IF('الإدخال اليومي'!$B178="","",IF('الإدخال اليومي'!B178="","",'الإدخال اليومي'!B178))</f>
        <v>MD ABU BAKAR</v>
      </c>
      <c r="C204" s="17" t="str">
        <f>IF('الإدخال اليومي'!$B178="","",IF('الإدخال اليومي'!C178="","",'الإدخال اليومي'!C178))</f>
        <v>كيتا</v>
      </c>
      <c r="D204" s="17">
        <f>IF($B204="","",174)</f>
        <v>174</v>
      </c>
      <c r="E204" s="17" t="str">
        <f>IF('الإدخال اليومي'!$B178="","",IF('الإدخال اليومي'!AD178="","",'الإدخال اليومي'!AD178))</f>
        <v>فري لانسر</v>
      </c>
      <c r="F204" s="18">
        <f>IF($B204="","",'الإدخال اليومي'!I178)</f>
        <v>0</v>
      </c>
      <c r="G204" s="19" t="str">
        <f>IF($B204="","",IF(N('الإدخال اليومي'!AG178)=0,"",'الإدخال اليومي'!AG178))</f>
        <v/>
      </c>
      <c r="H204" s="17" t="str">
        <f>IF('الإدخال اليومي'!$B178="","",IF('الإدخال اليومي'!AE178="","",'الإدخال اليومي'!AE178))</f>
        <v>خالد عباس</v>
      </c>
      <c r="I204" s="17">
        <f>IF($B204="","",IFERROR(INDEX('الإدخال اليومي'!K178:AA178,MATCH(الإعدادات!$B$2,'الإدخال اليومي'!$K$3:$AA$3,0)),0))</f>
        <v>0</v>
      </c>
      <c r="J204" s="20">
        <f>IF('الإدخال اليومي'!$B178="","",IF('الإدخال اليومي'!F178="","",'الإدخال اليومي'!F178))</f>
        <v>46310</v>
      </c>
      <c r="K204" s="17">
        <f>IF($B204="","",N('الإدخال اليومي'!G178)+MAX(0,الإعدادات!$B$2-MAX(الإعدادات!$B$10+1,N(J204))+1)-SUMPRODUCT(('الإدخال اليومي'!$L178:$AA178&gt;0)*('الإدخال اليومي'!$L$3:$AA$3&gt;=MAX(الإعدادات!$B$10+1,N(J204)))*('الإدخال اليومي'!$L$3:$AA$3&lt;=الإعدادات!$B$2)))</f>
        <v>2</v>
      </c>
      <c r="L204" s="17">
        <f>IF($B204="","",MAX(0,الإعدادات!$B$10-IF(J204="",الإعدادات!$B$9,MAX(J204,الإعدادات!$B$9))+1-N('الإدخال اليومي'!G178))+SUMPRODUCT(('الإدخال اليومي'!$L178:$AA178&gt;0)*('الإدخال اليومي'!$L$3:$AA$3&gt;=MAX(الإعدادات!$B$10+1,N(J204)))*('الإدخال اليومي'!$L$3:$AA$3&lt;=الإعدادات!$B$2)))</f>
        <v>1</v>
      </c>
      <c r="M204" s="19">
        <f>IF($B204="","",IF(C204="امازون","",(IFERROR(INDEX(الإعدادات!$B$19:$B$22,MATCH(C204,الإعدادات!$A$19:$A$22,0)),الإعدادات!$B$3)/الإعدادات!$B$4)*L204))</f>
        <v>15</v>
      </c>
      <c r="N204" s="21">
        <f t="shared" si="5"/>
        <v>0</v>
      </c>
      <c r="O204" s="19">
        <f>IF($B204="","",IF(OR(C204="امازون",L204=0),"",ROUND(F204/L204*الإعدادات!$B$4,0)))</f>
        <v>0</v>
      </c>
      <c r="P204" s="22" t="str">
        <f>IF($B204="","",IF('الإدخال اليومي'!AF178="لا يعمل","مستبعد (ترك العمل)",IF('الإدخال اليومي'!AF178="اجازه","مستبعد (اجازة)",IF(C204="امازون","امازون (شحنات)",IF(L204=0,"مستبعد (لم يعمل)",IF(F204&gt;=M204,"حقق",IF(F204&gt;=M204*الإعدادات!$B$8,"قريب","بعيد")))))))</f>
        <v>بعيد</v>
      </c>
      <c r="Q204" s="16" t="str">
        <f>IF($B204="","",TRIM('الإدخال اليومي'!H178&amp;IF(N('الإدخال اليومي'!AC178)&gt;0," | + "&amp;'الإدخال اليومي'!AC178&amp;" طلب من "&amp;'الإدخال اليومي'!AB178&amp;" (محسوبة في الإجمالي)","")))</f>
        <v/>
      </c>
      <c r="R204" s="17">
        <f t="shared" si="6"/>
        <v>1</v>
      </c>
      <c r="S204" s="17" t="str">
        <f>IF($B204="","",IF('الإدخال اليومي'!AF178="","يعمل",'الإدخال اليومي'!AF178))</f>
        <v>يعمل</v>
      </c>
    </row>
    <row r="205" spans="1:19" x14ac:dyDescent="0.3">
      <c r="A205" s="15" t="str">
        <f>IF('الإدخال اليومي'!$B179="","",IF('الإدخال اليومي'!A179="","",'الإدخال اليومي'!A179))</f>
        <v/>
      </c>
      <c r="B205" s="16" t="str">
        <f>IF('الإدخال اليومي'!$B179="","",IF('الإدخال اليومي'!B179="","",'الإدخال اليومي'!B179))</f>
        <v/>
      </c>
      <c r="C205" s="17" t="str">
        <f>IF('الإدخال اليومي'!$B179="","",IF('الإدخال اليومي'!C179="","",'الإدخال اليومي'!C179))</f>
        <v/>
      </c>
      <c r="D205" s="17" t="str">
        <f>IF($B205="","",175)</f>
        <v/>
      </c>
      <c r="E205" s="17" t="str">
        <f>IF('الإدخال اليومي'!$B179="","",IF('الإدخال اليومي'!AD179="","",'الإدخال اليومي'!AD179))</f>
        <v/>
      </c>
      <c r="F205" s="18" t="str">
        <f>IF($B205="","",'الإدخال اليومي'!I179)</f>
        <v/>
      </c>
      <c r="G205" s="19" t="str">
        <f>IF($B205="","",IF(N('الإدخال اليومي'!AG179)=0,"",'الإدخال اليومي'!AG179))</f>
        <v/>
      </c>
      <c r="H205" s="17" t="str">
        <f>IF('الإدخال اليومي'!$B179="","",IF('الإدخال اليومي'!AE179="","",'الإدخال اليومي'!AE179))</f>
        <v/>
      </c>
      <c r="I205" s="17" t="str">
        <f>IF($B205="","",IFERROR(INDEX('الإدخال اليومي'!K179:AA179,MATCH(الإعدادات!$B$2,'الإدخال اليومي'!$K$3:$AA$3,0)),0))</f>
        <v/>
      </c>
      <c r="J205" s="20" t="str">
        <f>IF('الإدخال اليومي'!$B179="","",IF('الإدخال اليومي'!F179="","",'الإدخال اليومي'!F179))</f>
        <v/>
      </c>
      <c r="K205" s="17" t="str">
        <f>IF($B205="","",N('الإدخال اليومي'!G179)+MAX(0,الإعدادات!$B$2-MAX(الإعدادات!$B$10+1,N(J205))+1)-SUMPRODUCT(('الإدخال اليومي'!$L179:$AA179&gt;0)*('الإدخال اليومي'!$L$3:$AA$3&gt;=MAX(الإعدادات!$B$10+1,N(J205)))*('الإدخال اليومي'!$L$3:$AA$3&lt;=الإعدادات!$B$2)))</f>
        <v/>
      </c>
      <c r="L205" s="17" t="str">
        <f>IF($B205="","",MAX(0,الإعدادات!$B$10-IF(J205="",الإعدادات!$B$9,MAX(J205,الإعدادات!$B$9))+1-N('الإدخال اليومي'!G179))+SUMPRODUCT(('الإدخال اليومي'!$L179:$AA179&gt;0)*('الإدخال اليومي'!$L$3:$AA$3&gt;=MAX(الإعدادات!$B$10+1,N(J205)))*('الإدخال اليومي'!$L$3:$AA$3&lt;=الإعدادات!$B$2)))</f>
        <v/>
      </c>
      <c r="M205" s="19" t="str">
        <f>IF($B205="","",IF(C205="امازون","",(IFERROR(INDEX(الإعدادات!$B$19:$B$22,MATCH(C205,الإعدادات!$A$19:$A$22,0)),الإعدادات!$B$3)/الإعدادات!$B$4)*L205))</f>
        <v/>
      </c>
      <c r="N205" s="21" t="str">
        <f t="shared" si="5"/>
        <v/>
      </c>
      <c r="O205" s="19" t="str">
        <f>IF($B205="","",IF(OR(C205="امازون",L205=0),"",ROUND(F205/L205*الإعدادات!$B$4,0)))</f>
        <v/>
      </c>
      <c r="P205" s="22" t="str">
        <f>IF($B205="","",IF('الإدخال اليومي'!AF179="لا يعمل","مستبعد (ترك العمل)",IF('الإدخال اليومي'!AF179="اجازه","مستبعد (اجازة)",IF(C205="امازون","امازون (شحنات)",IF(L205=0,"مستبعد (لم يعمل)",IF(F205&gt;=M205,"حقق",IF(F205&gt;=M205*الإعدادات!$B$8,"قريب","بعيد")))))))</f>
        <v/>
      </c>
      <c r="Q205" s="16" t="str">
        <f>IF($B205="","",TRIM('الإدخال اليومي'!H179&amp;IF(N('الإدخال اليومي'!AC179)&gt;0," | + "&amp;'الإدخال اليومي'!AC179&amp;" طلب من "&amp;'الإدخال اليومي'!AB179&amp;" (محسوبة في الإجمالي)","")))</f>
        <v/>
      </c>
      <c r="R205" s="17">
        <f t="shared" si="6"/>
        <v>0</v>
      </c>
      <c r="S205" s="17" t="str">
        <f>IF($B205="","",IF('الإدخال اليومي'!AF179="","يعمل",'الإدخال اليومي'!AF179))</f>
        <v/>
      </c>
    </row>
    <row r="206" spans="1:19" x14ac:dyDescent="0.3">
      <c r="A206" s="15" t="str">
        <f>IF('الإدخال اليومي'!$B180="","",IF('الإدخال اليومي'!A180="","",'الإدخال اليومي'!A180))</f>
        <v/>
      </c>
      <c r="B206" s="16" t="str">
        <f>IF('الإدخال اليومي'!$B180="","",IF('الإدخال اليومي'!B180="","",'الإدخال اليومي'!B180))</f>
        <v/>
      </c>
      <c r="C206" s="17" t="str">
        <f>IF('الإدخال اليومي'!$B180="","",IF('الإدخال اليومي'!C180="","",'الإدخال اليومي'!C180))</f>
        <v/>
      </c>
      <c r="D206" s="17" t="str">
        <f>IF($B206="","",176)</f>
        <v/>
      </c>
      <c r="E206" s="17" t="str">
        <f>IF('الإدخال اليومي'!$B180="","",IF('الإدخال اليومي'!AD180="","",'الإدخال اليومي'!AD180))</f>
        <v/>
      </c>
      <c r="F206" s="18" t="str">
        <f>IF($B206="","",'الإدخال اليومي'!I180)</f>
        <v/>
      </c>
      <c r="G206" s="19" t="str">
        <f>IF($B206="","",IF(N('الإدخال اليومي'!AG180)=0,"",'الإدخال اليومي'!AG180))</f>
        <v/>
      </c>
      <c r="H206" s="17" t="str">
        <f>IF('الإدخال اليومي'!$B180="","",IF('الإدخال اليومي'!AE180="","",'الإدخال اليومي'!AE180))</f>
        <v/>
      </c>
      <c r="I206" s="17" t="str">
        <f>IF($B206="","",IFERROR(INDEX('الإدخال اليومي'!K180:AA180,MATCH(الإعدادات!$B$2,'الإدخال اليومي'!$K$3:$AA$3,0)),0))</f>
        <v/>
      </c>
      <c r="J206" s="20" t="str">
        <f>IF('الإدخال اليومي'!$B180="","",IF('الإدخال اليومي'!F180="","",'الإدخال اليومي'!F180))</f>
        <v/>
      </c>
      <c r="K206" s="17" t="str">
        <f>IF($B206="","",N('الإدخال اليومي'!G180)+MAX(0,الإعدادات!$B$2-MAX(الإعدادات!$B$10+1,N(J206))+1)-SUMPRODUCT(('الإدخال اليومي'!$L180:$AA180&gt;0)*('الإدخال اليومي'!$L$3:$AA$3&gt;=MAX(الإعدادات!$B$10+1,N(J206)))*('الإدخال اليومي'!$L$3:$AA$3&lt;=الإعدادات!$B$2)))</f>
        <v/>
      </c>
      <c r="L206" s="17" t="str">
        <f>IF($B206="","",MAX(0,الإعدادات!$B$10-IF(J206="",الإعدادات!$B$9,MAX(J206,الإعدادات!$B$9))+1-N('الإدخال اليومي'!G180))+SUMPRODUCT(('الإدخال اليومي'!$L180:$AA180&gt;0)*('الإدخال اليومي'!$L$3:$AA$3&gt;=MAX(الإعدادات!$B$10+1,N(J206)))*('الإدخال اليومي'!$L$3:$AA$3&lt;=الإعدادات!$B$2)))</f>
        <v/>
      </c>
      <c r="M206" s="19" t="str">
        <f>IF($B206="","",IF(C206="امازون","",(IFERROR(INDEX(الإعدادات!$B$19:$B$22,MATCH(C206,الإعدادات!$A$19:$A$22,0)),الإعدادات!$B$3)/الإعدادات!$B$4)*L206))</f>
        <v/>
      </c>
      <c r="N206" s="21" t="str">
        <f t="shared" si="5"/>
        <v/>
      </c>
      <c r="O206" s="19" t="str">
        <f>IF($B206="","",IF(OR(C206="امازون",L206=0),"",ROUND(F206/L206*الإعدادات!$B$4,0)))</f>
        <v/>
      </c>
      <c r="P206" s="22" t="str">
        <f>IF($B206="","",IF('الإدخال اليومي'!AF180="لا يعمل","مستبعد (ترك العمل)",IF('الإدخال اليومي'!AF180="اجازه","مستبعد (اجازة)",IF(C206="امازون","امازون (شحنات)",IF(L206=0,"مستبعد (لم يعمل)",IF(F206&gt;=M206,"حقق",IF(F206&gt;=M206*الإعدادات!$B$8,"قريب","بعيد")))))))</f>
        <v/>
      </c>
      <c r="Q206" s="16" t="str">
        <f>IF($B206="","",TRIM('الإدخال اليومي'!H180&amp;IF(N('الإدخال اليومي'!AC180)&gt;0," | + "&amp;'الإدخال اليومي'!AC180&amp;" طلب من "&amp;'الإدخال اليومي'!AB180&amp;" (محسوبة في الإجمالي)","")))</f>
        <v/>
      </c>
      <c r="R206" s="17">
        <f t="shared" si="6"/>
        <v>0</v>
      </c>
      <c r="S206" s="17" t="str">
        <f>IF($B206="","",IF('الإدخال اليومي'!AF180="","يعمل",'الإدخال اليومي'!AF180))</f>
        <v/>
      </c>
    </row>
    <row r="207" spans="1:19" x14ac:dyDescent="0.3">
      <c r="A207" s="15" t="str">
        <f>IF('الإدخال اليومي'!$B181="","",IF('الإدخال اليومي'!A181="","",'الإدخال اليومي'!A181))</f>
        <v/>
      </c>
      <c r="B207" s="16" t="str">
        <f>IF('الإدخال اليومي'!$B181="","",IF('الإدخال اليومي'!B181="","",'الإدخال اليومي'!B181))</f>
        <v/>
      </c>
      <c r="C207" s="17" t="str">
        <f>IF('الإدخال اليومي'!$B181="","",IF('الإدخال اليومي'!C181="","",'الإدخال اليومي'!C181))</f>
        <v/>
      </c>
      <c r="D207" s="17" t="str">
        <f>IF($B207="","",177)</f>
        <v/>
      </c>
      <c r="E207" s="17" t="str">
        <f>IF('الإدخال اليومي'!$B181="","",IF('الإدخال اليومي'!AD181="","",'الإدخال اليومي'!AD181))</f>
        <v/>
      </c>
      <c r="F207" s="18" t="str">
        <f>IF($B207="","",'الإدخال اليومي'!I181)</f>
        <v/>
      </c>
      <c r="G207" s="19" t="str">
        <f>IF($B207="","",IF(N('الإدخال اليومي'!AG181)=0,"",'الإدخال اليومي'!AG181))</f>
        <v/>
      </c>
      <c r="H207" s="17" t="str">
        <f>IF('الإدخال اليومي'!$B181="","",IF('الإدخال اليومي'!AE181="","",'الإدخال اليومي'!AE181))</f>
        <v/>
      </c>
      <c r="I207" s="17" t="str">
        <f>IF($B207="","",IFERROR(INDEX('الإدخال اليومي'!K181:AA181,MATCH(الإعدادات!$B$2,'الإدخال اليومي'!$K$3:$AA$3,0)),0))</f>
        <v/>
      </c>
      <c r="J207" s="20" t="str">
        <f>IF('الإدخال اليومي'!$B181="","",IF('الإدخال اليومي'!F181="","",'الإدخال اليومي'!F181))</f>
        <v/>
      </c>
      <c r="K207" s="17" t="str">
        <f>IF($B207="","",N('الإدخال اليومي'!G181)+MAX(0,الإعدادات!$B$2-MAX(الإعدادات!$B$10+1,N(J207))+1)-SUMPRODUCT(('الإدخال اليومي'!$L181:$AA181&gt;0)*('الإدخال اليومي'!$L$3:$AA$3&gt;=MAX(الإعدادات!$B$10+1,N(J207)))*('الإدخال اليومي'!$L$3:$AA$3&lt;=الإعدادات!$B$2)))</f>
        <v/>
      </c>
      <c r="L207" s="17" t="str">
        <f>IF($B207="","",MAX(0,الإعدادات!$B$10-IF(J207="",الإعدادات!$B$9,MAX(J207,الإعدادات!$B$9))+1-N('الإدخال اليومي'!G181))+SUMPRODUCT(('الإدخال اليومي'!$L181:$AA181&gt;0)*('الإدخال اليومي'!$L$3:$AA$3&gt;=MAX(الإعدادات!$B$10+1,N(J207)))*('الإدخال اليومي'!$L$3:$AA$3&lt;=الإعدادات!$B$2)))</f>
        <v/>
      </c>
      <c r="M207" s="19" t="str">
        <f>IF($B207="","",IF(C207="امازون","",(IFERROR(INDEX(الإعدادات!$B$19:$B$22,MATCH(C207,الإعدادات!$A$19:$A$22,0)),الإعدادات!$B$3)/الإعدادات!$B$4)*L207))</f>
        <v/>
      </c>
      <c r="N207" s="21" t="str">
        <f t="shared" si="5"/>
        <v/>
      </c>
      <c r="O207" s="19" t="str">
        <f>IF($B207="","",IF(OR(C207="امازون",L207=0),"",ROUND(F207/L207*الإعدادات!$B$4,0)))</f>
        <v/>
      </c>
      <c r="P207" s="22" t="str">
        <f>IF($B207="","",IF('الإدخال اليومي'!AF181="لا يعمل","مستبعد (ترك العمل)",IF('الإدخال اليومي'!AF181="اجازه","مستبعد (اجازة)",IF(C207="امازون","امازون (شحنات)",IF(L207=0,"مستبعد (لم يعمل)",IF(F207&gt;=M207,"حقق",IF(F207&gt;=M207*الإعدادات!$B$8,"قريب","بعيد")))))))</f>
        <v/>
      </c>
      <c r="Q207" s="16" t="str">
        <f>IF($B207="","",TRIM('الإدخال اليومي'!H181&amp;IF(N('الإدخال اليومي'!AC181)&gt;0," | + "&amp;'الإدخال اليومي'!AC181&amp;" طلب من "&amp;'الإدخال اليومي'!AB181&amp;" (محسوبة في الإجمالي)","")))</f>
        <v/>
      </c>
      <c r="R207" s="17">
        <f t="shared" si="6"/>
        <v>0</v>
      </c>
      <c r="S207" s="17" t="str">
        <f>IF($B207="","",IF('الإدخال اليومي'!AF181="","يعمل",'الإدخال اليومي'!AF181))</f>
        <v/>
      </c>
    </row>
    <row r="208" spans="1:19" x14ac:dyDescent="0.3">
      <c r="A208" s="15" t="str">
        <f>IF('الإدخال اليومي'!$B182="","",IF('الإدخال اليومي'!A182="","",'الإدخال اليومي'!A182))</f>
        <v/>
      </c>
      <c r="B208" s="16" t="str">
        <f>IF('الإدخال اليومي'!$B182="","",IF('الإدخال اليومي'!B182="","",'الإدخال اليومي'!B182))</f>
        <v/>
      </c>
      <c r="C208" s="17" t="str">
        <f>IF('الإدخال اليومي'!$B182="","",IF('الإدخال اليومي'!C182="","",'الإدخال اليومي'!C182))</f>
        <v/>
      </c>
      <c r="D208" s="17" t="str">
        <f>IF($B208="","",178)</f>
        <v/>
      </c>
      <c r="E208" s="17" t="str">
        <f>IF('الإدخال اليومي'!$B182="","",IF('الإدخال اليومي'!AD182="","",'الإدخال اليومي'!AD182))</f>
        <v/>
      </c>
      <c r="F208" s="18" t="str">
        <f>IF($B208="","",'الإدخال اليومي'!I182)</f>
        <v/>
      </c>
      <c r="G208" s="19" t="str">
        <f>IF($B208="","",IF(N('الإدخال اليومي'!AG182)=0,"",'الإدخال اليومي'!AG182))</f>
        <v/>
      </c>
      <c r="H208" s="17" t="str">
        <f>IF('الإدخال اليومي'!$B182="","",IF('الإدخال اليومي'!AE182="","",'الإدخال اليومي'!AE182))</f>
        <v/>
      </c>
      <c r="I208" s="17" t="str">
        <f>IF($B208="","",IFERROR(INDEX('الإدخال اليومي'!K182:AA182,MATCH(الإعدادات!$B$2,'الإدخال اليومي'!$K$3:$AA$3,0)),0))</f>
        <v/>
      </c>
      <c r="J208" s="20" t="str">
        <f>IF('الإدخال اليومي'!$B182="","",IF('الإدخال اليومي'!F182="","",'الإدخال اليومي'!F182))</f>
        <v/>
      </c>
      <c r="K208" s="17" t="str">
        <f>IF($B208="","",N('الإدخال اليومي'!G182)+MAX(0,الإعدادات!$B$2-MAX(الإعدادات!$B$10+1,N(J208))+1)-SUMPRODUCT(('الإدخال اليومي'!$L182:$AA182&gt;0)*('الإدخال اليومي'!$L$3:$AA$3&gt;=MAX(الإعدادات!$B$10+1,N(J208)))*('الإدخال اليومي'!$L$3:$AA$3&lt;=الإعدادات!$B$2)))</f>
        <v/>
      </c>
      <c r="L208" s="17" t="str">
        <f>IF($B208="","",MAX(0,الإعدادات!$B$10-IF(J208="",الإعدادات!$B$9,MAX(J208,الإعدادات!$B$9))+1-N('الإدخال اليومي'!G182))+SUMPRODUCT(('الإدخال اليومي'!$L182:$AA182&gt;0)*('الإدخال اليومي'!$L$3:$AA$3&gt;=MAX(الإعدادات!$B$10+1,N(J208)))*('الإدخال اليومي'!$L$3:$AA$3&lt;=الإعدادات!$B$2)))</f>
        <v/>
      </c>
      <c r="M208" s="19" t="str">
        <f>IF($B208="","",IF(C208="امازون","",(IFERROR(INDEX(الإعدادات!$B$19:$B$22,MATCH(C208,الإعدادات!$A$19:$A$22,0)),الإعدادات!$B$3)/الإعدادات!$B$4)*L208))</f>
        <v/>
      </c>
      <c r="N208" s="21" t="str">
        <f t="shared" si="5"/>
        <v/>
      </c>
      <c r="O208" s="19" t="str">
        <f>IF($B208="","",IF(OR(C208="امازون",L208=0),"",ROUND(F208/L208*الإعدادات!$B$4,0)))</f>
        <v/>
      </c>
      <c r="P208" s="22" t="str">
        <f>IF($B208="","",IF('الإدخال اليومي'!AF182="لا يعمل","مستبعد (ترك العمل)",IF('الإدخال اليومي'!AF182="اجازه","مستبعد (اجازة)",IF(C208="امازون","امازون (شحنات)",IF(L208=0,"مستبعد (لم يعمل)",IF(F208&gt;=M208,"حقق",IF(F208&gt;=M208*الإعدادات!$B$8,"قريب","بعيد")))))))</f>
        <v/>
      </c>
      <c r="Q208" s="16" t="str">
        <f>IF($B208="","",TRIM('الإدخال اليومي'!H182&amp;IF(N('الإدخال اليومي'!AC182)&gt;0," | + "&amp;'الإدخال اليومي'!AC182&amp;" طلب من "&amp;'الإدخال اليومي'!AB182&amp;" (محسوبة في الإجمالي)","")))</f>
        <v/>
      </c>
      <c r="R208" s="17">
        <f t="shared" si="6"/>
        <v>0</v>
      </c>
      <c r="S208" s="17" t="str">
        <f>IF($B208="","",IF('الإدخال اليومي'!AF182="","يعمل",'الإدخال اليومي'!AF182))</f>
        <v/>
      </c>
    </row>
    <row r="209" spans="1:19" x14ac:dyDescent="0.3">
      <c r="A209" s="15" t="str">
        <f>IF('الإدخال اليومي'!$B183="","",IF('الإدخال اليومي'!A183="","",'الإدخال اليومي'!A183))</f>
        <v/>
      </c>
      <c r="B209" s="16" t="str">
        <f>IF('الإدخال اليومي'!$B183="","",IF('الإدخال اليومي'!B183="","",'الإدخال اليومي'!B183))</f>
        <v/>
      </c>
      <c r="C209" s="17" t="str">
        <f>IF('الإدخال اليومي'!$B183="","",IF('الإدخال اليومي'!C183="","",'الإدخال اليومي'!C183))</f>
        <v/>
      </c>
      <c r="D209" s="17" t="str">
        <f>IF($B209="","",179)</f>
        <v/>
      </c>
      <c r="E209" s="17" t="str">
        <f>IF('الإدخال اليومي'!$B183="","",IF('الإدخال اليومي'!AD183="","",'الإدخال اليومي'!AD183))</f>
        <v/>
      </c>
      <c r="F209" s="18" t="str">
        <f>IF($B209="","",'الإدخال اليومي'!I183)</f>
        <v/>
      </c>
      <c r="G209" s="19" t="str">
        <f>IF($B209="","",IF(N('الإدخال اليومي'!AG183)=0,"",'الإدخال اليومي'!AG183))</f>
        <v/>
      </c>
      <c r="H209" s="17" t="str">
        <f>IF('الإدخال اليومي'!$B183="","",IF('الإدخال اليومي'!AE183="","",'الإدخال اليومي'!AE183))</f>
        <v/>
      </c>
      <c r="I209" s="17" t="str">
        <f>IF($B209="","",IFERROR(INDEX('الإدخال اليومي'!K183:AA183,MATCH(الإعدادات!$B$2,'الإدخال اليومي'!$K$3:$AA$3,0)),0))</f>
        <v/>
      </c>
      <c r="J209" s="20" t="str">
        <f>IF('الإدخال اليومي'!$B183="","",IF('الإدخال اليومي'!F183="","",'الإدخال اليومي'!F183))</f>
        <v/>
      </c>
      <c r="K209" s="17" t="str">
        <f>IF($B209="","",N('الإدخال اليومي'!G183)+MAX(0,الإعدادات!$B$2-MAX(الإعدادات!$B$10+1,N(J209))+1)-SUMPRODUCT(('الإدخال اليومي'!$L183:$AA183&gt;0)*('الإدخال اليومي'!$L$3:$AA$3&gt;=MAX(الإعدادات!$B$10+1,N(J209)))*('الإدخال اليومي'!$L$3:$AA$3&lt;=الإعدادات!$B$2)))</f>
        <v/>
      </c>
      <c r="L209" s="17" t="str">
        <f>IF($B209="","",MAX(0,الإعدادات!$B$10-IF(J209="",الإعدادات!$B$9,MAX(J209,الإعدادات!$B$9))+1-N('الإدخال اليومي'!G183))+SUMPRODUCT(('الإدخال اليومي'!$L183:$AA183&gt;0)*('الإدخال اليومي'!$L$3:$AA$3&gt;=MAX(الإعدادات!$B$10+1,N(J209)))*('الإدخال اليومي'!$L$3:$AA$3&lt;=الإعدادات!$B$2)))</f>
        <v/>
      </c>
      <c r="M209" s="19" t="str">
        <f>IF($B209="","",IF(C209="امازون","",(IFERROR(INDEX(الإعدادات!$B$19:$B$22,MATCH(C209,الإعدادات!$A$19:$A$22,0)),الإعدادات!$B$3)/الإعدادات!$B$4)*L209))</f>
        <v/>
      </c>
      <c r="N209" s="21" t="str">
        <f t="shared" si="5"/>
        <v/>
      </c>
      <c r="O209" s="19" t="str">
        <f>IF($B209="","",IF(OR(C209="امازون",L209=0),"",ROUND(F209/L209*الإعدادات!$B$4,0)))</f>
        <v/>
      </c>
      <c r="P209" s="22" t="str">
        <f>IF($B209="","",IF('الإدخال اليومي'!AF183="لا يعمل","مستبعد (ترك العمل)",IF('الإدخال اليومي'!AF183="اجازه","مستبعد (اجازة)",IF(C209="امازون","امازون (شحنات)",IF(L209=0,"مستبعد (لم يعمل)",IF(F209&gt;=M209,"حقق",IF(F209&gt;=M209*الإعدادات!$B$8,"قريب","بعيد")))))))</f>
        <v/>
      </c>
      <c r="Q209" s="16" t="str">
        <f>IF($B209="","",TRIM('الإدخال اليومي'!H183&amp;IF(N('الإدخال اليومي'!AC183)&gt;0," | + "&amp;'الإدخال اليومي'!AC183&amp;" طلب من "&amp;'الإدخال اليومي'!AB183&amp;" (محسوبة في الإجمالي)","")))</f>
        <v/>
      </c>
      <c r="R209" s="17">
        <f t="shared" si="6"/>
        <v>0</v>
      </c>
      <c r="S209" s="17" t="str">
        <f>IF($B209="","",IF('الإدخال اليومي'!AF183="","يعمل",'الإدخال اليومي'!AF183))</f>
        <v/>
      </c>
    </row>
    <row r="210" spans="1:19" x14ac:dyDescent="0.3">
      <c r="A210" s="15" t="str">
        <f>IF('الإدخال اليومي'!$B184="","",IF('الإدخال اليومي'!A184="","",'الإدخال اليومي'!A184))</f>
        <v/>
      </c>
      <c r="B210" s="16" t="str">
        <f>IF('الإدخال اليومي'!$B184="","",IF('الإدخال اليومي'!B184="","",'الإدخال اليومي'!B184))</f>
        <v/>
      </c>
      <c r="C210" s="17" t="str">
        <f>IF('الإدخال اليومي'!$B184="","",IF('الإدخال اليومي'!C184="","",'الإدخال اليومي'!C184))</f>
        <v/>
      </c>
      <c r="D210" s="17" t="str">
        <f>IF($B210="","",180)</f>
        <v/>
      </c>
      <c r="E210" s="17" t="str">
        <f>IF('الإدخال اليومي'!$B184="","",IF('الإدخال اليومي'!AD184="","",'الإدخال اليومي'!AD184))</f>
        <v/>
      </c>
      <c r="F210" s="18" t="str">
        <f>IF($B210="","",'الإدخال اليومي'!I184)</f>
        <v/>
      </c>
      <c r="G210" s="19" t="str">
        <f>IF($B210="","",IF(N('الإدخال اليومي'!AG184)=0,"",'الإدخال اليومي'!AG184))</f>
        <v/>
      </c>
      <c r="H210" s="17" t="str">
        <f>IF('الإدخال اليومي'!$B184="","",IF('الإدخال اليومي'!AE184="","",'الإدخال اليومي'!AE184))</f>
        <v/>
      </c>
      <c r="I210" s="17" t="str">
        <f>IF($B210="","",IFERROR(INDEX('الإدخال اليومي'!K184:AA184,MATCH(الإعدادات!$B$2,'الإدخال اليومي'!$K$3:$AA$3,0)),0))</f>
        <v/>
      </c>
      <c r="J210" s="20" t="str">
        <f>IF('الإدخال اليومي'!$B184="","",IF('الإدخال اليومي'!F184="","",'الإدخال اليومي'!F184))</f>
        <v/>
      </c>
      <c r="K210" s="17" t="str">
        <f>IF($B210="","",N('الإدخال اليومي'!G184)+MAX(0,الإعدادات!$B$2-MAX(الإعدادات!$B$10+1,N(J210))+1)-SUMPRODUCT(('الإدخال اليومي'!$L184:$AA184&gt;0)*('الإدخال اليومي'!$L$3:$AA$3&gt;=MAX(الإعدادات!$B$10+1,N(J210)))*('الإدخال اليومي'!$L$3:$AA$3&lt;=الإعدادات!$B$2)))</f>
        <v/>
      </c>
      <c r="L210" s="17" t="str">
        <f>IF($B210="","",MAX(0,الإعدادات!$B$10-IF(J210="",الإعدادات!$B$9,MAX(J210,الإعدادات!$B$9))+1-N('الإدخال اليومي'!G184))+SUMPRODUCT(('الإدخال اليومي'!$L184:$AA184&gt;0)*('الإدخال اليومي'!$L$3:$AA$3&gt;=MAX(الإعدادات!$B$10+1,N(J210)))*('الإدخال اليومي'!$L$3:$AA$3&lt;=الإعدادات!$B$2)))</f>
        <v/>
      </c>
      <c r="M210" s="19" t="str">
        <f>IF($B210="","",IF(C210="امازون","",(IFERROR(INDEX(الإعدادات!$B$19:$B$22,MATCH(C210,الإعدادات!$A$19:$A$22,0)),الإعدادات!$B$3)/الإعدادات!$B$4)*L210))</f>
        <v/>
      </c>
      <c r="N210" s="21" t="str">
        <f t="shared" si="5"/>
        <v/>
      </c>
      <c r="O210" s="19" t="str">
        <f>IF($B210="","",IF(OR(C210="امازون",L210=0),"",ROUND(F210/L210*الإعدادات!$B$4,0)))</f>
        <v/>
      </c>
      <c r="P210" s="22" t="str">
        <f>IF($B210="","",IF('الإدخال اليومي'!AF184="لا يعمل","مستبعد (ترك العمل)",IF('الإدخال اليومي'!AF184="اجازه","مستبعد (اجازة)",IF(C210="امازون","امازون (شحنات)",IF(L210=0,"مستبعد (لم يعمل)",IF(F210&gt;=M210,"حقق",IF(F210&gt;=M210*الإعدادات!$B$8,"قريب","بعيد")))))))</f>
        <v/>
      </c>
      <c r="Q210" s="16" t="str">
        <f>IF($B210="","",TRIM('الإدخال اليومي'!H184&amp;IF(N('الإدخال اليومي'!AC184)&gt;0," | + "&amp;'الإدخال اليومي'!AC184&amp;" طلب من "&amp;'الإدخال اليومي'!AB184&amp;" (محسوبة في الإجمالي)","")))</f>
        <v/>
      </c>
      <c r="R210" s="17">
        <f t="shared" si="6"/>
        <v>0</v>
      </c>
      <c r="S210" s="17" t="str">
        <f>IF($B210="","",IF('الإدخال اليومي'!AF184="","يعمل",'الإدخال اليومي'!AF184))</f>
        <v/>
      </c>
    </row>
    <row r="211" spans="1:19" x14ac:dyDescent="0.3">
      <c r="A211" s="15" t="str">
        <f>IF('الإدخال اليومي'!$B185="","",IF('الإدخال اليومي'!A185="","",'الإدخال اليومي'!A185))</f>
        <v/>
      </c>
      <c r="B211" s="16" t="str">
        <f>IF('الإدخال اليومي'!$B185="","",IF('الإدخال اليومي'!B185="","",'الإدخال اليومي'!B185))</f>
        <v/>
      </c>
      <c r="C211" s="17" t="str">
        <f>IF('الإدخال اليومي'!$B185="","",IF('الإدخال اليومي'!C185="","",'الإدخال اليومي'!C185))</f>
        <v/>
      </c>
      <c r="D211" s="17" t="str">
        <f>IF($B211="","",181)</f>
        <v/>
      </c>
      <c r="E211" s="17" t="str">
        <f>IF('الإدخال اليومي'!$B185="","",IF('الإدخال اليومي'!AD185="","",'الإدخال اليومي'!AD185))</f>
        <v/>
      </c>
      <c r="F211" s="18" t="str">
        <f>IF($B211="","",'الإدخال اليومي'!I185)</f>
        <v/>
      </c>
      <c r="G211" s="19" t="str">
        <f>IF($B211="","",IF(N('الإدخال اليومي'!AG185)=0,"",'الإدخال اليومي'!AG185))</f>
        <v/>
      </c>
      <c r="H211" s="17" t="str">
        <f>IF('الإدخال اليومي'!$B185="","",IF('الإدخال اليومي'!AE185="","",'الإدخال اليومي'!AE185))</f>
        <v/>
      </c>
      <c r="I211" s="17" t="str">
        <f>IF($B211="","",IFERROR(INDEX('الإدخال اليومي'!K185:AA185,MATCH(الإعدادات!$B$2,'الإدخال اليومي'!$K$3:$AA$3,0)),0))</f>
        <v/>
      </c>
      <c r="J211" s="20" t="str">
        <f>IF('الإدخال اليومي'!$B185="","",IF('الإدخال اليومي'!F185="","",'الإدخال اليومي'!F185))</f>
        <v/>
      </c>
      <c r="K211" s="17" t="str">
        <f>IF($B211="","",N('الإدخال اليومي'!G185)+MAX(0,الإعدادات!$B$2-MAX(الإعدادات!$B$10+1,N(J211))+1)-SUMPRODUCT(('الإدخال اليومي'!$L185:$AA185&gt;0)*('الإدخال اليومي'!$L$3:$AA$3&gt;=MAX(الإعدادات!$B$10+1,N(J211)))*('الإدخال اليومي'!$L$3:$AA$3&lt;=الإعدادات!$B$2)))</f>
        <v/>
      </c>
      <c r="L211" s="17" t="str">
        <f>IF($B211="","",MAX(0,الإعدادات!$B$10-IF(J211="",الإعدادات!$B$9,MAX(J211,الإعدادات!$B$9))+1-N('الإدخال اليومي'!G185))+SUMPRODUCT(('الإدخال اليومي'!$L185:$AA185&gt;0)*('الإدخال اليومي'!$L$3:$AA$3&gt;=MAX(الإعدادات!$B$10+1,N(J211)))*('الإدخال اليومي'!$L$3:$AA$3&lt;=الإعدادات!$B$2)))</f>
        <v/>
      </c>
      <c r="M211" s="19" t="str">
        <f>IF($B211="","",IF(C211="امازون","",(IFERROR(INDEX(الإعدادات!$B$19:$B$22,MATCH(C211,الإعدادات!$A$19:$A$22,0)),الإعدادات!$B$3)/الإعدادات!$B$4)*L211))</f>
        <v/>
      </c>
      <c r="N211" s="21" t="str">
        <f t="shared" si="5"/>
        <v/>
      </c>
      <c r="O211" s="19" t="str">
        <f>IF($B211="","",IF(OR(C211="امازون",L211=0),"",ROUND(F211/L211*الإعدادات!$B$4,0)))</f>
        <v/>
      </c>
      <c r="P211" s="22" t="str">
        <f>IF($B211="","",IF('الإدخال اليومي'!AF185="لا يعمل","مستبعد (ترك العمل)",IF('الإدخال اليومي'!AF185="اجازه","مستبعد (اجازة)",IF(C211="امازون","امازون (شحنات)",IF(L211=0,"مستبعد (لم يعمل)",IF(F211&gt;=M211,"حقق",IF(F211&gt;=M211*الإعدادات!$B$8,"قريب","بعيد")))))))</f>
        <v/>
      </c>
      <c r="Q211" s="16" t="str">
        <f>IF($B211="","",TRIM('الإدخال اليومي'!H185&amp;IF(N('الإدخال اليومي'!AC185)&gt;0," | + "&amp;'الإدخال اليومي'!AC185&amp;" طلب من "&amp;'الإدخال اليومي'!AB185&amp;" (محسوبة في الإجمالي)","")))</f>
        <v/>
      </c>
      <c r="R211" s="17">
        <f t="shared" si="6"/>
        <v>0</v>
      </c>
      <c r="S211" s="17" t="str">
        <f>IF($B211="","",IF('الإدخال اليومي'!AF185="","يعمل",'الإدخال اليومي'!AF185))</f>
        <v/>
      </c>
    </row>
    <row r="212" spans="1:19" x14ac:dyDescent="0.3">
      <c r="A212" s="15" t="str">
        <f>IF('الإدخال اليومي'!$B186="","",IF('الإدخال اليومي'!A186="","",'الإدخال اليومي'!A186))</f>
        <v/>
      </c>
      <c r="B212" s="16" t="str">
        <f>IF('الإدخال اليومي'!$B186="","",IF('الإدخال اليومي'!B186="","",'الإدخال اليومي'!B186))</f>
        <v/>
      </c>
      <c r="C212" s="17" t="str">
        <f>IF('الإدخال اليومي'!$B186="","",IF('الإدخال اليومي'!C186="","",'الإدخال اليومي'!C186))</f>
        <v/>
      </c>
      <c r="D212" s="17" t="str">
        <f>IF($B212="","",182)</f>
        <v/>
      </c>
      <c r="E212" s="17" t="str">
        <f>IF('الإدخال اليومي'!$B186="","",IF('الإدخال اليومي'!AD186="","",'الإدخال اليومي'!AD186))</f>
        <v/>
      </c>
      <c r="F212" s="18" t="str">
        <f>IF($B212="","",'الإدخال اليومي'!I186)</f>
        <v/>
      </c>
      <c r="G212" s="19" t="str">
        <f>IF($B212="","",IF(N('الإدخال اليومي'!AG186)=0,"",'الإدخال اليومي'!AG186))</f>
        <v/>
      </c>
      <c r="H212" s="17" t="str">
        <f>IF('الإدخال اليومي'!$B186="","",IF('الإدخال اليومي'!AE186="","",'الإدخال اليومي'!AE186))</f>
        <v/>
      </c>
      <c r="I212" s="17" t="str">
        <f>IF($B212="","",IFERROR(INDEX('الإدخال اليومي'!K186:AA186,MATCH(الإعدادات!$B$2,'الإدخال اليومي'!$K$3:$AA$3,0)),0))</f>
        <v/>
      </c>
      <c r="J212" s="20" t="str">
        <f>IF('الإدخال اليومي'!$B186="","",IF('الإدخال اليومي'!F186="","",'الإدخال اليومي'!F186))</f>
        <v/>
      </c>
      <c r="K212" s="17" t="str">
        <f>IF($B212="","",N('الإدخال اليومي'!G186)+MAX(0,الإعدادات!$B$2-MAX(الإعدادات!$B$10+1,N(J212))+1)-SUMPRODUCT(('الإدخال اليومي'!$L186:$AA186&gt;0)*('الإدخال اليومي'!$L$3:$AA$3&gt;=MAX(الإعدادات!$B$10+1,N(J212)))*('الإدخال اليومي'!$L$3:$AA$3&lt;=الإعدادات!$B$2)))</f>
        <v/>
      </c>
      <c r="L212" s="17" t="str">
        <f>IF($B212="","",MAX(0,الإعدادات!$B$10-IF(J212="",الإعدادات!$B$9,MAX(J212,الإعدادات!$B$9))+1-N('الإدخال اليومي'!G186))+SUMPRODUCT(('الإدخال اليومي'!$L186:$AA186&gt;0)*('الإدخال اليومي'!$L$3:$AA$3&gt;=MAX(الإعدادات!$B$10+1,N(J212)))*('الإدخال اليومي'!$L$3:$AA$3&lt;=الإعدادات!$B$2)))</f>
        <v/>
      </c>
      <c r="M212" s="19" t="str">
        <f>IF($B212="","",IF(C212="امازون","",(IFERROR(INDEX(الإعدادات!$B$19:$B$22,MATCH(C212,الإعدادات!$A$19:$A$22,0)),الإعدادات!$B$3)/الإعدادات!$B$4)*L212))</f>
        <v/>
      </c>
      <c r="N212" s="21" t="str">
        <f t="shared" si="5"/>
        <v/>
      </c>
      <c r="O212" s="19" t="str">
        <f>IF($B212="","",IF(OR(C212="امازون",L212=0),"",ROUND(F212/L212*الإعدادات!$B$4,0)))</f>
        <v/>
      </c>
      <c r="P212" s="22" t="str">
        <f>IF($B212="","",IF('الإدخال اليومي'!AF186="لا يعمل","مستبعد (ترك العمل)",IF('الإدخال اليومي'!AF186="اجازه","مستبعد (اجازة)",IF(C212="امازون","امازون (شحنات)",IF(L212=0,"مستبعد (لم يعمل)",IF(F212&gt;=M212,"حقق",IF(F212&gt;=M212*الإعدادات!$B$8,"قريب","بعيد")))))))</f>
        <v/>
      </c>
      <c r="Q212" s="16" t="str">
        <f>IF($B212="","",TRIM('الإدخال اليومي'!H186&amp;IF(N('الإدخال اليومي'!AC186)&gt;0," | + "&amp;'الإدخال اليومي'!AC186&amp;" طلب من "&amp;'الإدخال اليومي'!AB186&amp;" (محسوبة في الإجمالي)","")))</f>
        <v/>
      </c>
      <c r="R212" s="17">
        <f t="shared" si="6"/>
        <v>0</v>
      </c>
      <c r="S212" s="17" t="str">
        <f>IF($B212="","",IF('الإدخال اليومي'!AF186="","يعمل",'الإدخال اليومي'!AF186))</f>
        <v/>
      </c>
    </row>
    <row r="213" spans="1:19" x14ac:dyDescent="0.3">
      <c r="A213" s="15" t="str">
        <f>IF('الإدخال اليومي'!$B187="","",IF('الإدخال اليومي'!A187="","",'الإدخال اليومي'!A187))</f>
        <v/>
      </c>
      <c r="B213" s="16" t="str">
        <f>IF('الإدخال اليومي'!$B187="","",IF('الإدخال اليومي'!B187="","",'الإدخال اليومي'!B187))</f>
        <v/>
      </c>
      <c r="C213" s="17" t="str">
        <f>IF('الإدخال اليومي'!$B187="","",IF('الإدخال اليومي'!C187="","",'الإدخال اليومي'!C187))</f>
        <v/>
      </c>
      <c r="D213" s="17" t="str">
        <f>IF($B213="","",183)</f>
        <v/>
      </c>
      <c r="E213" s="17" t="str">
        <f>IF('الإدخال اليومي'!$B187="","",IF('الإدخال اليومي'!AD187="","",'الإدخال اليومي'!AD187))</f>
        <v/>
      </c>
      <c r="F213" s="18" t="str">
        <f>IF($B213="","",'الإدخال اليومي'!I187)</f>
        <v/>
      </c>
      <c r="G213" s="19" t="str">
        <f>IF($B213="","",IF(N('الإدخال اليومي'!AG187)=0,"",'الإدخال اليومي'!AG187))</f>
        <v/>
      </c>
      <c r="H213" s="17" t="str">
        <f>IF('الإدخال اليومي'!$B187="","",IF('الإدخال اليومي'!AE187="","",'الإدخال اليومي'!AE187))</f>
        <v/>
      </c>
      <c r="I213" s="17" t="str">
        <f>IF($B213="","",IFERROR(INDEX('الإدخال اليومي'!K187:AA187,MATCH(الإعدادات!$B$2,'الإدخال اليومي'!$K$3:$AA$3,0)),0))</f>
        <v/>
      </c>
      <c r="J213" s="20" t="str">
        <f>IF('الإدخال اليومي'!$B187="","",IF('الإدخال اليومي'!F187="","",'الإدخال اليومي'!F187))</f>
        <v/>
      </c>
      <c r="K213" s="17" t="str">
        <f>IF($B213="","",N('الإدخال اليومي'!G187)+MAX(0,الإعدادات!$B$2-MAX(الإعدادات!$B$10+1,N(J213))+1)-SUMPRODUCT(('الإدخال اليومي'!$L187:$AA187&gt;0)*('الإدخال اليومي'!$L$3:$AA$3&gt;=MAX(الإعدادات!$B$10+1,N(J213)))*('الإدخال اليومي'!$L$3:$AA$3&lt;=الإعدادات!$B$2)))</f>
        <v/>
      </c>
      <c r="L213" s="17" t="str">
        <f>IF($B213="","",MAX(0,الإعدادات!$B$10-IF(J213="",الإعدادات!$B$9,MAX(J213,الإعدادات!$B$9))+1-N('الإدخال اليومي'!G187))+SUMPRODUCT(('الإدخال اليومي'!$L187:$AA187&gt;0)*('الإدخال اليومي'!$L$3:$AA$3&gt;=MAX(الإعدادات!$B$10+1,N(J213)))*('الإدخال اليومي'!$L$3:$AA$3&lt;=الإعدادات!$B$2)))</f>
        <v/>
      </c>
      <c r="M213" s="19" t="str">
        <f>IF($B213="","",IF(C213="امازون","",(IFERROR(INDEX(الإعدادات!$B$19:$B$22,MATCH(C213,الإعدادات!$A$19:$A$22,0)),الإعدادات!$B$3)/الإعدادات!$B$4)*L213))</f>
        <v/>
      </c>
      <c r="N213" s="21" t="str">
        <f t="shared" si="5"/>
        <v/>
      </c>
      <c r="O213" s="19" t="str">
        <f>IF($B213="","",IF(OR(C213="امازون",L213=0),"",ROUND(F213/L213*الإعدادات!$B$4,0)))</f>
        <v/>
      </c>
      <c r="P213" s="22" t="str">
        <f>IF($B213="","",IF('الإدخال اليومي'!AF187="لا يعمل","مستبعد (ترك العمل)",IF('الإدخال اليومي'!AF187="اجازه","مستبعد (اجازة)",IF(C213="امازون","امازون (شحنات)",IF(L213=0,"مستبعد (لم يعمل)",IF(F213&gt;=M213,"حقق",IF(F213&gt;=M213*الإعدادات!$B$8,"قريب","بعيد")))))))</f>
        <v/>
      </c>
      <c r="Q213" s="16" t="str">
        <f>IF($B213="","",TRIM('الإدخال اليومي'!H187&amp;IF(N('الإدخال اليومي'!AC187)&gt;0," | + "&amp;'الإدخال اليومي'!AC187&amp;" طلب من "&amp;'الإدخال اليومي'!AB187&amp;" (محسوبة في الإجمالي)","")))</f>
        <v/>
      </c>
      <c r="R213" s="17">
        <f t="shared" si="6"/>
        <v>0</v>
      </c>
      <c r="S213" s="17" t="str">
        <f>IF($B213="","",IF('الإدخال اليومي'!AF187="","يعمل",'الإدخال اليومي'!AF187))</f>
        <v/>
      </c>
    </row>
    <row r="214" spans="1:19" x14ac:dyDescent="0.3">
      <c r="A214" s="15" t="str">
        <f>IF('الإدخال اليومي'!$B188="","",IF('الإدخال اليومي'!A188="","",'الإدخال اليومي'!A188))</f>
        <v/>
      </c>
      <c r="B214" s="16" t="str">
        <f>IF('الإدخال اليومي'!$B188="","",IF('الإدخال اليومي'!B188="","",'الإدخال اليومي'!B188))</f>
        <v/>
      </c>
      <c r="C214" s="17" t="str">
        <f>IF('الإدخال اليومي'!$B188="","",IF('الإدخال اليومي'!C188="","",'الإدخال اليومي'!C188))</f>
        <v/>
      </c>
      <c r="D214" s="17" t="str">
        <f>IF($B214="","",184)</f>
        <v/>
      </c>
      <c r="E214" s="17" t="str">
        <f>IF('الإدخال اليومي'!$B188="","",IF('الإدخال اليومي'!AD188="","",'الإدخال اليومي'!AD188))</f>
        <v/>
      </c>
      <c r="F214" s="18" t="str">
        <f>IF($B214="","",'الإدخال اليومي'!I188)</f>
        <v/>
      </c>
      <c r="G214" s="19" t="str">
        <f>IF($B214="","",IF(N('الإدخال اليومي'!AG188)=0,"",'الإدخال اليومي'!AG188))</f>
        <v/>
      </c>
      <c r="H214" s="17" t="str">
        <f>IF('الإدخال اليومي'!$B188="","",IF('الإدخال اليومي'!AE188="","",'الإدخال اليومي'!AE188))</f>
        <v/>
      </c>
      <c r="I214" s="17" t="str">
        <f>IF($B214="","",IFERROR(INDEX('الإدخال اليومي'!K188:AA188,MATCH(الإعدادات!$B$2,'الإدخال اليومي'!$K$3:$AA$3,0)),0))</f>
        <v/>
      </c>
      <c r="J214" s="20" t="str">
        <f>IF('الإدخال اليومي'!$B188="","",IF('الإدخال اليومي'!F188="","",'الإدخال اليومي'!F188))</f>
        <v/>
      </c>
      <c r="K214" s="17" t="str">
        <f>IF($B214="","",N('الإدخال اليومي'!G188)+MAX(0,الإعدادات!$B$2-MAX(الإعدادات!$B$10+1,N(J214))+1)-SUMPRODUCT(('الإدخال اليومي'!$L188:$AA188&gt;0)*('الإدخال اليومي'!$L$3:$AA$3&gt;=MAX(الإعدادات!$B$10+1,N(J214)))*('الإدخال اليومي'!$L$3:$AA$3&lt;=الإعدادات!$B$2)))</f>
        <v/>
      </c>
      <c r="L214" s="17" t="str">
        <f>IF($B214="","",MAX(0,الإعدادات!$B$10-IF(J214="",الإعدادات!$B$9,MAX(J214,الإعدادات!$B$9))+1-N('الإدخال اليومي'!G188))+SUMPRODUCT(('الإدخال اليومي'!$L188:$AA188&gt;0)*('الإدخال اليومي'!$L$3:$AA$3&gt;=MAX(الإعدادات!$B$10+1,N(J214)))*('الإدخال اليومي'!$L$3:$AA$3&lt;=الإعدادات!$B$2)))</f>
        <v/>
      </c>
      <c r="M214" s="19" t="str">
        <f>IF($B214="","",IF(C214="امازون","",(IFERROR(INDEX(الإعدادات!$B$19:$B$22,MATCH(C214,الإعدادات!$A$19:$A$22,0)),الإعدادات!$B$3)/الإعدادات!$B$4)*L214))</f>
        <v/>
      </c>
      <c r="N214" s="21" t="str">
        <f t="shared" si="5"/>
        <v/>
      </c>
      <c r="O214" s="19" t="str">
        <f>IF($B214="","",IF(OR(C214="امازون",L214=0),"",ROUND(F214/L214*الإعدادات!$B$4,0)))</f>
        <v/>
      </c>
      <c r="P214" s="22" t="str">
        <f>IF($B214="","",IF('الإدخال اليومي'!AF188="لا يعمل","مستبعد (ترك العمل)",IF('الإدخال اليومي'!AF188="اجازه","مستبعد (اجازة)",IF(C214="امازون","امازون (شحنات)",IF(L214=0,"مستبعد (لم يعمل)",IF(F214&gt;=M214,"حقق",IF(F214&gt;=M214*الإعدادات!$B$8,"قريب","بعيد")))))))</f>
        <v/>
      </c>
      <c r="Q214" s="16" t="str">
        <f>IF($B214="","",TRIM('الإدخال اليومي'!H188&amp;IF(N('الإدخال اليومي'!AC188)&gt;0," | + "&amp;'الإدخال اليومي'!AC188&amp;" طلب من "&amp;'الإدخال اليومي'!AB188&amp;" (محسوبة في الإجمالي)","")))</f>
        <v/>
      </c>
      <c r="R214" s="17">
        <f t="shared" si="6"/>
        <v>0</v>
      </c>
      <c r="S214" s="17" t="str">
        <f>IF($B214="","",IF('الإدخال اليومي'!AF188="","يعمل",'الإدخال اليومي'!AF188))</f>
        <v/>
      </c>
    </row>
    <row r="215" spans="1:19" x14ac:dyDescent="0.3">
      <c r="A215" s="15" t="str">
        <f>IF('الإدخال اليومي'!$B189="","",IF('الإدخال اليومي'!A189="","",'الإدخال اليومي'!A189))</f>
        <v/>
      </c>
      <c r="B215" s="16" t="str">
        <f>IF('الإدخال اليومي'!$B189="","",IF('الإدخال اليومي'!B189="","",'الإدخال اليومي'!B189))</f>
        <v/>
      </c>
      <c r="C215" s="17" t="str">
        <f>IF('الإدخال اليومي'!$B189="","",IF('الإدخال اليومي'!C189="","",'الإدخال اليومي'!C189))</f>
        <v/>
      </c>
      <c r="D215" s="17" t="str">
        <f>IF($B215="","",185)</f>
        <v/>
      </c>
      <c r="E215" s="17" t="str">
        <f>IF('الإدخال اليومي'!$B189="","",IF('الإدخال اليومي'!AD189="","",'الإدخال اليومي'!AD189))</f>
        <v/>
      </c>
      <c r="F215" s="18" t="str">
        <f>IF($B215="","",'الإدخال اليومي'!I189)</f>
        <v/>
      </c>
      <c r="G215" s="19" t="str">
        <f>IF($B215="","",IF(N('الإدخال اليومي'!AG189)=0,"",'الإدخال اليومي'!AG189))</f>
        <v/>
      </c>
      <c r="H215" s="17" t="str">
        <f>IF('الإدخال اليومي'!$B189="","",IF('الإدخال اليومي'!AE189="","",'الإدخال اليومي'!AE189))</f>
        <v/>
      </c>
      <c r="I215" s="17" t="str">
        <f>IF($B215="","",IFERROR(INDEX('الإدخال اليومي'!K189:AA189,MATCH(الإعدادات!$B$2,'الإدخال اليومي'!$K$3:$AA$3,0)),0))</f>
        <v/>
      </c>
      <c r="J215" s="20" t="str">
        <f>IF('الإدخال اليومي'!$B189="","",IF('الإدخال اليومي'!F189="","",'الإدخال اليومي'!F189))</f>
        <v/>
      </c>
      <c r="K215" s="17" t="str">
        <f>IF($B215="","",N('الإدخال اليومي'!G189)+MAX(0,الإعدادات!$B$2-MAX(الإعدادات!$B$10+1,N(J215))+1)-SUMPRODUCT(('الإدخال اليومي'!$L189:$AA189&gt;0)*('الإدخال اليومي'!$L$3:$AA$3&gt;=MAX(الإعدادات!$B$10+1,N(J215)))*('الإدخال اليومي'!$L$3:$AA$3&lt;=الإعدادات!$B$2)))</f>
        <v/>
      </c>
      <c r="L215" s="17" t="str">
        <f>IF($B215="","",MAX(0,الإعدادات!$B$10-IF(J215="",الإعدادات!$B$9,MAX(J215,الإعدادات!$B$9))+1-N('الإدخال اليومي'!G189))+SUMPRODUCT(('الإدخال اليومي'!$L189:$AA189&gt;0)*('الإدخال اليومي'!$L$3:$AA$3&gt;=MAX(الإعدادات!$B$10+1,N(J215)))*('الإدخال اليومي'!$L$3:$AA$3&lt;=الإعدادات!$B$2)))</f>
        <v/>
      </c>
      <c r="M215" s="19" t="str">
        <f>IF($B215="","",IF(C215="امازون","",(IFERROR(INDEX(الإعدادات!$B$19:$B$22,MATCH(C215,الإعدادات!$A$19:$A$22,0)),الإعدادات!$B$3)/الإعدادات!$B$4)*L215))</f>
        <v/>
      </c>
      <c r="N215" s="21" t="str">
        <f t="shared" si="5"/>
        <v/>
      </c>
      <c r="O215" s="19" t="str">
        <f>IF($B215="","",IF(OR(C215="امازون",L215=0),"",ROUND(F215/L215*الإعدادات!$B$4,0)))</f>
        <v/>
      </c>
      <c r="P215" s="22" t="str">
        <f>IF($B215="","",IF('الإدخال اليومي'!AF189="لا يعمل","مستبعد (ترك العمل)",IF('الإدخال اليومي'!AF189="اجازه","مستبعد (اجازة)",IF(C215="امازون","امازون (شحنات)",IF(L215=0,"مستبعد (لم يعمل)",IF(F215&gt;=M215,"حقق",IF(F215&gt;=M215*الإعدادات!$B$8,"قريب","بعيد")))))))</f>
        <v/>
      </c>
      <c r="Q215" s="16" t="str">
        <f>IF($B215="","",TRIM('الإدخال اليومي'!H189&amp;IF(N('الإدخال اليومي'!AC189)&gt;0," | + "&amp;'الإدخال اليومي'!AC189&amp;" طلب من "&amp;'الإدخال اليومي'!AB189&amp;" (محسوبة في الإجمالي)","")))</f>
        <v/>
      </c>
      <c r="R215" s="17">
        <f t="shared" si="6"/>
        <v>0</v>
      </c>
      <c r="S215" s="17" t="str">
        <f>IF($B215="","",IF('الإدخال اليومي'!AF189="","يعمل",'الإدخال اليومي'!AF189))</f>
        <v/>
      </c>
    </row>
    <row r="216" spans="1:19" x14ac:dyDescent="0.3">
      <c r="A216" s="15" t="str">
        <f>IF('الإدخال اليومي'!$B190="","",IF('الإدخال اليومي'!A190="","",'الإدخال اليومي'!A190))</f>
        <v/>
      </c>
      <c r="B216" s="16" t="str">
        <f>IF('الإدخال اليومي'!$B190="","",IF('الإدخال اليومي'!B190="","",'الإدخال اليومي'!B190))</f>
        <v/>
      </c>
      <c r="C216" s="17" t="str">
        <f>IF('الإدخال اليومي'!$B190="","",IF('الإدخال اليومي'!C190="","",'الإدخال اليومي'!C190))</f>
        <v/>
      </c>
      <c r="D216" s="17" t="str">
        <f>IF($B216="","",186)</f>
        <v/>
      </c>
      <c r="E216" s="17" t="str">
        <f>IF('الإدخال اليومي'!$B190="","",IF('الإدخال اليومي'!AD190="","",'الإدخال اليومي'!AD190))</f>
        <v/>
      </c>
      <c r="F216" s="18" t="str">
        <f>IF($B216="","",'الإدخال اليومي'!I190)</f>
        <v/>
      </c>
      <c r="G216" s="19" t="str">
        <f>IF($B216="","",IF(N('الإدخال اليومي'!AG190)=0,"",'الإدخال اليومي'!AG190))</f>
        <v/>
      </c>
      <c r="H216" s="17" t="str">
        <f>IF('الإدخال اليومي'!$B190="","",IF('الإدخال اليومي'!AE190="","",'الإدخال اليومي'!AE190))</f>
        <v/>
      </c>
      <c r="I216" s="17" t="str">
        <f>IF($B216="","",IFERROR(INDEX('الإدخال اليومي'!K190:AA190,MATCH(الإعدادات!$B$2,'الإدخال اليومي'!$K$3:$AA$3,0)),0))</f>
        <v/>
      </c>
      <c r="J216" s="20" t="str">
        <f>IF('الإدخال اليومي'!$B190="","",IF('الإدخال اليومي'!F190="","",'الإدخال اليومي'!F190))</f>
        <v/>
      </c>
      <c r="K216" s="17" t="str">
        <f>IF($B216="","",N('الإدخال اليومي'!G190)+MAX(0,الإعدادات!$B$2-MAX(الإعدادات!$B$10+1,N(J216))+1)-SUMPRODUCT(('الإدخال اليومي'!$L190:$AA190&gt;0)*('الإدخال اليومي'!$L$3:$AA$3&gt;=MAX(الإعدادات!$B$10+1,N(J216)))*('الإدخال اليومي'!$L$3:$AA$3&lt;=الإعدادات!$B$2)))</f>
        <v/>
      </c>
      <c r="L216" s="17" t="str">
        <f>IF($B216="","",MAX(0,الإعدادات!$B$10-IF(J216="",الإعدادات!$B$9,MAX(J216,الإعدادات!$B$9))+1-N('الإدخال اليومي'!G190))+SUMPRODUCT(('الإدخال اليومي'!$L190:$AA190&gt;0)*('الإدخال اليومي'!$L$3:$AA$3&gt;=MAX(الإعدادات!$B$10+1,N(J216)))*('الإدخال اليومي'!$L$3:$AA$3&lt;=الإعدادات!$B$2)))</f>
        <v/>
      </c>
      <c r="M216" s="19" t="str">
        <f>IF($B216="","",IF(C216="امازون","",(IFERROR(INDEX(الإعدادات!$B$19:$B$22,MATCH(C216,الإعدادات!$A$19:$A$22,0)),الإعدادات!$B$3)/الإعدادات!$B$4)*L216))</f>
        <v/>
      </c>
      <c r="N216" s="21" t="str">
        <f t="shared" si="5"/>
        <v/>
      </c>
      <c r="O216" s="19" t="str">
        <f>IF($B216="","",IF(OR(C216="امازون",L216=0),"",ROUND(F216/L216*الإعدادات!$B$4,0)))</f>
        <v/>
      </c>
      <c r="P216" s="22" t="str">
        <f>IF($B216="","",IF('الإدخال اليومي'!AF190="لا يعمل","مستبعد (ترك العمل)",IF('الإدخال اليومي'!AF190="اجازه","مستبعد (اجازة)",IF(C216="امازون","امازون (شحنات)",IF(L216=0,"مستبعد (لم يعمل)",IF(F216&gt;=M216,"حقق",IF(F216&gt;=M216*الإعدادات!$B$8,"قريب","بعيد")))))))</f>
        <v/>
      </c>
      <c r="Q216" s="16" t="str">
        <f>IF($B216="","",TRIM('الإدخال اليومي'!H190&amp;IF(N('الإدخال اليومي'!AC190)&gt;0," | + "&amp;'الإدخال اليومي'!AC190&amp;" طلب من "&amp;'الإدخال اليومي'!AB190&amp;" (محسوبة في الإجمالي)","")))</f>
        <v/>
      </c>
      <c r="R216" s="17">
        <f t="shared" si="6"/>
        <v>0</v>
      </c>
      <c r="S216" s="17" t="str">
        <f>IF($B216="","",IF('الإدخال اليومي'!AF190="","يعمل",'الإدخال اليومي'!AF190))</f>
        <v/>
      </c>
    </row>
    <row r="217" spans="1:19" x14ac:dyDescent="0.3">
      <c r="A217" s="15" t="str">
        <f>IF('الإدخال اليومي'!$B191="","",IF('الإدخال اليومي'!A191="","",'الإدخال اليومي'!A191))</f>
        <v/>
      </c>
      <c r="B217" s="16" t="str">
        <f>IF('الإدخال اليومي'!$B191="","",IF('الإدخال اليومي'!B191="","",'الإدخال اليومي'!B191))</f>
        <v/>
      </c>
      <c r="C217" s="17" t="str">
        <f>IF('الإدخال اليومي'!$B191="","",IF('الإدخال اليومي'!C191="","",'الإدخال اليومي'!C191))</f>
        <v/>
      </c>
      <c r="D217" s="17" t="str">
        <f>IF($B217="","",187)</f>
        <v/>
      </c>
      <c r="E217" s="17" t="str">
        <f>IF('الإدخال اليومي'!$B191="","",IF('الإدخال اليومي'!AD191="","",'الإدخال اليومي'!AD191))</f>
        <v/>
      </c>
      <c r="F217" s="18" t="str">
        <f>IF($B217="","",'الإدخال اليومي'!I191)</f>
        <v/>
      </c>
      <c r="G217" s="19" t="str">
        <f>IF($B217="","",IF(N('الإدخال اليومي'!AG191)=0,"",'الإدخال اليومي'!AG191))</f>
        <v/>
      </c>
      <c r="H217" s="17" t="str">
        <f>IF('الإدخال اليومي'!$B191="","",IF('الإدخال اليومي'!AE191="","",'الإدخال اليومي'!AE191))</f>
        <v/>
      </c>
      <c r="I217" s="17" t="str">
        <f>IF($B217="","",IFERROR(INDEX('الإدخال اليومي'!K191:AA191,MATCH(الإعدادات!$B$2,'الإدخال اليومي'!$K$3:$AA$3,0)),0))</f>
        <v/>
      </c>
      <c r="J217" s="20" t="str">
        <f>IF('الإدخال اليومي'!$B191="","",IF('الإدخال اليومي'!F191="","",'الإدخال اليومي'!F191))</f>
        <v/>
      </c>
      <c r="K217" s="17" t="str">
        <f>IF($B217="","",N('الإدخال اليومي'!G191)+MAX(0,الإعدادات!$B$2-MAX(الإعدادات!$B$10+1,N(J217))+1)-SUMPRODUCT(('الإدخال اليومي'!$L191:$AA191&gt;0)*('الإدخال اليومي'!$L$3:$AA$3&gt;=MAX(الإعدادات!$B$10+1,N(J217)))*('الإدخال اليومي'!$L$3:$AA$3&lt;=الإعدادات!$B$2)))</f>
        <v/>
      </c>
      <c r="L217" s="17" t="str">
        <f>IF($B217="","",MAX(0,الإعدادات!$B$10-IF(J217="",الإعدادات!$B$9,MAX(J217,الإعدادات!$B$9))+1-N('الإدخال اليومي'!G191))+SUMPRODUCT(('الإدخال اليومي'!$L191:$AA191&gt;0)*('الإدخال اليومي'!$L$3:$AA$3&gt;=MAX(الإعدادات!$B$10+1,N(J217)))*('الإدخال اليومي'!$L$3:$AA$3&lt;=الإعدادات!$B$2)))</f>
        <v/>
      </c>
      <c r="M217" s="19" t="str">
        <f>IF($B217="","",IF(C217="امازون","",(IFERROR(INDEX(الإعدادات!$B$19:$B$22,MATCH(C217,الإعدادات!$A$19:$A$22,0)),الإعدادات!$B$3)/الإعدادات!$B$4)*L217))</f>
        <v/>
      </c>
      <c r="N217" s="21" t="str">
        <f t="shared" si="5"/>
        <v/>
      </c>
      <c r="O217" s="19" t="str">
        <f>IF($B217="","",IF(OR(C217="امازون",L217=0),"",ROUND(F217/L217*الإعدادات!$B$4,0)))</f>
        <v/>
      </c>
      <c r="P217" s="22" t="str">
        <f>IF($B217="","",IF('الإدخال اليومي'!AF191="لا يعمل","مستبعد (ترك العمل)",IF('الإدخال اليومي'!AF191="اجازه","مستبعد (اجازة)",IF(C217="امازون","امازون (شحنات)",IF(L217=0,"مستبعد (لم يعمل)",IF(F217&gt;=M217,"حقق",IF(F217&gt;=M217*الإعدادات!$B$8,"قريب","بعيد")))))))</f>
        <v/>
      </c>
      <c r="Q217" s="16" t="str">
        <f>IF($B217="","",TRIM('الإدخال اليومي'!H191&amp;IF(N('الإدخال اليومي'!AC191)&gt;0," | + "&amp;'الإدخال اليومي'!AC191&amp;" طلب من "&amp;'الإدخال اليومي'!AB191&amp;" (محسوبة في الإجمالي)","")))</f>
        <v/>
      </c>
      <c r="R217" s="17">
        <f t="shared" si="6"/>
        <v>0</v>
      </c>
      <c r="S217" s="17" t="str">
        <f>IF($B217="","",IF('الإدخال اليومي'!AF191="","يعمل",'الإدخال اليومي'!AF191))</f>
        <v/>
      </c>
    </row>
    <row r="218" spans="1:19" x14ac:dyDescent="0.3">
      <c r="A218" s="15" t="str">
        <f>IF('الإدخال اليومي'!$B192="","",IF('الإدخال اليومي'!A192="","",'الإدخال اليومي'!A192))</f>
        <v/>
      </c>
      <c r="B218" s="16" t="str">
        <f>IF('الإدخال اليومي'!$B192="","",IF('الإدخال اليومي'!B192="","",'الإدخال اليومي'!B192))</f>
        <v/>
      </c>
      <c r="C218" s="17" t="str">
        <f>IF('الإدخال اليومي'!$B192="","",IF('الإدخال اليومي'!C192="","",'الإدخال اليومي'!C192))</f>
        <v/>
      </c>
      <c r="D218" s="17" t="str">
        <f>IF($B218="","",188)</f>
        <v/>
      </c>
      <c r="E218" s="17" t="str">
        <f>IF('الإدخال اليومي'!$B192="","",IF('الإدخال اليومي'!AD192="","",'الإدخال اليومي'!AD192))</f>
        <v/>
      </c>
      <c r="F218" s="18" t="str">
        <f>IF($B218="","",'الإدخال اليومي'!I192)</f>
        <v/>
      </c>
      <c r="G218" s="19" t="str">
        <f>IF($B218="","",IF(N('الإدخال اليومي'!AG192)=0,"",'الإدخال اليومي'!AG192))</f>
        <v/>
      </c>
      <c r="H218" s="17" t="str">
        <f>IF('الإدخال اليومي'!$B192="","",IF('الإدخال اليومي'!AE192="","",'الإدخال اليومي'!AE192))</f>
        <v/>
      </c>
      <c r="I218" s="17" t="str">
        <f>IF($B218="","",IFERROR(INDEX('الإدخال اليومي'!K192:AA192,MATCH(الإعدادات!$B$2,'الإدخال اليومي'!$K$3:$AA$3,0)),0))</f>
        <v/>
      </c>
      <c r="J218" s="20" t="str">
        <f>IF('الإدخال اليومي'!$B192="","",IF('الإدخال اليومي'!F192="","",'الإدخال اليومي'!F192))</f>
        <v/>
      </c>
      <c r="K218" s="17" t="str">
        <f>IF($B218="","",N('الإدخال اليومي'!G192)+MAX(0,الإعدادات!$B$2-MAX(الإعدادات!$B$10+1,N(J218))+1)-SUMPRODUCT(('الإدخال اليومي'!$L192:$AA192&gt;0)*('الإدخال اليومي'!$L$3:$AA$3&gt;=MAX(الإعدادات!$B$10+1,N(J218)))*('الإدخال اليومي'!$L$3:$AA$3&lt;=الإعدادات!$B$2)))</f>
        <v/>
      </c>
      <c r="L218" s="17" t="str">
        <f>IF($B218="","",MAX(0,الإعدادات!$B$10-IF(J218="",الإعدادات!$B$9,MAX(J218,الإعدادات!$B$9))+1-N('الإدخال اليومي'!G192))+SUMPRODUCT(('الإدخال اليومي'!$L192:$AA192&gt;0)*('الإدخال اليومي'!$L$3:$AA$3&gt;=MAX(الإعدادات!$B$10+1,N(J218)))*('الإدخال اليومي'!$L$3:$AA$3&lt;=الإعدادات!$B$2)))</f>
        <v/>
      </c>
      <c r="M218" s="19" t="str">
        <f>IF($B218="","",IF(C218="امازون","",(IFERROR(INDEX(الإعدادات!$B$19:$B$22,MATCH(C218,الإعدادات!$A$19:$A$22,0)),الإعدادات!$B$3)/الإعدادات!$B$4)*L218))</f>
        <v/>
      </c>
      <c r="N218" s="21" t="str">
        <f t="shared" si="5"/>
        <v/>
      </c>
      <c r="O218" s="19" t="str">
        <f>IF($B218="","",IF(OR(C218="امازون",L218=0),"",ROUND(F218/L218*الإعدادات!$B$4,0)))</f>
        <v/>
      </c>
      <c r="P218" s="22" t="str">
        <f>IF($B218="","",IF('الإدخال اليومي'!AF192="لا يعمل","مستبعد (ترك العمل)",IF('الإدخال اليومي'!AF192="اجازه","مستبعد (اجازة)",IF(C218="امازون","امازون (شحنات)",IF(L218=0,"مستبعد (لم يعمل)",IF(F218&gt;=M218,"حقق",IF(F218&gt;=M218*الإعدادات!$B$8,"قريب","بعيد")))))))</f>
        <v/>
      </c>
      <c r="Q218" s="16" t="str">
        <f>IF($B218="","",TRIM('الإدخال اليومي'!H192&amp;IF(N('الإدخال اليومي'!AC192)&gt;0," | + "&amp;'الإدخال اليومي'!AC192&amp;" طلب من "&amp;'الإدخال اليومي'!AB192&amp;" (محسوبة في الإجمالي)","")))</f>
        <v/>
      </c>
      <c r="R218" s="17">
        <f t="shared" si="6"/>
        <v>0</v>
      </c>
      <c r="S218" s="17" t="str">
        <f>IF($B218="","",IF('الإدخال اليومي'!AF192="","يعمل",'الإدخال اليومي'!AF192))</f>
        <v/>
      </c>
    </row>
    <row r="219" spans="1:19" x14ac:dyDescent="0.3">
      <c r="A219" s="15" t="str">
        <f>IF('الإدخال اليومي'!$B193="","",IF('الإدخال اليومي'!A193="","",'الإدخال اليومي'!A193))</f>
        <v/>
      </c>
      <c r="B219" s="16" t="str">
        <f>IF('الإدخال اليومي'!$B193="","",IF('الإدخال اليومي'!B193="","",'الإدخال اليومي'!B193))</f>
        <v/>
      </c>
      <c r="C219" s="17" t="str">
        <f>IF('الإدخال اليومي'!$B193="","",IF('الإدخال اليومي'!C193="","",'الإدخال اليومي'!C193))</f>
        <v/>
      </c>
      <c r="D219" s="17" t="str">
        <f>IF($B219="","",189)</f>
        <v/>
      </c>
      <c r="E219" s="17" t="str">
        <f>IF('الإدخال اليومي'!$B193="","",IF('الإدخال اليومي'!AD193="","",'الإدخال اليومي'!AD193))</f>
        <v/>
      </c>
      <c r="F219" s="18" t="str">
        <f>IF($B219="","",'الإدخال اليومي'!I193)</f>
        <v/>
      </c>
      <c r="G219" s="19" t="str">
        <f>IF($B219="","",IF(N('الإدخال اليومي'!AG193)=0,"",'الإدخال اليومي'!AG193))</f>
        <v/>
      </c>
      <c r="H219" s="17" t="str">
        <f>IF('الإدخال اليومي'!$B193="","",IF('الإدخال اليومي'!AE193="","",'الإدخال اليومي'!AE193))</f>
        <v/>
      </c>
      <c r="I219" s="17" t="str">
        <f>IF($B219="","",IFERROR(INDEX('الإدخال اليومي'!K193:AA193,MATCH(الإعدادات!$B$2,'الإدخال اليومي'!$K$3:$AA$3,0)),0))</f>
        <v/>
      </c>
      <c r="J219" s="20" t="str">
        <f>IF('الإدخال اليومي'!$B193="","",IF('الإدخال اليومي'!F193="","",'الإدخال اليومي'!F193))</f>
        <v/>
      </c>
      <c r="K219" s="17" t="str">
        <f>IF($B219="","",N('الإدخال اليومي'!G193)+MAX(0,الإعدادات!$B$2-MAX(الإعدادات!$B$10+1,N(J219))+1)-SUMPRODUCT(('الإدخال اليومي'!$L193:$AA193&gt;0)*('الإدخال اليومي'!$L$3:$AA$3&gt;=MAX(الإعدادات!$B$10+1,N(J219)))*('الإدخال اليومي'!$L$3:$AA$3&lt;=الإعدادات!$B$2)))</f>
        <v/>
      </c>
      <c r="L219" s="17" t="str">
        <f>IF($B219="","",MAX(0,الإعدادات!$B$10-IF(J219="",الإعدادات!$B$9,MAX(J219,الإعدادات!$B$9))+1-N('الإدخال اليومي'!G193))+SUMPRODUCT(('الإدخال اليومي'!$L193:$AA193&gt;0)*('الإدخال اليومي'!$L$3:$AA$3&gt;=MAX(الإعدادات!$B$10+1,N(J219)))*('الإدخال اليومي'!$L$3:$AA$3&lt;=الإعدادات!$B$2)))</f>
        <v/>
      </c>
      <c r="M219" s="19" t="str">
        <f>IF($B219="","",IF(C219="امازون","",(IFERROR(INDEX(الإعدادات!$B$19:$B$22,MATCH(C219,الإعدادات!$A$19:$A$22,0)),الإعدادات!$B$3)/الإعدادات!$B$4)*L219))</f>
        <v/>
      </c>
      <c r="N219" s="21" t="str">
        <f t="shared" si="5"/>
        <v/>
      </c>
      <c r="O219" s="19" t="str">
        <f>IF($B219="","",IF(OR(C219="امازون",L219=0),"",ROUND(F219/L219*الإعدادات!$B$4,0)))</f>
        <v/>
      </c>
      <c r="P219" s="22" t="str">
        <f>IF($B219="","",IF('الإدخال اليومي'!AF193="لا يعمل","مستبعد (ترك العمل)",IF('الإدخال اليومي'!AF193="اجازه","مستبعد (اجازة)",IF(C219="امازون","امازون (شحنات)",IF(L219=0,"مستبعد (لم يعمل)",IF(F219&gt;=M219,"حقق",IF(F219&gt;=M219*الإعدادات!$B$8,"قريب","بعيد")))))))</f>
        <v/>
      </c>
      <c r="Q219" s="16" t="str">
        <f>IF($B219="","",TRIM('الإدخال اليومي'!H193&amp;IF(N('الإدخال اليومي'!AC193)&gt;0," | + "&amp;'الإدخال اليومي'!AC193&amp;" طلب من "&amp;'الإدخال اليومي'!AB193&amp;" (محسوبة في الإجمالي)","")))</f>
        <v/>
      </c>
      <c r="R219" s="17">
        <f t="shared" si="6"/>
        <v>0</v>
      </c>
      <c r="S219" s="17" t="str">
        <f>IF($B219="","",IF('الإدخال اليومي'!AF193="","يعمل",'الإدخال اليومي'!AF193))</f>
        <v/>
      </c>
    </row>
    <row r="220" spans="1:19" x14ac:dyDescent="0.3">
      <c r="A220" s="15" t="str">
        <f>IF('الإدخال اليومي'!$B194="","",IF('الإدخال اليومي'!A194="","",'الإدخال اليومي'!A194))</f>
        <v/>
      </c>
      <c r="B220" s="16" t="str">
        <f>IF('الإدخال اليومي'!$B194="","",IF('الإدخال اليومي'!B194="","",'الإدخال اليومي'!B194))</f>
        <v/>
      </c>
      <c r="C220" s="17" t="str">
        <f>IF('الإدخال اليومي'!$B194="","",IF('الإدخال اليومي'!C194="","",'الإدخال اليومي'!C194))</f>
        <v/>
      </c>
      <c r="D220" s="17" t="str">
        <f>IF($B220="","",190)</f>
        <v/>
      </c>
      <c r="E220" s="17" t="str">
        <f>IF('الإدخال اليومي'!$B194="","",IF('الإدخال اليومي'!AD194="","",'الإدخال اليومي'!AD194))</f>
        <v/>
      </c>
      <c r="F220" s="18" t="str">
        <f>IF($B220="","",'الإدخال اليومي'!I194)</f>
        <v/>
      </c>
      <c r="G220" s="19" t="str">
        <f>IF($B220="","",IF(N('الإدخال اليومي'!AG194)=0,"",'الإدخال اليومي'!AG194))</f>
        <v/>
      </c>
      <c r="H220" s="17" t="str">
        <f>IF('الإدخال اليومي'!$B194="","",IF('الإدخال اليومي'!AE194="","",'الإدخال اليومي'!AE194))</f>
        <v/>
      </c>
      <c r="I220" s="17" t="str">
        <f>IF($B220="","",IFERROR(INDEX('الإدخال اليومي'!K194:AA194,MATCH(الإعدادات!$B$2,'الإدخال اليومي'!$K$3:$AA$3,0)),0))</f>
        <v/>
      </c>
      <c r="J220" s="20" t="str">
        <f>IF('الإدخال اليومي'!$B194="","",IF('الإدخال اليومي'!F194="","",'الإدخال اليومي'!F194))</f>
        <v/>
      </c>
      <c r="K220" s="17" t="str">
        <f>IF($B220="","",N('الإدخال اليومي'!G194)+MAX(0,الإعدادات!$B$2-MAX(الإعدادات!$B$10+1,N(J220))+1)-SUMPRODUCT(('الإدخال اليومي'!$L194:$AA194&gt;0)*('الإدخال اليومي'!$L$3:$AA$3&gt;=MAX(الإعدادات!$B$10+1,N(J220)))*('الإدخال اليومي'!$L$3:$AA$3&lt;=الإعدادات!$B$2)))</f>
        <v/>
      </c>
      <c r="L220" s="17" t="str">
        <f>IF($B220="","",MAX(0,الإعدادات!$B$10-IF(J220="",الإعدادات!$B$9,MAX(J220,الإعدادات!$B$9))+1-N('الإدخال اليومي'!G194))+SUMPRODUCT(('الإدخال اليومي'!$L194:$AA194&gt;0)*('الإدخال اليومي'!$L$3:$AA$3&gt;=MAX(الإعدادات!$B$10+1,N(J220)))*('الإدخال اليومي'!$L$3:$AA$3&lt;=الإعدادات!$B$2)))</f>
        <v/>
      </c>
      <c r="M220" s="19" t="str">
        <f>IF($B220="","",IF(C220="امازون","",(IFERROR(INDEX(الإعدادات!$B$19:$B$22,MATCH(C220,الإعدادات!$A$19:$A$22,0)),الإعدادات!$B$3)/الإعدادات!$B$4)*L220))</f>
        <v/>
      </c>
      <c r="N220" s="21" t="str">
        <f t="shared" si="5"/>
        <v/>
      </c>
      <c r="O220" s="19" t="str">
        <f>IF($B220="","",IF(OR(C220="امازون",L220=0),"",ROUND(F220/L220*الإعدادات!$B$4,0)))</f>
        <v/>
      </c>
      <c r="P220" s="22" t="str">
        <f>IF($B220="","",IF('الإدخال اليومي'!AF194="لا يعمل","مستبعد (ترك العمل)",IF('الإدخال اليومي'!AF194="اجازه","مستبعد (اجازة)",IF(C220="امازون","امازون (شحنات)",IF(L220=0,"مستبعد (لم يعمل)",IF(F220&gt;=M220,"حقق",IF(F220&gt;=M220*الإعدادات!$B$8,"قريب","بعيد")))))))</f>
        <v/>
      </c>
      <c r="Q220" s="16" t="str">
        <f>IF($B220="","",TRIM('الإدخال اليومي'!H194&amp;IF(N('الإدخال اليومي'!AC194)&gt;0," | + "&amp;'الإدخال اليومي'!AC194&amp;" طلب من "&amp;'الإدخال اليومي'!AB194&amp;" (محسوبة في الإجمالي)","")))</f>
        <v/>
      </c>
      <c r="R220" s="17">
        <f t="shared" si="6"/>
        <v>0</v>
      </c>
      <c r="S220" s="17" t="str">
        <f>IF($B220="","",IF('الإدخال اليومي'!AF194="","يعمل",'الإدخال اليومي'!AF194))</f>
        <v/>
      </c>
    </row>
    <row r="221" spans="1:19" x14ac:dyDescent="0.3">
      <c r="A221" s="15" t="str">
        <f>IF('الإدخال اليومي'!$B195="","",IF('الإدخال اليومي'!A195="","",'الإدخال اليومي'!A195))</f>
        <v/>
      </c>
      <c r="B221" s="16" t="str">
        <f>IF('الإدخال اليومي'!$B195="","",IF('الإدخال اليومي'!B195="","",'الإدخال اليومي'!B195))</f>
        <v/>
      </c>
      <c r="C221" s="17" t="str">
        <f>IF('الإدخال اليومي'!$B195="","",IF('الإدخال اليومي'!C195="","",'الإدخال اليومي'!C195))</f>
        <v/>
      </c>
      <c r="D221" s="17" t="str">
        <f>IF($B221="","",191)</f>
        <v/>
      </c>
      <c r="E221" s="17" t="str">
        <f>IF('الإدخال اليومي'!$B195="","",IF('الإدخال اليومي'!AD195="","",'الإدخال اليومي'!AD195))</f>
        <v/>
      </c>
      <c r="F221" s="18" t="str">
        <f>IF($B221="","",'الإدخال اليومي'!I195)</f>
        <v/>
      </c>
      <c r="G221" s="19" t="str">
        <f>IF($B221="","",IF(N('الإدخال اليومي'!AG195)=0,"",'الإدخال اليومي'!AG195))</f>
        <v/>
      </c>
      <c r="H221" s="17" t="str">
        <f>IF('الإدخال اليومي'!$B195="","",IF('الإدخال اليومي'!AE195="","",'الإدخال اليومي'!AE195))</f>
        <v/>
      </c>
      <c r="I221" s="17" t="str">
        <f>IF($B221="","",IFERROR(INDEX('الإدخال اليومي'!K195:AA195,MATCH(الإعدادات!$B$2,'الإدخال اليومي'!$K$3:$AA$3,0)),0))</f>
        <v/>
      </c>
      <c r="J221" s="20" t="str">
        <f>IF('الإدخال اليومي'!$B195="","",IF('الإدخال اليومي'!F195="","",'الإدخال اليومي'!F195))</f>
        <v/>
      </c>
      <c r="K221" s="17" t="str">
        <f>IF($B221="","",N('الإدخال اليومي'!G195)+MAX(0,الإعدادات!$B$2-MAX(الإعدادات!$B$10+1,N(J221))+1)-SUMPRODUCT(('الإدخال اليومي'!$L195:$AA195&gt;0)*('الإدخال اليومي'!$L$3:$AA$3&gt;=MAX(الإعدادات!$B$10+1,N(J221)))*('الإدخال اليومي'!$L$3:$AA$3&lt;=الإعدادات!$B$2)))</f>
        <v/>
      </c>
      <c r="L221" s="17" t="str">
        <f>IF($B221="","",MAX(0,الإعدادات!$B$10-IF(J221="",الإعدادات!$B$9,MAX(J221,الإعدادات!$B$9))+1-N('الإدخال اليومي'!G195))+SUMPRODUCT(('الإدخال اليومي'!$L195:$AA195&gt;0)*('الإدخال اليومي'!$L$3:$AA$3&gt;=MAX(الإعدادات!$B$10+1,N(J221)))*('الإدخال اليومي'!$L$3:$AA$3&lt;=الإعدادات!$B$2)))</f>
        <v/>
      </c>
      <c r="M221" s="19" t="str">
        <f>IF($B221="","",IF(C221="امازون","",(IFERROR(INDEX(الإعدادات!$B$19:$B$22,MATCH(C221,الإعدادات!$A$19:$A$22,0)),الإعدادات!$B$3)/الإعدادات!$B$4)*L221))</f>
        <v/>
      </c>
      <c r="N221" s="21" t="str">
        <f t="shared" si="5"/>
        <v/>
      </c>
      <c r="O221" s="19" t="str">
        <f>IF($B221="","",IF(OR(C221="امازون",L221=0),"",ROUND(F221/L221*الإعدادات!$B$4,0)))</f>
        <v/>
      </c>
      <c r="P221" s="22" t="str">
        <f>IF($B221="","",IF('الإدخال اليومي'!AF195="لا يعمل","مستبعد (ترك العمل)",IF('الإدخال اليومي'!AF195="اجازه","مستبعد (اجازة)",IF(C221="امازون","امازون (شحنات)",IF(L221=0,"مستبعد (لم يعمل)",IF(F221&gt;=M221,"حقق",IF(F221&gt;=M221*الإعدادات!$B$8,"قريب","بعيد")))))))</f>
        <v/>
      </c>
      <c r="Q221" s="16" t="str">
        <f>IF($B221="","",TRIM('الإدخال اليومي'!H195&amp;IF(N('الإدخال اليومي'!AC195)&gt;0," | + "&amp;'الإدخال اليومي'!AC195&amp;" طلب من "&amp;'الإدخال اليومي'!AB195&amp;" (محسوبة في الإجمالي)","")))</f>
        <v/>
      </c>
      <c r="R221" s="17">
        <f t="shared" si="6"/>
        <v>0</v>
      </c>
      <c r="S221" s="17" t="str">
        <f>IF($B221="","",IF('الإدخال اليومي'!AF195="","يعمل",'الإدخال اليومي'!AF195))</f>
        <v/>
      </c>
    </row>
    <row r="222" spans="1:19" x14ac:dyDescent="0.3">
      <c r="A222" s="15" t="str">
        <f>IF('الإدخال اليومي'!$B196="","",IF('الإدخال اليومي'!A196="","",'الإدخال اليومي'!A196))</f>
        <v/>
      </c>
      <c r="B222" s="16" t="str">
        <f>IF('الإدخال اليومي'!$B196="","",IF('الإدخال اليومي'!B196="","",'الإدخال اليومي'!B196))</f>
        <v/>
      </c>
      <c r="C222" s="17" t="str">
        <f>IF('الإدخال اليومي'!$B196="","",IF('الإدخال اليومي'!C196="","",'الإدخال اليومي'!C196))</f>
        <v/>
      </c>
      <c r="D222" s="17" t="str">
        <f>IF($B222="","",192)</f>
        <v/>
      </c>
      <c r="E222" s="17" t="str">
        <f>IF('الإدخال اليومي'!$B196="","",IF('الإدخال اليومي'!AD196="","",'الإدخال اليومي'!AD196))</f>
        <v/>
      </c>
      <c r="F222" s="18" t="str">
        <f>IF($B222="","",'الإدخال اليومي'!I196)</f>
        <v/>
      </c>
      <c r="G222" s="19" t="str">
        <f>IF($B222="","",IF(N('الإدخال اليومي'!AG196)=0,"",'الإدخال اليومي'!AG196))</f>
        <v/>
      </c>
      <c r="H222" s="17" t="str">
        <f>IF('الإدخال اليومي'!$B196="","",IF('الإدخال اليومي'!AE196="","",'الإدخال اليومي'!AE196))</f>
        <v/>
      </c>
      <c r="I222" s="17" t="str">
        <f>IF($B222="","",IFERROR(INDEX('الإدخال اليومي'!K196:AA196,MATCH(الإعدادات!$B$2,'الإدخال اليومي'!$K$3:$AA$3,0)),0))</f>
        <v/>
      </c>
      <c r="J222" s="20" t="str">
        <f>IF('الإدخال اليومي'!$B196="","",IF('الإدخال اليومي'!F196="","",'الإدخال اليومي'!F196))</f>
        <v/>
      </c>
      <c r="K222" s="17" t="str">
        <f>IF($B222="","",N('الإدخال اليومي'!G196)+MAX(0,الإعدادات!$B$2-MAX(الإعدادات!$B$10+1,N(J222))+1)-SUMPRODUCT(('الإدخال اليومي'!$L196:$AA196&gt;0)*('الإدخال اليومي'!$L$3:$AA$3&gt;=MAX(الإعدادات!$B$10+1,N(J222)))*('الإدخال اليومي'!$L$3:$AA$3&lt;=الإعدادات!$B$2)))</f>
        <v/>
      </c>
      <c r="L222" s="17" t="str">
        <f>IF($B222="","",MAX(0,الإعدادات!$B$10-IF(J222="",الإعدادات!$B$9,MAX(J222,الإعدادات!$B$9))+1-N('الإدخال اليومي'!G196))+SUMPRODUCT(('الإدخال اليومي'!$L196:$AA196&gt;0)*('الإدخال اليومي'!$L$3:$AA$3&gt;=MAX(الإعدادات!$B$10+1,N(J222)))*('الإدخال اليومي'!$L$3:$AA$3&lt;=الإعدادات!$B$2)))</f>
        <v/>
      </c>
      <c r="M222" s="19" t="str">
        <f>IF($B222="","",IF(C222="امازون","",(IFERROR(INDEX(الإعدادات!$B$19:$B$22,MATCH(C222,الإعدادات!$A$19:$A$22,0)),الإعدادات!$B$3)/الإعدادات!$B$4)*L222))</f>
        <v/>
      </c>
      <c r="N222" s="21" t="str">
        <f t="shared" si="5"/>
        <v/>
      </c>
      <c r="O222" s="19" t="str">
        <f>IF($B222="","",IF(OR(C222="امازون",L222=0),"",ROUND(F222/L222*الإعدادات!$B$4,0)))</f>
        <v/>
      </c>
      <c r="P222" s="22" t="str">
        <f>IF($B222="","",IF('الإدخال اليومي'!AF196="لا يعمل","مستبعد (ترك العمل)",IF('الإدخال اليومي'!AF196="اجازه","مستبعد (اجازة)",IF(C222="امازون","امازون (شحنات)",IF(L222=0,"مستبعد (لم يعمل)",IF(F222&gt;=M222,"حقق",IF(F222&gt;=M222*الإعدادات!$B$8,"قريب","بعيد")))))))</f>
        <v/>
      </c>
      <c r="Q222" s="16" t="str">
        <f>IF($B222="","",TRIM('الإدخال اليومي'!H196&amp;IF(N('الإدخال اليومي'!AC196)&gt;0," | + "&amp;'الإدخال اليومي'!AC196&amp;" طلب من "&amp;'الإدخال اليومي'!AB196&amp;" (محسوبة في الإجمالي)","")))</f>
        <v/>
      </c>
      <c r="R222" s="17">
        <f t="shared" si="6"/>
        <v>0</v>
      </c>
      <c r="S222" s="17" t="str">
        <f>IF($B222="","",IF('الإدخال اليومي'!AF196="","يعمل",'الإدخال اليومي'!AF196))</f>
        <v/>
      </c>
    </row>
    <row r="223" spans="1:19" x14ac:dyDescent="0.3">
      <c r="A223" s="15" t="str">
        <f>IF('الإدخال اليومي'!$B197="","",IF('الإدخال اليومي'!A197="","",'الإدخال اليومي'!A197))</f>
        <v/>
      </c>
      <c r="B223" s="16" t="str">
        <f>IF('الإدخال اليومي'!$B197="","",IF('الإدخال اليومي'!B197="","",'الإدخال اليومي'!B197))</f>
        <v/>
      </c>
      <c r="C223" s="17" t="str">
        <f>IF('الإدخال اليومي'!$B197="","",IF('الإدخال اليومي'!C197="","",'الإدخال اليومي'!C197))</f>
        <v/>
      </c>
      <c r="D223" s="17" t="str">
        <f>IF($B223="","",193)</f>
        <v/>
      </c>
      <c r="E223" s="17" t="str">
        <f>IF('الإدخال اليومي'!$B197="","",IF('الإدخال اليومي'!AD197="","",'الإدخال اليومي'!AD197))</f>
        <v/>
      </c>
      <c r="F223" s="18" t="str">
        <f>IF($B223="","",'الإدخال اليومي'!I197)</f>
        <v/>
      </c>
      <c r="G223" s="19" t="str">
        <f>IF($B223="","",IF(N('الإدخال اليومي'!AG197)=0,"",'الإدخال اليومي'!AG197))</f>
        <v/>
      </c>
      <c r="H223" s="17" t="str">
        <f>IF('الإدخال اليومي'!$B197="","",IF('الإدخال اليومي'!AE197="","",'الإدخال اليومي'!AE197))</f>
        <v/>
      </c>
      <c r="I223" s="17" t="str">
        <f>IF($B223="","",IFERROR(INDEX('الإدخال اليومي'!K197:AA197,MATCH(الإعدادات!$B$2,'الإدخال اليومي'!$K$3:$AA$3,0)),0))</f>
        <v/>
      </c>
      <c r="J223" s="20" t="str">
        <f>IF('الإدخال اليومي'!$B197="","",IF('الإدخال اليومي'!F197="","",'الإدخال اليومي'!F197))</f>
        <v/>
      </c>
      <c r="K223" s="17" t="str">
        <f>IF($B223="","",N('الإدخال اليومي'!G197)+MAX(0,الإعدادات!$B$2-MAX(الإعدادات!$B$10+1,N(J223))+1)-SUMPRODUCT(('الإدخال اليومي'!$L197:$AA197&gt;0)*('الإدخال اليومي'!$L$3:$AA$3&gt;=MAX(الإعدادات!$B$10+1,N(J223)))*('الإدخال اليومي'!$L$3:$AA$3&lt;=الإعدادات!$B$2)))</f>
        <v/>
      </c>
      <c r="L223" s="17" t="str">
        <f>IF($B223="","",MAX(0,الإعدادات!$B$10-IF(J223="",الإعدادات!$B$9,MAX(J223,الإعدادات!$B$9))+1-N('الإدخال اليومي'!G197))+SUMPRODUCT(('الإدخال اليومي'!$L197:$AA197&gt;0)*('الإدخال اليومي'!$L$3:$AA$3&gt;=MAX(الإعدادات!$B$10+1,N(J223)))*('الإدخال اليومي'!$L$3:$AA$3&lt;=الإعدادات!$B$2)))</f>
        <v/>
      </c>
      <c r="M223" s="19" t="str">
        <f>IF($B223="","",IF(C223="امازون","",(IFERROR(INDEX(الإعدادات!$B$19:$B$22,MATCH(C223,الإعدادات!$A$19:$A$22,0)),الإعدادات!$B$3)/الإعدادات!$B$4)*L223))</f>
        <v/>
      </c>
      <c r="N223" s="21" t="str">
        <f t="shared" ref="N223:N260" si="7">IF($B223="","",IF(OR(M223="",M223=0),"",F223/M223))</f>
        <v/>
      </c>
      <c r="O223" s="19" t="str">
        <f>IF($B223="","",IF(OR(C223="امازون",L223=0),"",ROUND(F223/L223*الإعدادات!$B$4,0)))</f>
        <v/>
      </c>
      <c r="P223" s="22" t="str">
        <f>IF($B223="","",IF('الإدخال اليومي'!AF197="لا يعمل","مستبعد (ترك العمل)",IF('الإدخال اليومي'!AF197="اجازه","مستبعد (اجازة)",IF(C223="امازون","امازون (شحنات)",IF(L223=0,"مستبعد (لم يعمل)",IF(F223&gt;=M223,"حقق",IF(F223&gt;=M223*الإعدادات!$B$8,"قريب","بعيد")))))))</f>
        <v/>
      </c>
      <c r="Q223" s="16" t="str">
        <f>IF($B223="","",TRIM('الإدخال اليومي'!H197&amp;IF(N('الإدخال اليومي'!AC197)&gt;0," | + "&amp;'الإدخال اليومي'!AC197&amp;" طلب من "&amp;'الإدخال اليومي'!AB197&amp;" (محسوبة في الإجمالي)","")))</f>
        <v/>
      </c>
      <c r="R223" s="17">
        <f t="shared" ref="R223:R260" si="8">IF($B223="",0,SUBTOTAL(103,B223))</f>
        <v>0</v>
      </c>
      <c r="S223" s="17" t="str">
        <f>IF($B223="","",IF('الإدخال اليومي'!AF197="","يعمل",'الإدخال اليومي'!AF197))</f>
        <v/>
      </c>
    </row>
    <row r="224" spans="1:19" x14ac:dyDescent="0.3">
      <c r="A224" s="15" t="str">
        <f>IF('الإدخال اليومي'!$B198="","",IF('الإدخال اليومي'!A198="","",'الإدخال اليومي'!A198))</f>
        <v/>
      </c>
      <c r="B224" s="16" t="str">
        <f>IF('الإدخال اليومي'!$B198="","",IF('الإدخال اليومي'!B198="","",'الإدخال اليومي'!B198))</f>
        <v/>
      </c>
      <c r="C224" s="17" t="str">
        <f>IF('الإدخال اليومي'!$B198="","",IF('الإدخال اليومي'!C198="","",'الإدخال اليومي'!C198))</f>
        <v/>
      </c>
      <c r="D224" s="17" t="str">
        <f>IF($B224="","",194)</f>
        <v/>
      </c>
      <c r="E224" s="17" t="str">
        <f>IF('الإدخال اليومي'!$B198="","",IF('الإدخال اليومي'!AD198="","",'الإدخال اليومي'!AD198))</f>
        <v/>
      </c>
      <c r="F224" s="18" t="str">
        <f>IF($B224="","",'الإدخال اليومي'!I198)</f>
        <v/>
      </c>
      <c r="G224" s="19" t="str">
        <f>IF($B224="","",IF(N('الإدخال اليومي'!AG198)=0,"",'الإدخال اليومي'!AG198))</f>
        <v/>
      </c>
      <c r="H224" s="17" t="str">
        <f>IF('الإدخال اليومي'!$B198="","",IF('الإدخال اليومي'!AE198="","",'الإدخال اليومي'!AE198))</f>
        <v/>
      </c>
      <c r="I224" s="17" t="str">
        <f>IF($B224="","",IFERROR(INDEX('الإدخال اليومي'!K198:AA198,MATCH(الإعدادات!$B$2,'الإدخال اليومي'!$K$3:$AA$3,0)),0))</f>
        <v/>
      </c>
      <c r="J224" s="20" t="str">
        <f>IF('الإدخال اليومي'!$B198="","",IF('الإدخال اليومي'!F198="","",'الإدخال اليومي'!F198))</f>
        <v/>
      </c>
      <c r="K224" s="17" t="str">
        <f>IF($B224="","",N('الإدخال اليومي'!G198)+MAX(0,الإعدادات!$B$2-MAX(الإعدادات!$B$10+1,N(J224))+1)-SUMPRODUCT(('الإدخال اليومي'!$L198:$AA198&gt;0)*('الإدخال اليومي'!$L$3:$AA$3&gt;=MAX(الإعدادات!$B$10+1,N(J224)))*('الإدخال اليومي'!$L$3:$AA$3&lt;=الإعدادات!$B$2)))</f>
        <v/>
      </c>
      <c r="L224" s="17" t="str">
        <f>IF($B224="","",MAX(0,الإعدادات!$B$10-IF(J224="",الإعدادات!$B$9,MAX(J224,الإعدادات!$B$9))+1-N('الإدخال اليومي'!G198))+SUMPRODUCT(('الإدخال اليومي'!$L198:$AA198&gt;0)*('الإدخال اليومي'!$L$3:$AA$3&gt;=MAX(الإعدادات!$B$10+1,N(J224)))*('الإدخال اليومي'!$L$3:$AA$3&lt;=الإعدادات!$B$2)))</f>
        <v/>
      </c>
      <c r="M224" s="19" t="str">
        <f>IF($B224="","",IF(C224="امازون","",(IFERROR(INDEX(الإعدادات!$B$19:$B$22,MATCH(C224,الإعدادات!$A$19:$A$22,0)),الإعدادات!$B$3)/الإعدادات!$B$4)*L224))</f>
        <v/>
      </c>
      <c r="N224" s="21" t="str">
        <f t="shared" si="7"/>
        <v/>
      </c>
      <c r="O224" s="19" t="str">
        <f>IF($B224="","",IF(OR(C224="امازون",L224=0),"",ROUND(F224/L224*الإعدادات!$B$4,0)))</f>
        <v/>
      </c>
      <c r="P224" s="22" t="str">
        <f>IF($B224="","",IF('الإدخال اليومي'!AF198="لا يعمل","مستبعد (ترك العمل)",IF('الإدخال اليومي'!AF198="اجازه","مستبعد (اجازة)",IF(C224="امازون","امازون (شحنات)",IF(L224=0,"مستبعد (لم يعمل)",IF(F224&gt;=M224,"حقق",IF(F224&gt;=M224*الإعدادات!$B$8,"قريب","بعيد")))))))</f>
        <v/>
      </c>
      <c r="Q224" s="16" t="str">
        <f>IF($B224="","",TRIM('الإدخال اليومي'!H198&amp;IF(N('الإدخال اليومي'!AC198)&gt;0," | + "&amp;'الإدخال اليومي'!AC198&amp;" طلب من "&amp;'الإدخال اليومي'!AB198&amp;" (محسوبة في الإجمالي)","")))</f>
        <v/>
      </c>
      <c r="R224" s="17">
        <f t="shared" si="8"/>
        <v>0</v>
      </c>
      <c r="S224" s="17" t="str">
        <f>IF($B224="","",IF('الإدخال اليومي'!AF198="","يعمل",'الإدخال اليومي'!AF198))</f>
        <v/>
      </c>
    </row>
    <row r="225" spans="1:19" x14ac:dyDescent="0.3">
      <c r="A225" s="15" t="str">
        <f>IF('الإدخال اليومي'!$B199="","",IF('الإدخال اليومي'!A199="","",'الإدخال اليومي'!A199))</f>
        <v/>
      </c>
      <c r="B225" s="16" t="str">
        <f>IF('الإدخال اليومي'!$B199="","",IF('الإدخال اليومي'!B199="","",'الإدخال اليومي'!B199))</f>
        <v/>
      </c>
      <c r="C225" s="17" t="str">
        <f>IF('الإدخال اليومي'!$B199="","",IF('الإدخال اليومي'!C199="","",'الإدخال اليومي'!C199))</f>
        <v/>
      </c>
      <c r="D225" s="17" t="str">
        <f>IF($B225="","",195)</f>
        <v/>
      </c>
      <c r="E225" s="17" t="str">
        <f>IF('الإدخال اليومي'!$B199="","",IF('الإدخال اليومي'!AD199="","",'الإدخال اليومي'!AD199))</f>
        <v/>
      </c>
      <c r="F225" s="18" t="str">
        <f>IF($B225="","",'الإدخال اليومي'!I199)</f>
        <v/>
      </c>
      <c r="G225" s="19" t="str">
        <f>IF($B225="","",IF(N('الإدخال اليومي'!AG199)=0,"",'الإدخال اليومي'!AG199))</f>
        <v/>
      </c>
      <c r="H225" s="17" t="str">
        <f>IF('الإدخال اليومي'!$B199="","",IF('الإدخال اليومي'!AE199="","",'الإدخال اليومي'!AE199))</f>
        <v/>
      </c>
      <c r="I225" s="17" t="str">
        <f>IF($B225="","",IFERROR(INDEX('الإدخال اليومي'!K199:AA199,MATCH(الإعدادات!$B$2,'الإدخال اليومي'!$K$3:$AA$3,0)),0))</f>
        <v/>
      </c>
      <c r="J225" s="20" t="str">
        <f>IF('الإدخال اليومي'!$B199="","",IF('الإدخال اليومي'!F199="","",'الإدخال اليومي'!F199))</f>
        <v/>
      </c>
      <c r="K225" s="17" t="str">
        <f>IF($B225="","",N('الإدخال اليومي'!G199)+MAX(0,الإعدادات!$B$2-MAX(الإعدادات!$B$10+1,N(J225))+1)-SUMPRODUCT(('الإدخال اليومي'!$L199:$AA199&gt;0)*('الإدخال اليومي'!$L$3:$AA$3&gt;=MAX(الإعدادات!$B$10+1,N(J225)))*('الإدخال اليومي'!$L$3:$AA$3&lt;=الإعدادات!$B$2)))</f>
        <v/>
      </c>
      <c r="L225" s="17" t="str">
        <f>IF($B225="","",MAX(0,الإعدادات!$B$10-IF(J225="",الإعدادات!$B$9,MAX(J225,الإعدادات!$B$9))+1-N('الإدخال اليومي'!G199))+SUMPRODUCT(('الإدخال اليومي'!$L199:$AA199&gt;0)*('الإدخال اليومي'!$L$3:$AA$3&gt;=MAX(الإعدادات!$B$10+1,N(J225)))*('الإدخال اليومي'!$L$3:$AA$3&lt;=الإعدادات!$B$2)))</f>
        <v/>
      </c>
      <c r="M225" s="19" t="str">
        <f>IF($B225="","",IF(C225="امازون","",(IFERROR(INDEX(الإعدادات!$B$19:$B$22,MATCH(C225,الإعدادات!$A$19:$A$22,0)),الإعدادات!$B$3)/الإعدادات!$B$4)*L225))</f>
        <v/>
      </c>
      <c r="N225" s="21" t="str">
        <f t="shared" si="7"/>
        <v/>
      </c>
      <c r="O225" s="19" t="str">
        <f>IF($B225="","",IF(OR(C225="امازون",L225=0),"",ROUND(F225/L225*الإعدادات!$B$4,0)))</f>
        <v/>
      </c>
      <c r="P225" s="22" t="str">
        <f>IF($B225="","",IF('الإدخال اليومي'!AF199="لا يعمل","مستبعد (ترك العمل)",IF('الإدخال اليومي'!AF199="اجازه","مستبعد (اجازة)",IF(C225="امازون","امازون (شحنات)",IF(L225=0,"مستبعد (لم يعمل)",IF(F225&gt;=M225,"حقق",IF(F225&gt;=M225*الإعدادات!$B$8,"قريب","بعيد")))))))</f>
        <v/>
      </c>
      <c r="Q225" s="16" t="str">
        <f>IF($B225="","",TRIM('الإدخال اليومي'!H199&amp;IF(N('الإدخال اليومي'!AC199)&gt;0," | + "&amp;'الإدخال اليومي'!AC199&amp;" طلب من "&amp;'الإدخال اليومي'!AB199&amp;" (محسوبة في الإجمالي)","")))</f>
        <v/>
      </c>
      <c r="R225" s="17">
        <f t="shared" si="8"/>
        <v>0</v>
      </c>
      <c r="S225" s="17" t="str">
        <f>IF($B225="","",IF('الإدخال اليومي'!AF199="","يعمل",'الإدخال اليومي'!AF199))</f>
        <v/>
      </c>
    </row>
    <row r="226" spans="1:19" x14ac:dyDescent="0.3">
      <c r="A226" s="15" t="str">
        <f>IF('الإدخال اليومي'!$B200="","",IF('الإدخال اليومي'!A200="","",'الإدخال اليومي'!A200))</f>
        <v/>
      </c>
      <c r="B226" s="16" t="str">
        <f>IF('الإدخال اليومي'!$B200="","",IF('الإدخال اليومي'!B200="","",'الإدخال اليومي'!B200))</f>
        <v/>
      </c>
      <c r="C226" s="17" t="str">
        <f>IF('الإدخال اليومي'!$B200="","",IF('الإدخال اليومي'!C200="","",'الإدخال اليومي'!C200))</f>
        <v/>
      </c>
      <c r="D226" s="17" t="str">
        <f>IF($B226="","",196)</f>
        <v/>
      </c>
      <c r="E226" s="17" t="str">
        <f>IF('الإدخال اليومي'!$B200="","",IF('الإدخال اليومي'!AD200="","",'الإدخال اليومي'!AD200))</f>
        <v/>
      </c>
      <c r="F226" s="18" t="str">
        <f>IF($B226="","",'الإدخال اليومي'!I200)</f>
        <v/>
      </c>
      <c r="G226" s="19" t="str">
        <f>IF($B226="","",IF(N('الإدخال اليومي'!AG200)=0,"",'الإدخال اليومي'!AG200))</f>
        <v/>
      </c>
      <c r="H226" s="17" t="str">
        <f>IF('الإدخال اليومي'!$B200="","",IF('الإدخال اليومي'!AE200="","",'الإدخال اليومي'!AE200))</f>
        <v/>
      </c>
      <c r="I226" s="17" t="str">
        <f>IF($B226="","",IFERROR(INDEX('الإدخال اليومي'!K200:AA200,MATCH(الإعدادات!$B$2,'الإدخال اليومي'!$K$3:$AA$3,0)),0))</f>
        <v/>
      </c>
      <c r="J226" s="20" t="str">
        <f>IF('الإدخال اليومي'!$B200="","",IF('الإدخال اليومي'!F200="","",'الإدخال اليومي'!F200))</f>
        <v/>
      </c>
      <c r="K226" s="17" t="str">
        <f>IF($B226="","",N('الإدخال اليومي'!G200)+MAX(0,الإعدادات!$B$2-MAX(الإعدادات!$B$10+1,N(J226))+1)-SUMPRODUCT(('الإدخال اليومي'!$L200:$AA200&gt;0)*('الإدخال اليومي'!$L$3:$AA$3&gt;=MAX(الإعدادات!$B$10+1,N(J226)))*('الإدخال اليومي'!$L$3:$AA$3&lt;=الإعدادات!$B$2)))</f>
        <v/>
      </c>
      <c r="L226" s="17" t="str">
        <f>IF($B226="","",MAX(0,الإعدادات!$B$10-IF(J226="",الإعدادات!$B$9,MAX(J226,الإعدادات!$B$9))+1-N('الإدخال اليومي'!G200))+SUMPRODUCT(('الإدخال اليومي'!$L200:$AA200&gt;0)*('الإدخال اليومي'!$L$3:$AA$3&gt;=MAX(الإعدادات!$B$10+1,N(J226)))*('الإدخال اليومي'!$L$3:$AA$3&lt;=الإعدادات!$B$2)))</f>
        <v/>
      </c>
      <c r="M226" s="19" t="str">
        <f>IF($B226="","",IF(C226="امازون","",(IFERROR(INDEX(الإعدادات!$B$19:$B$22,MATCH(C226,الإعدادات!$A$19:$A$22,0)),الإعدادات!$B$3)/الإعدادات!$B$4)*L226))</f>
        <v/>
      </c>
      <c r="N226" s="21" t="str">
        <f t="shared" si="7"/>
        <v/>
      </c>
      <c r="O226" s="19" t="str">
        <f>IF($B226="","",IF(OR(C226="امازون",L226=0),"",ROUND(F226/L226*الإعدادات!$B$4,0)))</f>
        <v/>
      </c>
      <c r="P226" s="22" t="str">
        <f>IF($B226="","",IF('الإدخال اليومي'!AF200="لا يعمل","مستبعد (ترك العمل)",IF('الإدخال اليومي'!AF200="اجازه","مستبعد (اجازة)",IF(C226="امازون","امازون (شحنات)",IF(L226=0,"مستبعد (لم يعمل)",IF(F226&gt;=M226,"حقق",IF(F226&gt;=M226*الإعدادات!$B$8,"قريب","بعيد")))))))</f>
        <v/>
      </c>
      <c r="Q226" s="16" t="str">
        <f>IF($B226="","",TRIM('الإدخال اليومي'!H200&amp;IF(N('الإدخال اليومي'!AC200)&gt;0," | + "&amp;'الإدخال اليومي'!AC200&amp;" طلب من "&amp;'الإدخال اليومي'!AB200&amp;" (محسوبة في الإجمالي)","")))</f>
        <v/>
      </c>
      <c r="R226" s="17">
        <f t="shared" si="8"/>
        <v>0</v>
      </c>
      <c r="S226" s="17" t="str">
        <f>IF($B226="","",IF('الإدخال اليومي'!AF200="","يعمل",'الإدخال اليومي'!AF200))</f>
        <v/>
      </c>
    </row>
    <row r="227" spans="1:19" x14ac:dyDescent="0.3">
      <c r="A227" s="15" t="str">
        <f>IF('الإدخال اليومي'!$B201="","",IF('الإدخال اليومي'!A201="","",'الإدخال اليومي'!A201))</f>
        <v/>
      </c>
      <c r="B227" s="16" t="str">
        <f>IF('الإدخال اليومي'!$B201="","",IF('الإدخال اليومي'!B201="","",'الإدخال اليومي'!B201))</f>
        <v/>
      </c>
      <c r="C227" s="17" t="str">
        <f>IF('الإدخال اليومي'!$B201="","",IF('الإدخال اليومي'!C201="","",'الإدخال اليومي'!C201))</f>
        <v/>
      </c>
      <c r="D227" s="17" t="str">
        <f>IF($B227="","",197)</f>
        <v/>
      </c>
      <c r="E227" s="17" t="str">
        <f>IF('الإدخال اليومي'!$B201="","",IF('الإدخال اليومي'!AD201="","",'الإدخال اليومي'!AD201))</f>
        <v/>
      </c>
      <c r="F227" s="18" t="str">
        <f>IF($B227="","",'الإدخال اليومي'!I201)</f>
        <v/>
      </c>
      <c r="G227" s="19" t="str">
        <f>IF($B227="","",IF(N('الإدخال اليومي'!AG201)=0,"",'الإدخال اليومي'!AG201))</f>
        <v/>
      </c>
      <c r="H227" s="17" t="str">
        <f>IF('الإدخال اليومي'!$B201="","",IF('الإدخال اليومي'!AE201="","",'الإدخال اليومي'!AE201))</f>
        <v/>
      </c>
      <c r="I227" s="17" t="str">
        <f>IF($B227="","",IFERROR(INDEX('الإدخال اليومي'!K201:AA201,MATCH(الإعدادات!$B$2,'الإدخال اليومي'!$K$3:$AA$3,0)),0))</f>
        <v/>
      </c>
      <c r="J227" s="20" t="str">
        <f>IF('الإدخال اليومي'!$B201="","",IF('الإدخال اليومي'!F201="","",'الإدخال اليومي'!F201))</f>
        <v/>
      </c>
      <c r="K227" s="17" t="str">
        <f>IF($B227="","",N('الإدخال اليومي'!G201)+MAX(0,الإعدادات!$B$2-MAX(الإعدادات!$B$10+1,N(J227))+1)-SUMPRODUCT(('الإدخال اليومي'!$L201:$AA201&gt;0)*('الإدخال اليومي'!$L$3:$AA$3&gt;=MAX(الإعدادات!$B$10+1,N(J227)))*('الإدخال اليومي'!$L$3:$AA$3&lt;=الإعدادات!$B$2)))</f>
        <v/>
      </c>
      <c r="L227" s="17" t="str">
        <f>IF($B227="","",MAX(0,الإعدادات!$B$10-IF(J227="",الإعدادات!$B$9,MAX(J227,الإعدادات!$B$9))+1-N('الإدخال اليومي'!G201))+SUMPRODUCT(('الإدخال اليومي'!$L201:$AA201&gt;0)*('الإدخال اليومي'!$L$3:$AA$3&gt;=MAX(الإعدادات!$B$10+1,N(J227)))*('الإدخال اليومي'!$L$3:$AA$3&lt;=الإعدادات!$B$2)))</f>
        <v/>
      </c>
      <c r="M227" s="19" t="str">
        <f>IF($B227="","",IF(C227="امازون","",(IFERROR(INDEX(الإعدادات!$B$19:$B$22,MATCH(C227,الإعدادات!$A$19:$A$22,0)),الإعدادات!$B$3)/الإعدادات!$B$4)*L227))</f>
        <v/>
      </c>
      <c r="N227" s="21" t="str">
        <f t="shared" si="7"/>
        <v/>
      </c>
      <c r="O227" s="19" t="str">
        <f>IF($B227="","",IF(OR(C227="امازون",L227=0),"",ROUND(F227/L227*الإعدادات!$B$4,0)))</f>
        <v/>
      </c>
      <c r="P227" s="22" t="str">
        <f>IF($B227="","",IF('الإدخال اليومي'!AF201="لا يعمل","مستبعد (ترك العمل)",IF('الإدخال اليومي'!AF201="اجازه","مستبعد (اجازة)",IF(C227="امازون","امازون (شحنات)",IF(L227=0,"مستبعد (لم يعمل)",IF(F227&gt;=M227,"حقق",IF(F227&gt;=M227*الإعدادات!$B$8,"قريب","بعيد")))))))</f>
        <v/>
      </c>
      <c r="Q227" s="16" t="str">
        <f>IF($B227="","",TRIM('الإدخال اليومي'!H201&amp;IF(N('الإدخال اليومي'!AC201)&gt;0," | + "&amp;'الإدخال اليومي'!AC201&amp;" طلب من "&amp;'الإدخال اليومي'!AB201&amp;" (محسوبة في الإجمالي)","")))</f>
        <v/>
      </c>
      <c r="R227" s="17">
        <f t="shared" si="8"/>
        <v>0</v>
      </c>
      <c r="S227" s="17" t="str">
        <f>IF($B227="","",IF('الإدخال اليومي'!AF201="","يعمل",'الإدخال اليومي'!AF201))</f>
        <v/>
      </c>
    </row>
    <row r="228" spans="1:19" x14ac:dyDescent="0.3">
      <c r="A228" s="15" t="str">
        <f>IF('الإدخال اليومي'!$B202="","",IF('الإدخال اليومي'!A202="","",'الإدخال اليومي'!A202))</f>
        <v/>
      </c>
      <c r="B228" s="16" t="str">
        <f>IF('الإدخال اليومي'!$B202="","",IF('الإدخال اليومي'!B202="","",'الإدخال اليومي'!B202))</f>
        <v/>
      </c>
      <c r="C228" s="17" t="str">
        <f>IF('الإدخال اليومي'!$B202="","",IF('الإدخال اليومي'!C202="","",'الإدخال اليومي'!C202))</f>
        <v/>
      </c>
      <c r="D228" s="17" t="str">
        <f>IF($B228="","",198)</f>
        <v/>
      </c>
      <c r="E228" s="17" t="str">
        <f>IF('الإدخال اليومي'!$B202="","",IF('الإدخال اليومي'!AD202="","",'الإدخال اليومي'!AD202))</f>
        <v/>
      </c>
      <c r="F228" s="18" t="str">
        <f>IF($B228="","",'الإدخال اليومي'!I202)</f>
        <v/>
      </c>
      <c r="G228" s="19" t="str">
        <f>IF($B228="","",IF(N('الإدخال اليومي'!AG202)=0,"",'الإدخال اليومي'!AG202))</f>
        <v/>
      </c>
      <c r="H228" s="17" t="str">
        <f>IF('الإدخال اليومي'!$B202="","",IF('الإدخال اليومي'!AE202="","",'الإدخال اليومي'!AE202))</f>
        <v/>
      </c>
      <c r="I228" s="17" t="str">
        <f>IF($B228="","",IFERROR(INDEX('الإدخال اليومي'!K202:AA202,MATCH(الإعدادات!$B$2,'الإدخال اليومي'!$K$3:$AA$3,0)),0))</f>
        <v/>
      </c>
      <c r="J228" s="20" t="str">
        <f>IF('الإدخال اليومي'!$B202="","",IF('الإدخال اليومي'!F202="","",'الإدخال اليومي'!F202))</f>
        <v/>
      </c>
      <c r="K228" s="17" t="str">
        <f>IF($B228="","",N('الإدخال اليومي'!G202)+MAX(0,الإعدادات!$B$2-MAX(الإعدادات!$B$10+1,N(J228))+1)-SUMPRODUCT(('الإدخال اليومي'!$L202:$AA202&gt;0)*('الإدخال اليومي'!$L$3:$AA$3&gt;=MAX(الإعدادات!$B$10+1,N(J228)))*('الإدخال اليومي'!$L$3:$AA$3&lt;=الإعدادات!$B$2)))</f>
        <v/>
      </c>
      <c r="L228" s="17" t="str">
        <f>IF($B228="","",MAX(0,الإعدادات!$B$10-IF(J228="",الإعدادات!$B$9,MAX(J228,الإعدادات!$B$9))+1-N('الإدخال اليومي'!G202))+SUMPRODUCT(('الإدخال اليومي'!$L202:$AA202&gt;0)*('الإدخال اليومي'!$L$3:$AA$3&gt;=MAX(الإعدادات!$B$10+1,N(J228)))*('الإدخال اليومي'!$L$3:$AA$3&lt;=الإعدادات!$B$2)))</f>
        <v/>
      </c>
      <c r="M228" s="19" t="str">
        <f>IF($B228="","",IF(C228="امازون","",(IFERROR(INDEX(الإعدادات!$B$19:$B$22,MATCH(C228,الإعدادات!$A$19:$A$22,0)),الإعدادات!$B$3)/الإعدادات!$B$4)*L228))</f>
        <v/>
      </c>
      <c r="N228" s="21" t="str">
        <f t="shared" si="7"/>
        <v/>
      </c>
      <c r="O228" s="19" t="str">
        <f>IF($B228="","",IF(OR(C228="امازون",L228=0),"",ROUND(F228/L228*الإعدادات!$B$4,0)))</f>
        <v/>
      </c>
      <c r="P228" s="22" t="str">
        <f>IF($B228="","",IF('الإدخال اليومي'!AF202="لا يعمل","مستبعد (ترك العمل)",IF('الإدخال اليومي'!AF202="اجازه","مستبعد (اجازة)",IF(C228="امازون","امازون (شحنات)",IF(L228=0,"مستبعد (لم يعمل)",IF(F228&gt;=M228,"حقق",IF(F228&gt;=M228*الإعدادات!$B$8,"قريب","بعيد")))))))</f>
        <v/>
      </c>
      <c r="Q228" s="16" t="str">
        <f>IF($B228="","",TRIM('الإدخال اليومي'!H202&amp;IF(N('الإدخال اليومي'!AC202)&gt;0," | + "&amp;'الإدخال اليومي'!AC202&amp;" طلب من "&amp;'الإدخال اليومي'!AB202&amp;" (محسوبة في الإجمالي)","")))</f>
        <v/>
      </c>
      <c r="R228" s="17">
        <f t="shared" si="8"/>
        <v>0</v>
      </c>
      <c r="S228" s="17" t="str">
        <f>IF($B228="","",IF('الإدخال اليومي'!AF202="","يعمل",'الإدخال اليومي'!AF202))</f>
        <v/>
      </c>
    </row>
    <row r="229" spans="1:19" x14ac:dyDescent="0.3">
      <c r="A229" s="15" t="str">
        <f>IF('الإدخال اليومي'!$B203="","",IF('الإدخال اليومي'!A203="","",'الإدخال اليومي'!A203))</f>
        <v/>
      </c>
      <c r="B229" s="16" t="str">
        <f>IF('الإدخال اليومي'!$B203="","",IF('الإدخال اليومي'!B203="","",'الإدخال اليومي'!B203))</f>
        <v/>
      </c>
      <c r="C229" s="17" t="str">
        <f>IF('الإدخال اليومي'!$B203="","",IF('الإدخال اليومي'!C203="","",'الإدخال اليومي'!C203))</f>
        <v/>
      </c>
      <c r="D229" s="17" t="str">
        <f>IF($B229="","",199)</f>
        <v/>
      </c>
      <c r="E229" s="17" t="str">
        <f>IF('الإدخال اليومي'!$B203="","",IF('الإدخال اليومي'!AD203="","",'الإدخال اليومي'!AD203))</f>
        <v/>
      </c>
      <c r="F229" s="18" t="str">
        <f>IF($B229="","",'الإدخال اليومي'!I203)</f>
        <v/>
      </c>
      <c r="G229" s="19" t="str">
        <f>IF($B229="","",IF(N('الإدخال اليومي'!AG203)=0,"",'الإدخال اليومي'!AG203))</f>
        <v/>
      </c>
      <c r="H229" s="17" t="str">
        <f>IF('الإدخال اليومي'!$B203="","",IF('الإدخال اليومي'!AE203="","",'الإدخال اليومي'!AE203))</f>
        <v/>
      </c>
      <c r="I229" s="17" t="str">
        <f>IF($B229="","",IFERROR(INDEX('الإدخال اليومي'!K203:AA203,MATCH(الإعدادات!$B$2,'الإدخال اليومي'!$K$3:$AA$3,0)),0))</f>
        <v/>
      </c>
      <c r="J229" s="20" t="str">
        <f>IF('الإدخال اليومي'!$B203="","",IF('الإدخال اليومي'!F203="","",'الإدخال اليومي'!F203))</f>
        <v/>
      </c>
      <c r="K229" s="17" t="str">
        <f>IF($B229="","",N('الإدخال اليومي'!G203)+MAX(0,الإعدادات!$B$2-MAX(الإعدادات!$B$10+1,N(J229))+1)-SUMPRODUCT(('الإدخال اليومي'!$L203:$AA203&gt;0)*('الإدخال اليومي'!$L$3:$AA$3&gt;=MAX(الإعدادات!$B$10+1,N(J229)))*('الإدخال اليومي'!$L$3:$AA$3&lt;=الإعدادات!$B$2)))</f>
        <v/>
      </c>
      <c r="L229" s="17" t="str">
        <f>IF($B229="","",MAX(0,الإعدادات!$B$10-IF(J229="",الإعدادات!$B$9,MAX(J229,الإعدادات!$B$9))+1-N('الإدخال اليومي'!G203))+SUMPRODUCT(('الإدخال اليومي'!$L203:$AA203&gt;0)*('الإدخال اليومي'!$L$3:$AA$3&gt;=MAX(الإعدادات!$B$10+1,N(J229)))*('الإدخال اليومي'!$L$3:$AA$3&lt;=الإعدادات!$B$2)))</f>
        <v/>
      </c>
      <c r="M229" s="19" t="str">
        <f>IF($B229="","",IF(C229="امازون","",(IFERROR(INDEX(الإعدادات!$B$19:$B$22,MATCH(C229,الإعدادات!$A$19:$A$22,0)),الإعدادات!$B$3)/الإعدادات!$B$4)*L229))</f>
        <v/>
      </c>
      <c r="N229" s="21" t="str">
        <f t="shared" si="7"/>
        <v/>
      </c>
      <c r="O229" s="19" t="str">
        <f>IF($B229="","",IF(OR(C229="امازون",L229=0),"",ROUND(F229/L229*الإعدادات!$B$4,0)))</f>
        <v/>
      </c>
      <c r="P229" s="22" t="str">
        <f>IF($B229="","",IF('الإدخال اليومي'!AF203="لا يعمل","مستبعد (ترك العمل)",IF('الإدخال اليومي'!AF203="اجازه","مستبعد (اجازة)",IF(C229="امازون","امازون (شحنات)",IF(L229=0,"مستبعد (لم يعمل)",IF(F229&gt;=M229,"حقق",IF(F229&gt;=M229*الإعدادات!$B$8,"قريب","بعيد")))))))</f>
        <v/>
      </c>
      <c r="Q229" s="16" t="str">
        <f>IF($B229="","",TRIM('الإدخال اليومي'!H203&amp;IF(N('الإدخال اليومي'!AC203)&gt;0," | + "&amp;'الإدخال اليومي'!AC203&amp;" طلب من "&amp;'الإدخال اليومي'!AB203&amp;" (محسوبة في الإجمالي)","")))</f>
        <v/>
      </c>
      <c r="R229" s="17">
        <f t="shared" si="8"/>
        <v>0</v>
      </c>
      <c r="S229" s="17" t="str">
        <f>IF($B229="","",IF('الإدخال اليومي'!AF203="","يعمل",'الإدخال اليومي'!AF203))</f>
        <v/>
      </c>
    </row>
    <row r="230" spans="1:19" x14ac:dyDescent="0.3">
      <c r="A230" s="15" t="str">
        <f>IF('الإدخال اليومي'!$B204="","",IF('الإدخال اليومي'!A204="","",'الإدخال اليومي'!A204))</f>
        <v/>
      </c>
      <c r="B230" s="16" t="str">
        <f>IF('الإدخال اليومي'!$B204="","",IF('الإدخال اليومي'!B204="","",'الإدخال اليومي'!B204))</f>
        <v/>
      </c>
      <c r="C230" s="17" t="str">
        <f>IF('الإدخال اليومي'!$B204="","",IF('الإدخال اليومي'!C204="","",'الإدخال اليومي'!C204))</f>
        <v/>
      </c>
      <c r="D230" s="17" t="str">
        <f>IF($B230="","",200)</f>
        <v/>
      </c>
      <c r="E230" s="17" t="str">
        <f>IF('الإدخال اليومي'!$B204="","",IF('الإدخال اليومي'!AD204="","",'الإدخال اليومي'!AD204))</f>
        <v/>
      </c>
      <c r="F230" s="18" t="str">
        <f>IF($B230="","",'الإدخال اليومي'!I204)</f>
        <v/>
      </c>
      <c r="G230" s="19" t="str">
        <f>IF($B230="","",IF(N('الإدخال اليومي'!AG204)=0,"",'الإدخال اليومي'!AG204))</f>
        <v/>
      </c>
      <c r="H230" s="17" t="str">
        <f>IF('الإدخال اليومي'!$B204="","",IF('الإدخال اليومي'!AE204="","",'الإدخال اليومي'!AE204))</f>
        <v/>
      </c>
      <c r="I230" s="17" t="str">
        <f>IF($B230="","",IFERROR(INDEX('الإدخال اليومي'!K204:AA204,MATCH(الإعدادات!$B$2,'الإدخال اليومي'!$K$3:$AA$3,0)),0))</f>
        <v/>
      </c>
      <c r="J230" s="20" t="str">
        <f>IF('الإدخال اليومي'!$B204="","",IF('الإدخال اليومي'!F204="","",'الإدخال اليومي'!F204))</f>
        <v/>
      </c>
      <c r="K230" s="17" t="str">
        <f>IF($B230="","",N('الإدخال اليومي'!G204)+MAX(0,الإعدادات!$B$2-MAX(الإعدادات!$B$10+1,N(J230))+1)-SUMPRODUCT(('الإدخال اليومي'!$L204:$AA204&gt;0)*('الإدخال اليومي'!$L$3:$AA$3&gt;=MAX(الإعدادات!$B$10+1,N(J230)))*('الإدخال اليومي'!$L$3:$AA$3&lt;=الإعدادات!$B$2)))</f>
        <v/>
      </c>
      <c r="L230" s="17" t="str">
        <f>IF($B230="","",MAX(0,الإعدادات!$B$10-IF(J230="",الإعدادات!$B$9,MAX(J230,الإعدادات!$B$9))+1-N('الإدخال اليومي'!G204))+SUMPRODUCT(('الإدخال اليومي'!$L204:$AA204&gt;0)*('الإدخال اليومي'!$L$3:$AA$3&gt;=MAX(الإعدادات!$B$10+1,N(J230)))*('الإدخال اليومي'!$L$3:$AA$3&lt;=الإعدادات!$B$2)))</f>
        <v/>
      </c>
      <c r="M230" s="19" t="str">
        <f>IF($B230="","",IF(C230="امازون","",(IFERROR(INDEX(الإعدادات!$B$19:$B$22,MATCH(C230,الإعدادات!$A$19:$A$22,0)),الإعدادات!$B$3)/الإعدادات!$B$4)*L230))</f>
        <v/>
      </c>
      <c r="N230" s="21" t="str">
        <f t="shared" si="7"/>
        <v/>
      </c>
      <c r="O230" s="19" t="str">
        <f>IF($B230="","",IF(OR(C230="امازون",L230=0),"",ROUND(F230/L230*الإعدادات!$B$4,0)))</f>
        <v/>
      </c>
      <c r="P230" s="22" t="str">
        <f>IF($B230="","",IF('الإدخال اليومي'!AF204="لا يعمل","مستبعد (ترك العمل)",IF('الإدخال اليومي'!AF204="اجازه","مستبعد (اجازة)",IF(C230="امازون","امازون (شحنات)",IF(L230=0,"مستبعد (لم يعمل)",IF(F230&gt;=M230,"حقق",IF(F230&gt;=M230*الإعدادات!$B$8,"قريب","بعيد")))))))</f>
        <v/>
      </c>
      <c r="Q230" s="16" t="str">
        <f>IF($B230="","",TRIM('الإدخال اليومي'!H204&amp;IF(N('الإدخال اليومي'!AC204)&gt;0," | + "&amp;'الإدخال اليومي'!AC204&amp;" طلب من "&amp;'الإدخال اليومي'!AB204&amp;" (محسوبة في الإجمالي)","")))</f>
        <v/>
      </c>
      <c r="R230" s="17">
        <f t="shared" si="8"/>
        <v>0</v>
      </c>
      <c r="S230" s="17" t="str">
        <f>IF($B230="","",IF('الإدخال اليومي'!AF204="","يعمل",'الإدخال اليومي'!AF204))</f>
        <v/>
      </c>
    </row>
    <row r="231" spans="1:19" x14ac:dyDescent="0.3">
      <c r="A231" s="15" t="str">
        <f>IF('الإدخال اليومي'!$B205="","",IF('الإدخال اليومي'!A205="","",'الإدخال اليومي'!A205))</f>
        <v/>
      </c>
      <c r="B231" s="16" t="str">
        <f>IF('الإدخال اليومي'!$B205="","",IF('الإدخال اليومي'!B205="","",'الإدخال اليومي'!B205))</f>
        <v/>
      </c>
      <c r="C231" s="17" t="str">
        <f>IF('الإدخال اليومي'!$B205="","",IF('الإدخال اليومي'!C205="","",'الإدخال اليومي'!C205))</f>
        <v/>
      </c>
      <c r="D231" s="17" t="str">
        <f>IF($B231="","",201)</f>
        <v/>
      </c>
      <c r="E231" s="17" t="str">
        <f>IF('الإدخال اليومي'!$B205="","",IF('الإدخال اليومي'!AD205="","",'الإدخال اليومي'!AD205))</f>
        <v/>
      </c>
      <c r="F231" s="18" t="str">
        <f>IF($B231="","",'الإدخال اليومي'!I205)</f>
        <v/>
      </c>
      <c r="G231" s="19" t="str">
        <f>IF($B231="","",IF(N('الإدخال اليومي'!AG205)=0,"",'الإدخال اليومي'!AG205))</f>
        <v/>
      </c>
      <c r="H231" s="17" t="str">
        <f>IF('الإدخال اليومي'!$B205="","",IF('الإدخال اليومي'!AE205="","",'الإدخال اليومي'!AE205))</f>
        <v/>
      </c>
      <c r="I231" s="17" t="str">
        <f>IF($B231="","",IFERROR(INDEX('الإدخال اليومي'!K205:AA205,MATCH(الإعدادات!$B$2,'الإدخال اليومي'!$K$3:$AA$3,0)),0))</f>
        <v/>
      </c>
      <c r="J231" s="20" t="str">
        <f>IF('الإدخال اليومي'!$B205="","",IF('الإدخال اليومي'!F205="","",'الإدخال اليومي'!F205))</f>
        <v/>
      </c>
      <c r="K231" s="17" t="str">
        <f>IF($B231="","",N('الإدخال اليومي'!G205)+MAX(0,الإعدادات!$B$2-MAX(الإعدادات!$B$10+1,N(J231))+1)-SUMPRODUCT(('الإدخال اليومي'!$L205:$AA205&gt;0)*('الإدخال اليومي'!$L$3:$AA$3&gt;=MAX(الإعدادات!$B$10+1,N(J231)))*('الإدخال اليومي'!$L$3:$AA$3&lt;=الإعدادات!$B$2)))</f>
        <v/>
      </c>
      <c r="L231" s="17" t="str">
        <f>IF($B231="","",MAX(0,الإعدادات!$B$10-IF(J231="",الإعدادات!$B$9,MAX(J231,الإعدادات!$B$9))+1-N('الإدخال اليومي'!G205))+SUMPRODUCT(('الإدخال اليومي'!$L205:$AA205&gt;0)*('الإدخال اليومي'!$L$3:$AA$3&gt;=MAX(الإعدادات!$B$10+1,N(J231)))*('الإدخال اليومي'!$L$3:$AA$3&lt;=الإعدادات!$B$2)))</f>
        <v/>
      </c>
      <c r="M231" s="19" t="str">
        <f>IF($B231="","",IF(C231="امازون","",(IFERROR(INDEX(الإعدادات!$B$19:$B$22,MATCH(C231,الإعدادات!$A$19:$A$22,0)),الإعدادات!$B$3)/الإعدادات!$B$4)*L231))</f>
        <v/>
      </c>
      <c r="N231" s="21" t="str">
        <f t="shared" si="7"/>
        <v/>
      </c>
      <c r="O231" s="19" t="str">
        <f>IF($B231="","",IF(OR(C231="امازون",L231=0),"",ROUND(F231/L231*الإعدادات!$B$4,0)))</f>
        <v/>
      </c>
      <c r="P231" s="22" t="str">
        <f>IF($B231="","",IF('الإدخال اليومي'!AF205="لا يعمل","مستبعد (ترك العمل)",IF('الإدخال اليومي'!AF205="اجازه","مستبعد (اجازة)",IF(C231="امازون","امازون (شحنات)",IF(L231=0,"مستبعد (لم يعمل)",IF(F231&gt;=M231,"حقق",IF(F231&gt;=M231*الإعدادات!$B$8,"قريب","بعيد")))))))</f>
        <v/>
      </c>
      <c r="Q231" s="16" t="str">
        <f>IF($B231="","",TRIM('الإدخال اليومي'!H205&amp;IF(N('الإدخال اليومي'!AC205)&gt;0," | + "&amp;'الإدخال اليومي'!AC205&amp;" طلب من "&amp;'الإدخال اليومي'!AB205&amp;" (محسوبة في الإجمالي)","")))</f>
        <v/>
      </c>
      <c r="R231" s="17">
        <f t="shared" si="8"/>
        <v>0</v>
      </c>
      <c r="S231" s="17" t="str">
        <f>IF($B231="","",IF('الإدخال اليومي'!AF205="","يعمل",'الإدخال اليومي'!AF205))</f>
        <v/>
      </c>
    </row>
    <row r="232" spans="1:19" x14ac:dyDescent="0.3">
      <c r="A232" s="15" t="str">
        <f>IF('الإدخال اليومي'!$B206="","",IF('الإدخال اليومي'!A206="","",'الإدخال اليومي'!A206))</f>
        <v/>
      </c>
      <c r="B232" s="16" t="str">
        <f>IF('الإدخال اليومي'!$B206="","",IF('الإدخال اليومي'!B206="","",'الإدخال اليومي'!B206))</f>
        <v/>
      </c>
      <c r="C232" s="17" t="str">
        <f>IF('الإدخال اليومي'!$B206="","",IF('الإدخال اليومي'!C206="","",'الإدخال اليومي'!C206))</f>
        <v/>
      </c>
      <c r="D232" s="17" t="str">
        <f>IF($B232="","",202)</f>
        <v/>
      </c>
      <c r="E232" s="17" t="str">
        <f>IF('الإدخال اليومي'!$B206="","",IF('الإدخال اليومي'!AD206="","",'الإدخال اليومي'!AD206))</f>
        <v/>
      </c>
      <c r="F232" s="18" t="str">
        <f>IF($B232="","",'الإدخال اليومي'!I206)</f>
        <v/>
      </c>
      <c r="G232" s="19" t="str">
        <f>IF($B232="","",IF(N('الإدخال اليومي'!AG206)=0,"",'الإدخال اليومي'!AG206))</f>
        <v/>
      </c>
      <c r="H232" s="17" t="str">
        <f>IF('الإدخال اليومي'!$B206="","",IF('الإدخال اليومي'!AE206="","",'الإدخال اليومي'!AE206))</f>
        <v/>
      </c>
      <c r="I232" s="17" t="str">
        <f>IF($B232="","",IFERROR(INDEX('الإدخال اليومي'!K206:AA206,MATCH(الإعدادات!$B$2,'الإدخال اليومي'!$K$3:$AA$3,0)),0))</f>
        <v/>
      </c>
      <c r="J232" s="20" t="str">
        <f>IF('الإدخال اليومي'!$B206="","",IF('الإدخال اليومي'!F206="","",'الإدخال اليومي'!F206))</f>
        <v/>
      </c>
      <c r="K232" s="17" t="str">
        <f>IF($B232="","",N('الإدخال اليومي'!G206)+MAX(0,الإعدادات!$B$2-MAX(الإعدادات!$B$10+1,N(J232))+1)-SUMPRODUCT(('الإدخال اليومي'!$L206:$AA206&gt;0)*('الإدخال اليومي'!$L$3:$AA$3&gt;=MAX(الإعدادات!$B$10+1,N(J232)))*('الإدخال اليومي'!$L$3:$AA$3&lt;=الإعدادات!$B$2)))</f>
        <v/>
      </c>
      <c r="L232" s="17" t="str">
        <f>IF($B232="","",MAX(0,الإعدادات!$B$10-IF(J232="",الإعدادات!$B$9,MAX(J232,الإعدادات!$B$9))+1-N('الإدخال اليومي'!G206))+SUMPRODUCT(('الإدخال اليومي'!$L206:$AA206&gt;0)*('الإدخال اليومي'!$L$3:$AA$3&gt;=MAX(الإعدادات!$B$10+1,N(J232)))*('الإدخال اليومي'!$L$3:$AA$3&lt;=الإعدادات!$B$2)))</f>
        <v/>
      </c>
      <c r="M232" s="19" t="str">
        <f>IF($B232="","",IF(C232="امازون","",(IFERROR(INDEX(الإعدادات!$B$19:$B$22,MATCH(C232,الإعدادات!$A$19:$A$22,0)),الإعدادات!$B$3)/الإعدادات!$B$4)*L232))</f>
        <v/>
      </c>
      <c r="N232" s="21" t="str">
        <f t="shared" si="7"/>
        <v/>
      </c>
      <c r="O232" s="19" t="str">
        <f>IF($B232="","",IF(OR(C232="امازون",L232=0),"",ROUND(F232/L232*الإعدادات!$B$4,0)))</f>
        <v/>
      </c>
      <c r="P232" s="22" t="str">
        <f>IF($B232="","",IF('الإدخال اليومي'!AF206="لا يعمل","مستبعد (ترك العمل)",IF('الإدخال اليومي'!AF206="اجازه","مستبعد (اجازة)",IF(C232="امازون","امازون (شحنات)",IF(L232=0,"مستبعد (لم يعمل)",IF(F232&gt;=M232,"حقق",IF(F232&gt;=M232*الإعدادات!$B$8,"قريب","بعيد")))))))</f>
        <v/>
      </c>
      <c r="Q232" s="16" t="str">
        <f>IF($B232="","",TRIM('الإدخال اليومي'!H206&amp;IF(N('الإدخال اليومي'!AC206)&gt;0," | + "&amp;'الإدخال اليومي'!AC206&amp;" طلب من "&amp;'الإدخال اليومي'!AB206&amp;" (محسوبة في الإجمالي)","")))</f>
        <v/>
      </c>
      <c r="R232" s="17">
        <f t="shared" si="8"/>
        <v>0</v>
      </c>
      <c r="S232" s="17" t="str">
        <f>IF($B232="","",IF('الإدخال اليومي'!AF206="","يعمل",'الإدخال اليومي'!AF206))</f>
        <v/>
      </c>
    </row>
    <row r="233" spans="1:19" x14ac:dyDescent="0.3">
      <c r="A233" s="15" t="str">
        <f>IF('الإدخال اليومي'!$B207="","",IF('الإدخال اليومي'!A207="","",'الإدخال اليومي'!A207))</f>
        <v/>
      </c>
      <c r="B233" s="16" t="str">
        <f>IF('الإدخال اليومي'!$B207="","",IF('الإدخال اليومي'!B207="","",'الإدخال اليومي'!B207))</f>
        <v/>
      </c>
      <c r="C233" s="17" t="str">
        <f>IF('الإدخال اليومي'!$B207="","",IF('الإدخال اليومي'!C207="","",'الإدخال اليومي'!C207))</f>
        <v/>
      </c>
      <c r="D233" s="17" t="str">
        <f>IF($B233="","",203)</f>
        <v/>
      </c>
      <c r="E233" s="17" t="str">
        <f>IF('الإدخال اليومي'!$B207="","",IF('الإدخال اليومي'!AD207="","",'الإدخال اليومي'!AD207))</f>
        <v/>
      </c>
      <c r="F233" s="18" t="str">
        <f>IF($B233="","",'الإدخال اليومي'!I207)</f>
        <v/>
      </c>
      <c r="G233" s="19" t="str">
        <f>IF($B233="","",IF(N('الإدخال اليومي'!AG207)=0,"",'الإدخال اليومي'!AG207))</f>
        <v/>
      </c>
      <c r="H233" s="17" t="str">
        <f>IF('الإدخال اليومي'!$B207="","",IF('الإدخال اليومي'!AE207="","",'الإدخال اليومي'!AE207))</f>
        <v/>
      </c>
      <c r="I233" s="17" t="str">
        <f>IF($B233="","",IFERROR(INDEX('الإدخال اليومي'!K207:AA207,MATCH(الإعدادات!$B$2,'الإدخال اليومي'!$K$3:$AA$3,0)),0))</f>
        <v/>
      </c>
      <c r="J233" s="20" t="str">
        <f>IF('الإدخال اليومي'!$B207="","",IF('الإدخال اليومي'!F207="","",'الإدخال اليومي'!F207))</f>
        <v/>
      </c>
      <c r="K233" s="17" t="str">
        <f>IF($B233="","",N('الإدخال اليومي'!G207)+MAX(0,الإعدادات!$B$2-MAX(الإعدادات!$B$10+1,N(J233))+1)-SUMPRODUCT(('الإدخال اليومي'!$L207:$AA207&gt;0)*('الإدخال اليومي'!$L$3:$AA$3&gt;=MAX(الإعدادات!$B$10+1,N(J233)))*('الإدخال اليومي'!$L$3:$AA$3&lt;=الإعدادات!$B$2)))</f>
        <v/>
      </c>
      <c r="L233" s="17" t="str">
        <f>IF($B233="","",MAX(0,الإعدادات!$B$10-IF(J233="",الإعدادات!$B$9,MAX(J233,الإعدادات!$B$9))+1-N('الإدخال اليومي'!G207))+SUMPRODUCT(('الإدخال اليومي'!$L207:$AA207&gt;0)*('الإدخال اليومي'!$L$3:$AA$3&gt;=MAX(الإعدادات!$B$10+1,N(J233)))*('الإدخال اليومي'!$L$3:$AA$3&lt;=الإعدادات!$B$2)))</f>
        <v/>
      </c>
      <c r="M233" s="19" t="str">
        <f>IF($B233="","",IF(C233="امازون","",(IFERROR(INDEX(الإعدادات!$B$19:$B$22,MATCH(C233,الإعدادات!$A$19:$A$22,0)),الإعدادات!$B$3)/الإعدادات!$B$4)*L233))</f>
        <v/>
      </c>
      <c r="N233" s="21" t="str">
        <f t="shared" si="7"/>
        <v/>
      </c>
      <c r="O233" s="19" t="str">
        <f>IF($B233="","",IF(OR(C233="امازون",L233=0),"",ROUND(F233/L233*الإعدادات!$B$4,0)))</f>
        <v/>
      </c>
      <c r="P233" s="22" t="str">
        <f>IF($B233="","",IF('الإدخال اليومي'!AF207="لا يعمل","مستبعد (ترك العمل)",IF('الإدخال اليومي'!AF207="اجازه","مستبعد (اجازة)",IF(C233="امازون","امازون (شحنات)",IF(L233=0,"مستبعد (لم يعمل)",IF(F233&gt;=M233,"حقق",IF(F233&gt;=M233*الإعدادات!$B$8,"قريب","بعيد")))))))</f>
        <v/>
      </c>
      <c r="Q233" s="16" t="str">
        <f>IF($B233="","",TRIM('الإدخال اليومي'!H207&amp;IF(N('الإدخال اليومي'!AC207)&gt;0," | + "&amp;'الإدخال اليومي'!AC207&amp;" طلب من "&amp;'الإدخال اليومي'!AB207&amp;" (محسوبة في الإجمالي)","")))</f>
        <v/>
      </c>
      <c r="R233" s="17">
        <f t="shared" si="8"/>
        <v>0</v>
      </c>
      <c r="S233" s="17" t="str">
        <f>IF($B233="","",IF('الإدخال اليومي'!AF207="","يعمل",'الإدخال اليومي'!AF207))</f>
        <v/>
      </c>
    </row>
    <row r="234" spans="1:19" x14ac:dyDescent="0.3">
      <c r="A234" s="15" t="str">
        <f>IF('الإدخال اليومي'!$B208="","",IF('الإدخال اليومي'!A208="","",'الإدخال اليومي'!A208))</f>
        <v/>
      </c>
      <c r="B234" s="16" t="str">
        <f>IF('الإدخال اليومي'!$B208="","",IF('الإدخال اليومي'!B208="","",'الإدخال اليومي'!B208))</f>
        <v/>
      </c>
      <c r="C234" s="17" t="str">
        <f>IF('الإدخال اليومي'!$B208="","",IF('الإدخال اليومي'!C208="","",'الإدخال اليومي'!C208))</f>
        <v/>
      </c>
      <c r="D234" s="17" t="str">
        <f>IF($B234="","",204)</f>
        <v/>
      </c>
      <c r="E234" s="17" t="str">
        <f>IF('الإدخال اليومي'!$B208="","",IF('الإدخال اليومي'!AD208="","",'الإدخال اليومي'!AD208))</f>
        <v/>
      </c>
      <c r="F234" s="18" t="str">
        <f>IF($B234="","",'الإدخال اليومي'!I208)</f>
        <v/>
      </c>
      <c r="G234" s="19" t="str">
        <f>IF($B234="","",IF(N('الإدخال اليومي'!AG208)=0,"",'الإدخال اليومي'!AG208))</f>
        <v/>
      </c>
      <c r="H234" s="17" t="str">
        <f>IF('الإدخال اليومي'!$B208="","",IF('الإدخال اليومي'!AE208="","",'الإدخال اليومي'!AE208))</f>
        <v/>
      </c>
      <c r="I234" s="17" t="str">
        <f>IF($B234="","",IFERROR(INDEX('الإدخال اليومي'!K208:AA208,MATCH(الإعدادات!$B$2,'الإدخال اليومي'!$K$3:$AA$3,0)),0))</f>
        <v/>
      </c>
      <c r="J234" s="20" t="str">
        <f>IF('الإدخال اليومي'!$B208="","",IF('الإدخال اليومي'!F208="","",'الإدخال اليومي'!F208))</f>
        <v/>
      </c>
      <c r="K234" s="17" t="str">
        <f>IF($B234="","",N('الإدخال اليومي'!G208)+MAX(0,الإعدادات!$B$2-MAX(الإعدادات!$B$10+1,N(J234))+1)-SUMPRODUCT(('الإدخال اليومي'!$L208:$AA208&gt;0)*('الإدخال اليومي'!$L$3:$AA$3&gt;=MAX(الإعدادات!$B$10+1,N(J234)))*('الإدخال اليومي'!$L$3:$AA$3&lt;=الإعدادات!$B$2)))</f>
        <v/>
      </c>
      <c r="L234" s="17" t="str">
        <f>IF($B234="","",MAX(0,الإعدادات!$B$10-IF(J234="",الإعدادات!$B$9,MAX(J234,الإعدادات!$B$9))+1-N('الإدخال اليومي'!G208))+SUMPRODUCT(('الإدخال اليومي'!$L208:$AA208&gt;0)*('الإدخال اليومي'!$L$3:$AA$3&gt;=MAX(الإعدادات!$B$10+1,N(J234)))*('الإدخال اليومي'!$L$3:$AA$3&lt;=الإعدادات!$B$2)))</f>
        <v/>
      </c>
      <c r="M234" s="19" t="str">
        <f>IF($B234="","",IF(C234="امازون","",(IFERROR(INDEX(الإعدادات!$B$19:$B$22,MATCH(C234,الإعدادات!$A$19:$A$22,0)),الإعدادات!$B$3)/الإعدادات!$B$4)*L234))</f>
        <v/>
      </c>
      <c r="N234" s="21" t="str">
        <f t="shared" si="7"/>
        <v/>
      </c>
      <c r="O234" s="19" t="str">
        <f>IF($B234="","",IF(OR(C234="امازون",L234=0),"",ROUND(F234/L234*الإعدادات!$B$4,0)))</f>
        <v/>
      </c>
      <c r="P234" s="22" t="str">
        <f>IF($B234="","",IF('الإدخال اليومي'!AF208="لا يعمل","مستبعد (ترك العمل)",IF('الإدخال اليومي'!AF208="اجازه","مستبعد (اجازة)",IF(C234="امازون","امازون (شحنات)",IF(L234=0,"مستبعد (لم يعمل)",IF(F234&gt;=M234,"حقق",IF(F234&gt;=M234*الإعدادات!$B$8,"قريب","بعيد")))))))</f>
        <v/>
      </c>
      <c r="Q234" s="16" t="str">
        <f>IF($B234="","",TRIM('الإدخال اليومي'!H208&amp;IF(N('الإدخال اليومي'!AC208)&gt;0," | + "&amp;'الإدخال اليومي'!AC208&amp;" طلب من "&amp;'الإدخال اليومي'!AB208&amp;" (محسوبة في الإجمالي)","")))</f>
        <v/>
      </c>
      <c r="R234" s="17">
        <f t="shared" si="8"/>
        <v>0</v>
      </c>
      <c r="S234" s="17" t="str">
        <f>IF($B234="","",IF('الإدخال اليومي'!AF208="","يعمل",'الإدخال اليومي'!AF208))</f>
        <v/>
      </c>
    </row>
    <row r="235" spans="1:19" x14ac:dyDescent="0.3">
      <c r="A235" s="15" t="str">
        <f>IF('الإدخال اليومي'!$B209="","",IF('الإدخال اليومي'!A209="","",'الإدخال اليومي'!A209))</f>
        <v/>
      </c>
      <c r="B235" s="16" t="str">
        <f>IF('الإدخال اليومي'!$B209="","",IF('الإدخال اليومي'!B209="","",'الإدخال اليومي'!B209))</f>
        <v/>
      </c>
      <c r="C235" s="17" t="str">
        <f>IF('الإدخال اليومي'!$B209="","",IF('الإدخال اليومي'!C209="","",'الإدخال اليومي'!C209))</f>
        <v/>
      </c>
      <c r="D235" s="17" t="str">
        <f>IF($B235="","",205)</f>
        <v/>
      </c>
      <c r="E235" s="17" t="str">
        <f>IF('الإدخال اليومي'!$B209="","",IF('الإدخال اليومي'!AD209="","",'الإدخال اليومي'!AD209))</f>
        <v/>
      </c>
      <c r="F235" s="18" t="str">
        <f>IF($B235="","",'الإدخال اليومي'!I209)</f>
        <v/>
      </c>
      <c r="G235" s="19" t="str">
        <f>IF($B235="","",IF(N('الإدخال اليومي'!AG209)=0,"",'الإدخال اليومي'!AG209))</f>
        <v/>
      </c>
      <c r="H235" s="17" t="str">
        <f>IF('الإدخال اليومي'!$B209="","",IF('الإدخال اليومي'!AE209="","",'الإدخال اليومي'!AE209))</f>
        <v/>
      </c>
      <c r="I235" s="17" t="str">
        <f>IF($B235="","",IFERROR(INDEX('الإدخال اليومي'!K209:AA209,MATCH(الإعدادات!$B$2,'الإدخال اليومي'!$K$3:$AA$3,0)),0))</f>
        <v/>
      </c>
      <c r="J235" s="20" t="str">
        <f>IF('الإدخال اليومي'!$B209="","",IF('الإدخال اليومي'!F209="","",'الإدخال اليومي'!F209))</f>
        <v/>
      </c>
      <c r="K235" s="17" t="str">
        <f>IF($B235="","",N('الإدخال اليومي'!G209)+MAX(0,الإعدادات!$B$2-MAX(الإعدادات!$B$10+1,N(J235))+1)-SUMPRODUCT(('الإدخال اليومي'!$L209:$AA209&gt;0)*('الإدخال اليومي'!$L$3:$AA$3&gt;=MAX(الإعدادات!$B$10+1,N(J235)))*('الإدخال اليومي'!$L$3:$AA$3&lt;=الإعدادات!$B$2)))</f>
        <v/>
      </c>
      <c r="L235" s="17" t="str">
        <f>IF($B235="","",MAX(0,الإعدادات!$B$10-IF(J235="",الإعدادات!$B$9,MAX(J235,الإعدادات!$B$9))+1-N('الإدخال اليومي'!G209))+SUMPRODUCT(('الإدخال اليومي'!$L209:$AA209&gt;0)*('الإدخال اليومي'!$L$3:$AA$3&gt;=MAX(الإعدادات!$B$10+1,N(J235)))*('الإدخال اليومي'!$L$3:$AA$3&lt;=الإعدادات!$B$2)))</f>
        <v/>
      </c>
      <c r="M235" s="19" t="str">
        <f>IF($B235="","",IF(C235="امازون","",(IFERROR(INDEX(الإعدادات!$B$19:$B$22,MATCH(C235,الإعدادات!$A$19:$A$22,0)),الإعدادات!$B$3)/الإعدادات!$B$4)*L235))</f>
        <v/>
      </c>
      <c r="N235" s="21" t="str">
        <f t="shared" si="7"/>
        <v/>
      </c>
      <c r="O235" s="19" t="str">
        <f>IF($B235="","",IF(OR(C235="امازون",L235=0),"",ROUND(F235/L235*الإعدادات!$B$4,0)))</f>
        <v/>
      </c>
      <c r="P235" s="22" t="str">
        <f>IF($B235="","",IF('الإدخال اليومي'!AF209="لا يعمل","مستبعد (ترك العمل)",IF('الإدخال اليومي'!AF209="اجازه","مستبعد (اجازة)",IF(C235="امازون","امازون (شحنات)",IF(L235=0,"مستبعد (لم يعمل)",IF(F235&gt;=M235,"حقق",IF(F235&gt;=M235*الإعدادات!$B$8,"قريب","بعيد")))))))</f>
        <v/>
      </c>
      <c r="Q235" s="16" t="str">
        <f>IF($B235="","",TRIM('الإدخال اليومي'!H209&amp;IF(N('الإدخال اليومي'!AC209)&gt;0," | + "&amp;'الإدخال اليومي'!AC209&amp;" طلب من "&amp;'الإدخال اليومي'!AB209&amp;" (محسوبة في الإجمالي)","")))</f>
        <v/>
      </c>
      <c r="R235" s="17">
        <f t="shared" si="8"/>
        <v>0</v>
      </c>
      <c r="S235" s="17" t="str">
        <f>IF($B235="","",IF('الإدخال اليومي'!AF209="","يعمل",'الإدخال اليومي'!AF209))</f>
        <v/>
      </c>
    </row>
    <row r="236" spans="1:19" x14ac:dyDescent="0.3">
      <c r="A236" s="15" t="str">
        <f>IF('الإدخال اليومي'!$B210="","",IF('الإدخال اليومي'!A210="","",'الإدخال اليومي'!A210))</f>
        <v/>
      </c>
      <c r="B236" s="16" t="str">
        <f>IF('الإدخال اليومي'!$B210="","",IF('الإدخال اليومي'!B210="","",'الإدخال اليومي'!B210))</f>
        <v/>
      </c>
      <c r="C236" s="17" t="str">
        <f>IF('الإدخال اليومي'!$B210="","",IF('الإدخال اليومي'!C210="","",'الإدخال اليومي'!C210))</f>
        <v/>
      </c>
      <c r="D236" s="17" t="str">
        <f>IF($B236="","",206)</f>
        <v/>
      </c>
      <c r="E236" s="17" t="str">
        <f>IF('الإدخال اليومي'!$B210="","",IF('الإدخال اليومي'!AD210="","",'الإدخال اليومي'!AD210))</f>
        <v/>
      </c>
      <c r="F236" s="18" t="str">
        <f>IF($B236="","",'الإدخال اليومي'!I210)</f>
        <v/>
      </c>
      <c r="G236" s="19" t="str">
        <f>IF($B236="","",IF(N('الإدخال اليومي'!AG210)=0,"",'الإدخال اليومي'!AG210))</f>
        <v/>
      </c>
      <c r="H236" s="17" t="str">
        <f>IF('الإدخال اليومي'!$B210="","",IF('الإدخال اليومي'!AE210="","",'الإدخال اليومي'!AE210))</f>
        <v/>
      </c>
      <c r="I236" s="17" t="str">
        <f>IF($B236="","",IFERROR(INDEX('الإدخال اليومي'!K210:AA210,MATCH(الإعدادات!$B$2,'الإدخال اليومي'!$K$3:$AA$3,0)),0))</f>
        <v/>
      </c>
      <c r="J236" s="20" t="str">
        <f>IF('الإدخال اليومي'!$B210="","",IF('الإدخال اليومي'!F210="","",'الإدخال اليومي'!F210))</f>
        <v/>
      </c>
      <c r="K236" s="17" t="str">
        <f>IF($B236="","",N('الإدخال اليومي'!G210)+MAX(0,الإعدادات!$B$2-MAX(الإعدادات!$B$10+1,N(J236))+1)-SUMPRODUCT(('الإدخال اليومي'!$L210:$AA210&gt;0)*('الإدخال اليومي'!$L$3:$AA$3&gt;=MAX(الإعدادات!$B$10+1,N(J236)))*('الإدخال اليومي'!$L$3:$AA$3&lt;=الإعدادات!$B$2)))</f>
        <v/>
      </c>
      <c r="L236" s="17" t="str">
        <f>IF($B236="","",MAX(0,الإعدادات!$B$10-IF(J236="",الإعدادات!$B$9,MAX(J236,الإعدادات!$B$9))+1-N('الإدخال اليومي'!G210))+SUMPRODUCT(('الإدخال اليومي'!$L210:$AA210&gt;0)*('الإدخال اليومي'!$L$3:$AA$3&gt;=MAX(الإعدادات!$B$10+1,N(J236)))*('الإدخال اليومي'!$L$3:$AA$3&lt;=الإعدادات!$B$2)))</f>
        <v/>
      </c>
      <c r="M236" s="19" t="str">
        <f>IF($B236="","",IF(C236="امازون","",(IFERROR(INDEX(الإعدادات!$B$19:$B$22,MATCH(C236,الإعدادات!$A$19:$A$22,0)),الإعدادات!$B$3)/الإعدادات!$B$4)*L236))</f>
        <v/>
      </c>
      <c r="N236" s="21" t="str">
        <f t="shared" si="7"/>
        <v/>
      </c>
      <c r="O236" s="19" t="str">
        <f>IF($B236="","",IF(OR(C236="امازون",L236=0),"",ROUND(F236/L236*الإعدادات!$B$4,0)))</f>
        <v/>
      </c>
      <c r="P236" s="22" t="str">
        <f>IF($B236="","",IF('الإدخال اليومي'!AF210="لا يعمل","مستبعد (ترك العمل)",IF('الإدخال اليومي'!AF210="اجازه","مستبعد (اجازة)",IF(C236="امازون","امازون (شحنات)",IF(L236=0,"مستبعد (لم يعمل)",IF(F236&gt;=M236,"حقق",IF(F236&gt;=M236*الإعدادات!$B$8,"قريب","بعيد")))))))</f>
        <v/>
      </c>
      <c r="Q236" s="16" t="str">
        <f>IF($B236="","",TRIM('الإدخال اليومي'!H210&amp;IF(N('الإدخال اليومي'!AC210)&gt;0," | + "&amp;'الإدخال اليومي'!AC210&amp;" طلب من "&amp;'الإدخال اليومي'!AB210&amp;" (محسوبة في الإجمالي)","")))</f>
        <v/>
      </c>
      <c r="R236" s="17">
        <f t="shared" si="8"/>
        <v>0</v>
      </c>
      <c r="S236" s="17" t="str">
        <f>IF($B236="","",IF('الإدخال اليومي'!AF210="","يعمل",'الإدخال اليومي'!AF210))</f>
        <v/>
      </c>
    </row>
    <row r="237" spans="1:19" x14ac:dyDescent="0.3">
      <c r="A237" s="15" t="str">
        <f>IF('الإدخال اليومي'!$B211="","",IF('الإدخال اليومي'!A211="","",'الإدخال اليومي'!A211))</f>
        <v/>
      </c>
      <c r="B237" s="16" t="str">
        <f>IF('الإدخال اليومي'!$B211="","",IF('الإدخال اليومي'!B211="","",'الإدخال اليومي'!B211))</f>
        <v/>
      </c>
      <c r="C237" s="17" t="str">
        <f>IF('الإدخال اليومي'!$B211="","",IF('الإدخال اليومي'!C211="","",'الإدخال اليومي'!C211))</f>
        <v/>
      </c>
      <c r="D237" s="17" t="str">
        <f>IF($B237="","",207)</f>
        <v/>
      </c>
      <c r="E237" s="17" t="str">
        <f>IF('الإدخال اليومي'!$B211="","",IF('الإدخال اليومي'!AD211="","",'الإدخال اليومي'!AD211))</f>
        <v/>
      </c>
      <c r="F237" s="18" t="str">
        <f>IF($B237="","",'الإدخال اليومي'!I211)</f>
        <v/>
      </c>
      <c r="G237" s="19" t="str">
        <f>IF($B237="","",IF(N('الإدخال اليومي'!AG211)=0,"",'الإدخال اليومي'!AG211))</f>
        <v/>
      </c>
      <c r="H237" s="17" t="str">
        <f>IF('الإدخال اليومي'!$B211="","",IF('الإدخال اليومي'!AE211="","",'الإدخال اليومي'!AE211))</f>
        <v/>
      </c>
      <c r="I237" s="17" t="str">
        <f>IF($B237="","",IFERROR(INDEX('الإدخال اليومي'!K211:AA211,MATCH(الإعدادات!$B$2,'الإدخال اليومي'!$K$3:$AA$3,0)),0))</f>
        <v/>
      </c>
      <c r="J237" s="20" t="str">
        <f>IF('الإدخال اليومي'!$B211="","",IF('الإدخال اليومي'!F211="","",'الإدخال اليومي'!F211))</f>
        <v/>
      </c>
      <c r="K237" s="17" t="str">
        <f>IF($B237="","",N('الإدخال اليومي'!G211)+MAX(0,الإعدادات!$B$2-MAX(الإعدادات!$B$10+1,N(J237))+1)-SUMPRODUCT(('الإدخال اليومي'!$L211:$AA211&gt;0)*('الإدخال اليومي'!$L$3:$AA$3&gt;=MAX(الإعدادات!$B$10+1,N(J237)))*('الإدخال اليومي'!$L$3:$AA$3&lt;=الإعدادات!$B$2)))</f>
        <v/>
      </c>
      <c r="L237" s="17" t="str">
        <f>IF($B237="","",MAX(0,الإعدادات!$B$10-IF(J237="",الإعدادات!$B$9,MAX(J237,الإعدادات!$B$9))+1-N('الإدخال اليومي'!G211))+SUMPRODUCT(('الإدخال اليومي'!$L211:$AA211&gt;0)*('الإدخال اليومي'!$L$3:$AA$3&gt;=MAX(الإعدادات!$B$10+1,N(J237)))*('الإدخال اليومي'!$L$3:$AA$3&lt;=الإعدادات!$B$2)))</f>
        <v/>
      </c>
      <c r="M237" s="19" t="str">
        <f>IF($B237="","",IF(C237="امازون","",(IFERROR(INDEX(الإعدادات!$B$19:$B$22,MATCH(C237,الإعدادات!$A$19:$A$22,0)),الإعدادات!$B$3)/الإعدادات!$B$4)*L237))</f>
        <v/>
      </c>
      <c r="N237" s="21" t="str">
        <f t="shared" si="7"/>
        <v/>
      </c>
      <c r="O237" s="19" t="str">
        <f>IF($B237="","",IF(OR(C237="امازون",L237=0),"",ROUND(F237/L237*الإعدادات!$B$4,0)))</f>
        <v/>
      </c>
      <c r="P237" s="22" t="str">
        <f>IF($B237="","",IF('الإدخال اليومي'!AF211="لا يعمل","مستبعد (ترك العمل)",IF('الإدخال اليومي'!AF211="اجازه","مستبعد (اجازة)",IF(C237="امازون","امازون (شحنات)",IF(L237=0,"مستبعد (لم يعمل)",IF(F237&gt;=M237,"حقق",IF(F237&gt;=M237*الإعدادات!$B$8,"قريب","بعيد")))))))</f>
        <v/>
      </c>
      <c r="Q237" s="16" t="str">
        <f>IF($B237="","",TRIM('الإدخال اليومي'!H211&amp;IF(N('الإدخال اليومي'!AC211)&gt;0," | + "&amp;'الإدخال اليومي'!AC211&amp;" طلب من "&amp;'الإدخال اليومي'!AB211&amp;" (محسوبة في الإجمالي)","")))</f>
        <v/>
      </c>
      <c r="R237" s="17">
        <f t="shared" si="8"/>
        <v>0</v>
      </c>
      <c r="S237" s="17" t="str">
        <f>IF($B237="","",IF('الإدخال اليومي'!AF211="","يعمل",'الإدخال اليومي'!AF211))</f>
        <v/>
      </c>
    </row>
    <row r="238" spans="1:19" x14ac:dyDescent="0.3">
      <c r="A238" s="15" t="str">
        <f>IF('الإدخال اليومي'!$B212="","",IF('الإدخال اليومي'!A212="","",'الإدخال اليومي'!A212))</f>
        <v/>
      </c>
      <c r="B238" s="16" t="str">
        <f>IF('الإدخال اليومي'!$B212="","",IF('الإدخال اليومي'!B212="","",'الإدخال اليومي'!B212))</f>
        <v/>
      </c>
      <c r="C238" s="17" t="str">
        <f>IF('الإدخال اليومي'!$B212="","",IF('الإدخال اليومي'!C212="","",'الإدخال اليومي'!C212))</f>
        <v/>
      </c>
      <c r="D238" s="17" t="str">
        <f>IF($B238="","",208)</f>
        <v/>
      </c>
      <c r="E238" s="17" t="str">
        <f>IF('الإدخال اليومي'!$B212="","",IF('الإدخال اليومي'!AD212="","",'الإدخال اليومي'!AD212))</f>
        <v/>
      </c>
      <c r="F238" s="18" t="str">
        <f>IF($B238="","",'الإدخال اليومي'!I212)</f>
        <v/>
      </c>
      <c r="G238" s="19" t="str">
        <f>IF($B238="","",IF(N('الإدخال اليومي'!AG212)=0,"",'الإدخال اليومي'!AG212))</f>
        <v/>
      </c>
      <c r="H238" s="17" t="str">
        <f>IF('الإدخال اليومي'!$B212="","",IF('الإدخال اليومي'!AE212="","",'الإدخال اليومي'!AE212))</f>
        <v/>
      </c>
      <c r="I238" s="17" t="str">
        <f>IF($B238="","",IFERROR(INDEX('الإدخال اليومي'!K212:AA212,MATCH(الإعدادات!$B$2,'الإدخال اليومي'!$K$3:$AA$3,0)),0))</f>
        <v/>
      </c>
      <c r="J238" s="20" t="str">
        <f>IF('الإدخال اليومي'!$B212="","",IF('الإدخال اليومي'!F212="","",'الإدخال اليومي'!F212))</f>
        <v/>
      </c>
      <c r="K238" s="17" t="str">
        <f>IF($B238="","",N('الإدخال اليومي'!G212)+MAX(0,الإعدادات!$B$2-MAX(الإعدادات!$B$10+1,N(J238))+1)-SUMPRODUCT(('الإدخال اليومي'!$L212:$AA212&gt;0)*('الإدخال اليومي'!$L$3:$AA$3&gt;=MAX(الإعدادات!$B$10+1,N(J238)))*('الإدخال اليومي'!$L$3:$AA$3&lt;=الإعدادات!$B$2)))</f>
        <v/>
      </c>
      <c r="L238" s="17" t="str">
        <f>IF($B238="","",MAX(0,الإعدادات!$B$10-IF(J238="",الإعدادات!$B$9,MAX(J238,الإعدادات!$B$9))+1-N('الإدخال اليومي'!G212))+SUMPRODUCT(('الإدخال اليومي'!$L212:$AA212&gt;0)*('الإدخال اليومي'!$L$3:$AA$3&gt;=MAX(الإعدادات!$B$10+1,N(J238)))*('الإدخال اليومي'!$L$3:$AA$3&lt;=الإعدادات!$B$2)))</f>
        <v/>
      </c>
      <c r="M238" s="19" t="str">
        <f>IF($B238="","",IF(C238="امازون","",(IFERROR(INDEX(الإعدادات!$B$19:$B$22,MATCH(C238,الإعدادات!$A$19:$A$22,0)),الإعدادات!$B$3)/الإعدادات!$B$4)*L238))</f>
        <v/>
      </c>
      <c r="N238" s="21" t="str">
        <f t="shared" si="7"/>
        <v/>
      </c>
      <c r="O238" s="19" t="str">
        <f>IF($B238="","",IF(OR(C238="امازون",L238=0),"",ROUND(F238/L238*الإعدادات!$B$4,0)))</f>
        <v/>
      </c>
      <c r="P238" s="22" t="str">
        <f>IF($B238="","",IF('الإدخال اليومي'!AF212="لا يعمل","مستبعد (ترك العمل)",IF('الإدخال اليومي'!AF212="اجازه","مستبعد (اجازة)",IF(C238="امازون","امازون (شحنات)",IF(L238=0,"مستبعد (لم يعمل)",IF(F238&gt;=M238,"حقق",IF(F238&gt;=M238*الإعدادات!$B$8,"قريب","بعيد")))))))</f>
        <v/>
      </c>
      <c r="Q238" s="16" t="str">
        <f>IF($B238="","",TRIM('الإدخال اليومي'!H212&amp;IF(N('الإدخال اليومي'!AC212)&gt;0," | + "&amp;'الإدخال اليومي'!AC212&amp;" طلب من "&amp;'الإدخال اليومي'!AB212&amp;" (محسوبة في الإجمالي)","")))</f>
        <v/>
      </c>
      <c r="R238" s="17">
        <f t="shared" si="8"/>
        <v>0</v>
      </c>
      <c r="S238" s="17" t="str">
        <f>IF($B238="","",IF('الإدخال اليومي'!AF212="","يعمل",'الإدخال اليومي'!AF212))</f>
        <v/>
      </c>
    </row>
    <row r="239" spans="1:19" x14ac:dyDescent="0.3">
      <c r="A239" s="15" t="str">
        <f>IF('الإدخال اليومي'!$B213="","",IF('الإدخال اليومي'!A213="","",'الإدخال اليومي'!A213))</f>
        <v/>
      </c>
      <c r="B239" s="16" t="str">
        <f>IF('الإدخال اليومي'!$B213="","",IF('الإدخال اليومي'!B213="","",'الإدخال اليومي'!B213))</f>
        <v/>
      </c>
      <c r="C239" s="17" t="str">
        <f>IF('الإدخال اليومي'!$B213="","",IF('الإدخال اليومي'!C213="","",'الإدخال اليومي'!C213))</f>
        <v/>
      </c>
      <c r="D239" s="17" t="str">
        <f>IF($B239="","",209)</f>
        <v/>
      </c>
      <c r="E239" s="17" t="str">
        <f>IF('الإدخال اليومي'!$B213="","",IF('الإدخال اليومي'!AD213="","",'الإدخال اليومي'!AD213))</f>
        <v/>
      </c>
      <c r="F239" s="18" t="str">
        <f>IF($B239="","",'الإدخال اليومي'!I213)</f>
        <v/>
      </c>
      <c r="G239" s="19" t="str">
        <f>IF($B239="","",IF(N('الإدخال اليومي'!AG213)=0,"",'الإدخال اليومي'!AG213))</f>
        <v/>
      </c>
      <c r="H239" s="17" t="str">
        <f>IF('الإدخال اليومي'!$B213="","",IF('الإدخال اليومي'!AE213="","",'الإدخال اليومي'!AE213))</f>
        <v/>
      </c>
      <c r="I239" s="17" t="str">
        <f>IF($B239="","",IFERROR(INDEX('الإدخال اليومي'!K213:AA213,MATCH(الإعدادات!$B$2,'الإدخال اليومي'!$K$3:$AA$3,0)),0))</f>
        <v/>
      </c>
      <c r="J239" s="20" t="str">
        <f>IF('الإدخال اليومي'!$B213="","",IF('الإدخال اليومي'!F213="","",'الإدخال اليومي'!F213))</f>
        <v/>
      </c>
      <c r="K239" s="17" t="str">
        <f>IF($B239="","",N('الإدخال اليومي'!G213)+MAX(0,الإعدادات!$B$2-MAX(الإعدادات!$B$10+1,N(J239))+1)-SUMPRODUCT(('الإدخال اليومي'!$L213:$AA213&gt;0)*('الإدخال اليومي'!$L$3:$AA$3&gt;=MAX(الإعدادات!$B$10+1,N(J239)))*('الإدخال اليومي'!$L$3:$AA$3&lt;=الإعدادات!$B$2)))</f>
        <v/>
      </c>
      <c r="L239" s="17" t="str">
        <f>IF($B239="","",MAX(0,الإعدادات!$B$10-IF(J239="",الإعدادات!$B$9,MAX(J239,الإعدادات!$B$9))+1-N('الإدخال اليومي'!G213))+SUMPRODUCT(('الإدخال اليومي'!$L213:$AA213&gt;0)*('الإدخال اليومي'!$L$3:$AA$3&gt;=MAX(الإعدادات!$B$10+1,N(J239)))*('الإدخال اليومي'!$L$3:$AA$3&lt;=الإعدادات!$B$2)))</f>
        <v/>
      </c>
      <c r="M239" s="19" t="str">
        <f>IF($B239="","",IF(C239="امازون","",(IFERROR(INDEX(الإعدادات!$B$19:$B$22,MATCH(C239,الإعدادات!$A$19:$A$22,0)),الإعدادات!$B$3)/الإعدادات!$B$4)*L239))</f>
        <v/>
      </c>
      <c r="N239" s="21" t="str">
        <f t="shared" si="7"/>
        <v/>
      </c>
      <c r="O239" s="19" t="str">
        <f>IF($B239="","",IF(OR(C239="امازون",L239=0),"",ROUND(F239/L239*الإعدادات!$B$4,0)))</f>
        <v/>
      </c>
      <c r="P239" s="22" t="str">
        <f>IF($B239="","",IF('الإدخال اليومي'!AF213="لا يعمل","مستبعد (ترك العمل)",IF('الإدخال اليومي'!AF213="اجازه","مستبعد (اجازة)",IF(C239="امازون","امازون (شحنات)",IF(L239=0,"مستبعد (لم يعمل)",IF(F239&gt;=M239,"حقق",IF(F239&gt;=M239*الإعدادات!$B$8,"قريب","بعيد")))))))</f>
        <v/>
      </c>
      <c r="Q239" s="16" t="str">
        <f>IF($B239="","",TRIM('الإدخال اليومي'!H213&amp;IF(N('الإدخال اليومي'!AC213)&gt;0," | + "&amp;'الإدخال اليومي'!AC213&amp;" طلب من "&amp;'الإدخال اليومي'!AB213&amp;" (محسوبة في الإجمالي)","")))</f>
        <v/>
      </c>
      <c r="R239" s="17">
        <f t="shared" si="8"/>
        <v>0</v>
      </c>
      <c r="S239" s="17" t="str">
        <f>IF($B239="","",IF('الإدخال اليومي'!AF213="","يعمل",'الإدخال اليومي'!AF213))</f>
        <v/>
      </c>
    </row>
    <row r="240" spans="1:19" x14ac:dyDescent="0.3">
      <c r="A240" s="15" t="str">
        <f>IF('الإدخال اليومي'!$B214="","",IF('الإدخال اليومي'!A214="","",'الإدخال اليومي'!A214))</f>
        <v/>
      </c>
      <c r="B240" s="16" t="str">
        <f>IF('الإدخال اليومي'!$B214="","",IF('الإدخال اليومي'!B214="","",'الإدخال اليومي'!B214))</f>
        <v/>
      </c>
      <c r="C240" s="17" t="str">
        <f>IF('الإدخال اليومي'!$B214="","",IF('الإدخال اليومي'!C214="","",'الإدخال اليومي'!C214))</f>
        <v/>
      </c>
      <c r="D240" s="17" t="str">
        <f>IF($B240="","",210)</f>
        <v/>
      </c>
      <c r="E240" s="17" t="str">
        <f>IF('الإدخال اليومي'!$B214="","",IF('الإدخال اليومي'!AD214="","",'الإدخال اليومي'!AD214))</f>
        <v/>
      </c>
      <c r="F240" s="18" t="str">
        <f>IF($B240="","",'الإدخال اليومي'!I214)</f>
        <v/>
      </c>
      <c r="G240" s="19" t="str">
        <f>IF($B240="","",IF(N('الإدخال اليومي'!AG214)=0,"",'الإدخال اليومي'!AG214))</f>
        <v/>
      </c>
      <c r="H240" s="17" t="str">
        <f>IF('الإدخال اليومي'!$B214="","",IF('الإدخال اليومي'!AE214="","",'الإدخال اليومي'!AE214))</f>
        <v/>
      </c>
      <c r="I240" s="17" t="str">
        <f>IF($B240="","",IFERROR(INDEX('الإدخال اليومي'!K214:AA214,MATCH(الإعدادات!$B$2,'الإدخال اليومي'!$K$3:$AA$3,0)),0))</f>
        <v/>
      </c>
      <c r="J240" s="20" t="str">
        <f>IF('الإدخال اليومي'!$B214="","",IF('الإدخال اليومي'!F214="","",'الإدخال اليومي'!F214))</f>
        <v/>
      </c>
      <c r="K240" s="17" t="str">
        <f>IF($B240="","",N('الإدخال اليومي'!G214)+MAX(0,الإعدادات!$B$2-MAX(الإعدادات!$B$10+1,N(J240))+1)-SUMPRODUCT(('الإدخال اليومي'!$L214:$AA214&gt;0)*('الإدخال اليومي'!$L$3:$AA$3&gt;=MAX(الإعدادات!$B$10+1,N(J240)))*('الإدخال اليومي'!$L$3:$AA$3&lt;=الإعدادات!$B$2)))</f>
        <v/>
      </c>
      <c r="L240" s="17" t="str">
        <f>IF($B240="","",MAX(0,الإعدادات!$B$10-IF(J240="",الإعدادات!$B$9,MAX(J240,الإعدادات!$B$9))+1-N('الإدخال اليومي'!G214))+SUMPRODUCT(('الإدخال اليومي'!$L214:$AA214&gt;0)*('الإدخال اليومي'!$L$3:$AA$3&gt;=MAX(الإعدادات!$B$10+1,N(J240)))*('الإدخال اليومي'!$L$3:$AA$3&lt;=الإعدادات!$B$2)))</f>
        <v/>
      </c>
      <c r="M240" s="19" t="str">
        <f>IF($B240="","",IF(C240="امازون","",(IFERROR(INDEX(الإعدادات!$B$19:$B$22,MATCH(C240,الإعدادات!$A$19:$A$22,0)),الإعدادات!$B$3)/الإعدادات!$B$4)*L240))</f>
        <v/>
      </c>
      <c r="N240" s="21" t="str">
        <f t="shared" si="7"/>
        <v/>
      </c>
      <c r="O240" s="19" t="str">
        <f>IF($B240="","",IF(OR(C240="امازون",L240=0),"",ROUND(F240/L240*الإعدادات!$B$4,0)))</f>
        <v/>
      </c>
      <c r="P240" s="22" t="str">
        <f>IF($B240="","",IF('الإدخال اليومي'!AF214="لا يعمل","مستبعد (ترك العمل)",IF('الإدخال اليومي'!AF214="اجازه","مستبعد (اجازة)",IF(C240="امازون","امازون (شحنات)",IF(L240=0,"مستبعد (لم يعمل)",IF(F240&gt;=M240,"حقق",IF(F240&gt;=M240*الإعدادات!$B$8,"قريب","بعيد")))))))</f>
        <v/>
      </c>
      <c r="Q240" s="16" t="str">
        <f>IF($B240="","",TRIM('الإدخال اليومي'!H214&amp;IF(N('الإدخال اليومي'!AC214)&gt;0," | + "&amp;'الإدخال اليومي'!AC214&amp;" طلب من "&amp;'الإدخال اليومي'!AB214&amp;" (محسوبة في الإجمالي)","")))</f>
        <v/>
      </c>
      <c r="R240" s="17">
        <f t="shared" si="8"/>
        <v>0</v>
      </c>
      <c r="S240" s="17" t="str">
        <f>IF($B240="","",IF('الإدخال اليومي'!AF214="","يعمل",'الإدخال اليومي'!AF214))</f>
        <v/>
      </c>
    </row>
    <row r="241" spans="1:19" x14ac:dyDescent="0.3">
      <c r="A241" s="15" t="str">
        <f>IF('الإدخال اليومي'!$B215="","",IF('الإدخال اليومي'!A215="","",'الإدخال اليومي'!A215))</f>
        <v/>
      </c>
      <c r="B241" s="16" t="str">
        <f>IF('الإدخال اليومي'!$B215="","",IF('الإدخال اليومي'!B215="","",'الإدخال اليومي'!B215))</f>
        <v/>
      </c>
      <c r="C241" s="17" t="str">
        <f>IF('الإدخال اليومي'!$B215="","",IF('الإدخال اليومي'!C215="","",'الإدخال اليومي'!C215))</f>
        <v/>
      </c>
      <c r="D241" s="17" t="str">
        <f>IF($B241="","",211)</f>
        <v/>
      </c>
      <c r="E241" s="17" t="str">
        <f>IF('الإدخال اليومي'!$B215="","",IF('الإدخال اليومي'!AD215="","",'الإدخال اليومي'!AD215))</f>
        <v/>
      </c>
      <c r="F241" s="18" t="str">
        <f>IF($B241="","",'الإدخال اليومي'!I215)</f>
        <v/>
      </c>
      <c r="G241" s="19" t="str">
        <f>IF($B241="","",IF(N('الإدخال اليومي'!AG215)=0,"",'الإدخال اليومي'!AG215))</f>
        <v/>
      </c>
      <c r="H241" s="17" t="str">
        <f>IF('الإدخال اليومي'!$B215="","",IF('الإدخال اليومي'!AE215="","",'الإدخال اليومي'!AE215))</f>
        <v/>
      </c>
      <c r="I241" s="17" t="str">
        <f>IF($B241="","",IFERROR(INDEX('الإدخال اليومي'!K215:AA215,MATCH(الإعدادات!$B$2,'الإدخال اليومي'!$K$3:$AA$3,0)),0))</f>
        <v/>
      </c>
      <c r="J241" s="20" t="str">
        <f>IF('الإدخال اليومي'!$B215="","",IF('الإدخال اليومي'!F215="","",'الإدخال اليومي'!F215))</f>
        <v/>
      </c>
      <c r="K241" s="17" t="str">
        <f>IF($B241="","",N('الإدخال اليومي'!G215)+MAX(0,الإعدادات!$B$2-MAX(الإعدادات!$B$10+1,N(J241))+1)-SUMPRODUCT(('الإدخال اليومي'!$L215:$AA215&gt;0)*('الإدخال اليومي'!$L$3:$AA$3&gt;=MAX(الإعدادات!$B$10+1,N(J241)))*('الإدخال اليومي'!$L$3:$AA$3&lt;=الإعدادات!$B$2)))</f>
        <v/>
      </c>
      <c r="L241" s="17" t="str">
        <f>IF($B241="","",MAX(0,الإعدادات!$B$10-IF(J241="",الإعدادات!$B$9,MAX(J241,الإعدادات!$B$9))+1-N('الإدخال اليومي'!G215))+SUMPRODUCT(('الإدخال اليومي'!$L215:$AA215&gt;0)*('الإدخال اليومي'!$L$3:$AA$3&gt;=MAX(الإعدادات!$B$10+1,N(J241)))*('الإدخال اليومي'!$L$3:$AA$3&lt;=الإعدادات!$B$2)))</f>
        <v/>
      </c>
      <c r="M241" s="19" t="str">
        <f>IF($B241="","",IF(C241="امازون","",(IFERROR(INDEX(الإعدادات!$B$19:$B$22,MATCH(C241,الإعدادات!$A$19:$A$22,0)),الإعدادات!$B$3)/الإعدادات!$B$4)*L241))</f>
        <v/>
      </c>
      <c r="N241" s="21" t="str">
        <f t="shared" si="7"/>
        <v/>
      </c>
      <c r="O241" s="19" t="str">
        <f>IF($B241="","",IF(OR(C241="امازون",L241=0),"",ROUND(F241/L241*الإعدادات!$B$4,0)))</f>
        <v/>
      </c>
      <c r="P241" s="22" t="str">
        <f>IF($B241="","",IF('الإدخال اليومي'!AF215="لا يعمل","مستبعد (ترك العمل)",IF('الإدخال اليومي'!AF215="اجازه","مستبعد (اجازة)",IF(C241="امازون","امازون (شحنات)",IF(L241=0,"مستبعد (لم يعمل)",IF(F241&gt;=M241,"حقق",IF(F241&gt;=M241*الإعدادات!$B$8,"قريب","بعيد")))))))</f>
        <v/>
      </c>
      <c r="Q241" s="16" t="str">
        <f>IF($B241="","",TRIM('الإدخال اليومي'!H215&amp;IF(N('الإدخال اليومي'!AC215)&gt;0," | + "&amp;'الإدخال اليومي'!AC215&amp;" طلب من "&amp;'الإدخال اليومي'!AB215&amp;" (محسوبة في الإجمالي)","")))</f>
        <v/>
      </c>
      <c r="R241" s="17">
        <f t="shared" si="8"/>
        <v>0</v>
      </c>
      <c r="S241" s="17" t="str">
        <f>IF($B241="","",IF('الإدخال اليومي'!AF215="","يعمل",'الإدخال اليومي'!AF215))</f>
        <v/>
      </c>
    </row>
    <row r="242" spans="1:19" x14ac:dyDescent="0.3">
      <c r="A242" s="15" t="str">
        <f>IF('الإدخال اليومي'!$B216="","",IF('الإدخال اليومي'!A216="","",'الإدخال اليومي'!A216))</f>
        <v/>
      </c>
      <c r="B242" s="16" t="str">
        <f>IF('الإدخال اليومي'!$B216="","",IF('الإدخال اليومي'!B216="","",'الإدخال اليومي'!B216))</f>
        <v/>
      </c>
      <c r="C242" s="17" t="str">
        <f>IF('الإدخال اليومي'!$B216="","",IF('الإدخال اليومي'!C216="","",'الإدخال اليومي'!C216))</f>
        <v/>
      </c>
      <c r="D242" s="17" t="str">
        <f>IF($B242="","",212)</f>
        <v/>
      </c>
      <c r="E242" s="17" t="str">
        <f>IF('الإدخال اليومي'!$B216="","",IF('الإدخال اليومي'!AD216="","",'الإدخال اليومي'!AD216))</f>
        <v/>
      </c>
      <c r="F242" s="18" t="str">
        <f>IF($B242="","",'الإدخال اليومي'!I216)</f>
        <v/>
      </c>
      <c r="G242" s="19" t="str">
        <f>IF($B242="","",IF(N('الإدخال اليومي'!AG216)=0,"",'الإدخال اليومي'!AG216))</f>
        <v/>
      </c>
      <c r="H242" s="17" t="str">
        <f>IF('الإدخال اليومي'!$B216="","",IF('الإدخال اليومي'!AE216="","",'الإدخال اليومي'!AE216))</f>
        <v/>
      </c>
      <c r="I242" s="17" t="str">
        <f>IF($B242="","",IFERROR(INDEX('الإدخال اليومي'!K216:AA216,MATCH(الإعدادات!$B$2,'الإدخال اليومي'!$K$3:$AA$3,0)),0))</f>
        <v/>
      </c>
      <c r="J242" s="20" t="str">
        <f>IF('الإدخال اليومي'!$B216="","",IF('الإدخال اليومي'!F216="","",'الإدخال اليومي'!F216))</f>
        <v/>
      </c>
      <c r="K242" s="17" t="str">
        <f>IF($B242="","",N('الإدخال اليومي'!G216)+MAX(0,الإعدادات!$B$2-MAX(الإعدادات!$B$10+1,N(J242))+1)-SUMPRODUCT(('الإدخال اليومي'!$L216:$AA216&gt;0)*('الإدخال اليومي'!$L$3:$AA$3&gt;=MAX(الإعدادات!$B$10+1,N(J242)))*('الإدخال اليومي'!$L$3:$AA$3&lt;=الإعدادات!$B$2)))</f>
        <v/>
      </c>
      <c r="L242" s="17" t="str">
        <f>IF($B242="","",MAX(0,الإعدادات!$B$10-IF(J242="",الإعدادات!$B$9,MAX(J242,الإعدادات!$B$9))+1-N('الإدخال اليومي'!G216))+SUMPRODUCT(('الإدخال اليومي'!$L216:$AA216&gt;0)*('الإدخال اليومي'!$L$3:$AA$3&gt;=MAX(الإعدادات!$B$10+1,N(J242)))*('الإدخال اليومي'!$L$3:$AA$3&lt;=الإعدادات!$B$2)))</f>
        <v/>
      </c>
      <c r="M242" s="19" t="str">
        <f>IF($B242="","",IF(C242="امازون","",(IFERROR(INDEX(الإعدادات!$B$19:$B$22,MATCH(C242,الإعدادات!$A$19:$A$22,0)),الإعدادات!$B$3)/الإعدادات!$B$4)*L242))</f>
        <v/>
      </c>
      <c r="N242" s="21" t="str">
        <f t="shared" si="7"/>
        <v/>
      </c>
      <c r="O242" s="19" t="str">
        <f>IF($B242="","",IF(OR(C242="امازون",L242=0),"",ROUND(F242/L242*الإعدادات!$B$4,0)))</f>
        <v/>
      </c>
      <c r="P242" s="22" t="str">
        <f>IF($B242="","",IF('الإدخال اليومي'!AF216="لا يعمل","مستبعد (ترك العمل)",IF('الإدخال اليومي'!AF216="اجازه","مستبعد (اجازة)",IF(C242="امازون","امازون (شحنات)",IF(L242=0,"مستبعد (لم يعمل)",IF(F242&gt;=M242,"حقق",IF(F242&gt;=M242*الإعدادات!$B$8,"قريب","بعيد")))))))</f>
        <v/>
      </c>
      <c r="Q242" s="16" t="str">
        <f>IF($B242="","",TRIM('الإدخال اليومي'!H216&amp;IF(N('الإدخال اليومي'!AC216)&gt;0," | + "&amp;'الإدخال اليومي'!AC216&amp;" طلب من "&amp;'الإدخال اليومي'!AB216&amp;" (محسوبة في الإجمالي)","")))</f>
        <v/>
      </c>
      <c r="R242" s="17">
        <f t="shared" si="8"/>
        <v>0</v>
      </c>
      <c r="S242" s="17" t="str">
        <f>IF($B242="","",IF('الإدخال اليومي'!AF216="","يعمل",'الإدخال اليومي'!AF216))</f>
        <v/>
      </c>
    </row>
    <row r="243" spans="1:19" x14ac:dyDescent="0.3">
      <c r="A243" s="15" t="str">
        <f>IF('الإدخال اليومي'!$B217="","",IF('الإدخال اليومي'!A217="","",'الإدخال اليومي'!A217))</f>
        <v/>
      </c>
      <c r="B243" s="16" t="str">
        <f>IF('الإدخال اليومي'!$B217="","",IF('الإدخال اليومي'!B217="","",'الإدخال اليومي'!B217))</f>
        <v/>
      </c>
      <c r="C243" s="17" t="str">
        <f>IF('الإدخال اليومي'!$B217="","",IF('الإدخال اليومي'!C217="","",'الإدخال اليومي'!C217))</f>
        <v/>
      </c>
      <c r="D243" s="17" t="str">
        <f>IF($B243="","",213)</f>
        <v/>
      </c>
      <c r="E243" s="17" t="str">
        <f>IF('الإدخال اليومي'!$B217="","",IF('الإدخال اليومي'!AD217="","",'الإدخال اليومي'!AD217))</f>
        <v/>
      </c>
      <c r="F243" s="18" t="str">
        <f>IF($B243="","",'الإدخال اليومي'!I217)</f>
        <v/>
      </c>
      <c r="G243" s="19" t="str">
        <f>IF($B243="","",IF(N('الإدخال اليومي'!AG217)=0,"",'الإدخال اليومي'!AG217))</f>
        <v/>
      </c>
      <c r="H243" s="17" t="str">
        <f>IF('الإدخال اليومي'!$B217="","",IF('الإدخال اليومي'!AE217="","",'الإدخال اليومي'!AE217))</f>
        <v/>
      </c>
      <c r="I243" s="17" t="str">
        <f>IF($B243="","",IFERROR(INDEX('الإدخال اليومي'!K217:AA217,MATCH(الإعدادات!$B$2,'الإدخال اليومي'!$K$3:$AA$3,0)),0))</f>
        <v/>
      </c>
      <c r="J243" s="20" t="str">
        <f>IF('الإدخال اليومي'!$B217="","",IF('الإدخال اليومي'!F217="","",'الإدخال اليومي'!F217))</f>
        <v/>
      </c>
      <c r="K243" s="17" t="str">
        <f>IF($B243="","",N('الإدخال اليومي'!G217)+MAX(0,الإعدادات!$B$2-MAX(الإعدادات!$B$10+1,N(J243))+1)-SUMPRODUCT(('الإدخال اليومي'!$L217:$AA217&gt;0)*('الإدخال اليومي'!$L$3:$AA$3&gt;=MAX(الإعدادات!$B$10+1,N(J243)))*('الإدخال اليومي'!$L$3:$AA$3&lt;=الإعدادات!$B$2)))</f>
        <v/>
      </c>
      <c r="L243" s="17" t="str">
        <f>IF($B243="","",MAX(0,الإعدادات!$B$10-IF(J243="",الإعدادات!$B$9,MAX(J243,الإعدادات!$B$9))+1-N('الإدخال اليومي'!G217))+SUMPRODUCT(('الإدخال اليومي'!$L217:$AA217&gt;0)*('الإدخال اليومي'!$L$3:$AA$3&gt;=MAX(الإعدادات!$B$10+1,N(J243)))*('الإدخال اليومي'!$L$3:$AA$3&lt;=الإعدادات!$B$2)))</f>
        <v/>
      </c>
      <c r="M243" s="19" t="str">
        <f>IF($B243="","",IF(C243="امازون","",(IFERROR(INDEX(الإعدادات!$B$19:$B$22,MATCH(C243,الإعدادات!$A$19:$A$22,0)),الإعدادات!$B$3)/الإعدادات!$B$4)*L243))</f>
        <v/>
      </c>
      <c r="N243" s="21" t="str">
        <f t="shared" si="7"/>
        <v/>
      </c>
      <c r="O243" s="19" t="str">
        <f>IF($B243="","",IF(OR(C243="امازون",L243=0),"",ROUND(F243/L243*الإعدادات!$B$4,0)))</f>
        <v/>
      </c>
      <c r="P243" s="22" t="str">
        <f>IF($B243="","",IF('الإدخال اليومي'!AF217="لا يعمل","مستبعد (ترك العمل)",IF('الإدخال اليومي'!AF217="اجازه","مستبعد (اجازة)",IF(C243="امازون","امازون (شحنات)",IF(L243=0,"مستبعد (لم يعمل)",IF(F243&gt;=M243,"حقق",IF(F243&gt;=M243*الإعدادات!$B$8,"قريب","بعيد")))))))</f>
        <v/>
      </c>
      <c r="Q243" s="16" t="str">
        <f>IF($B243="","",TRIM('الإدخال اليومي'!H217&amp;IF(N('الإدخال اليومي'!AC217)&gt;0," | + "&amp;'الإدخال اليومي'!AC217&amp;" طلب من "&amp;'الإدخال اليومي'!AB217&amp;" (محسوبة في الإجمالي)","")))</f>
        <v/>
      </c>
      <c r="R243" s="17">
        <f t="shared" si="8"/>
        <v>0</v>
      </c>
      <c r="S243" s="17" t="str">
        <f>IF($B243="","",IF('الإدخال اليومي'!AF217="","يعمل",'الإدخال اليومي'!AF217))</f>
        <v/>
      </c>
    </row>
    <row r="244" spans="1:19" x14ac:dyDescent="0.3">
      <c r="A244" s="15" t="str">
        <f>IF('الإدخال اليومي'!$B218="","",IF('الإدخال اليومي'!A218="","",'الإدخال اليومي'!A218))</f>
        <v/>
      </c>
      <c r="B244" s="16" t="str">
        <f>IF('الإدخال اليومي'!$B218="","",IF('الإدخال اليومي'!B218="","",'الإدخال اليومي'!B218))</f>
        <v/>
      </c>
      <c r="C244" s="17" t="str">
        <f>IF('الإدخال اليومي'!$B218="","",IF('الإدخال اليومي'!C218="","",'الإدخال اليومي'!C218))</f>
        <v/>
      </c>
      <c r="D244" s="17" t="str">
        <f>IF($B244="","",214)</f>
        <v/>
      </c>
      <c r="E244" s="17" t="str">
        <f>IF('الإدخال اليومي'!$B218="","",IF('الإدخال اليومي'!AD218="","",'الإدخال اليومي'!AD218))</f>
        <v/>
      </c>
      <c r="F244" s="18" t="str">
        <f>IF($B244="","",'الإدخال اليومي'!I218)</f>
        <v/>
      </c>
      <c r="G244" s="19" t="str">
        <f>IF($B244="","",IF(N('الإدخال اليومي'!AG218)=0,"",'الإدخال اليومي'!AG218))</f>
        <v/>
      </c>
      <c r="H244" s="17" t="str">
        <f>IF('الإدخال اليومي'!$B218="","",IF('الإدخال اليومي'!AE218="","",'الإدخال اليومي'!AE218))</f>
        <v/>
      </c>
      <c r="I244" s="17" t="str">
        <f>IF($B244="","",IFERROR(INDEX('الإدخال اليومي'!K218:AA218,MATCH(الإعدادات!$B$2,'الإدخال اليومي'!$K$3:$AA$3,0)),0))</f>
        <v/>
      </c>
      <c r="J244" s="20" t="str">
        <f>IF('الإدخال اليومي'!$B218="","",IF('الإدخال اليومي'!F218="","",'الإدخال اليومي'!F218))</f>
        <v/>
      </c>
      <c r="K244" s="17" t="str">
        <f>IF($B244="","",N('الإدخال اليومي'!G218)+MAX(0,الإعدادات!$B$2-MAX(الإعدادات!$B$10+1,N(J244))+1)-SUMPRODUCT(('الإدخال اليومي'!$L218:$AA218&gt;0)*('الإدخال اليومي'!$L$3:$AA$3&gt;=MAX(الإعدادات!$B$10+1,N(J244)))*('الإدخال اليومي'!$L$3:$AA$3&lt;=الإعدادات!$B$2)))</f>
        <v/>
      </c>
      <c r="L244" s="17" t="str">
        <f>IF($B244="","",MAX(0,الإعدادات!$B$10-IF(J244="",الإعدادات!$B$9,MAX(J244,الإعدادات!$B$9))+1-N('الإدخال اليومي'!G218))+SUMPRODUCT(('الإدخال اليومي'!$L218:$AA218&gt;0)*('الإدخال اليومي'!$L$3:$AA$3&gt;=MAX(الإعدادات!$B$10+1,N(J244)))*('الإدخال اليومي'!$L$3:$AA$3&lt;=الإعدادات!$B$2)))</f>
        <v/>
      </c>
      <c r="M244" s="19" t="str">
        <f>IF($B244="","",IF(C244="امازون","",(IFERROR(INDEX(الإعدادات!$B$19:$B$22,MATCH(C244,الإعدادات!$A$19:$A$22,0)),الإعدادات!$B$3)/الإعدادات!$B$4)*L244))</f>
        <v/>
      </c>
      <c r="N244" s="21" t="str">
        <f t="shared" si="7"/>
        <v/>
      </c>
      <c r="O244" s="19" t="str">
        <f>IF($B244="","",IF(OR(C244="امازون",L244=0),"",ROUND(F244/L244*الإعدادات!$B$4,0)))</f>
        <v/>
      </c>
      <c r="P244" s="22" t="str">
        <f>IF($B244="","",IF('الإدخال اليومي'!AF218="لا يعمل","مستبعد (ترك العمل)",IF('الإدخال اليومي'!AF218="اجازه","مستبعد (اجازة)",IF(C244="امازون","امازون (شحنات)",IF(L244=0,"مستبعد (لم يعمل)",IF(F244&gt;=M244,"حقق",IF(F244&gt;=M244*الإعدادات!$B$8,"قريب","بعيد")))))))</f>
        <v/>
      </c>
      <c r="Q244" s="16" t="str">
        <f>IF($B244="","",TRIM('الإدخال اليومي'!H218&amp;IF(N('الإدخال اليومي'!AC218)&gt;0," | + "&amp;'الإدخال اليومي'!AC218&amp;" طلب من "&amp;'الإدخال اليومي'!AB218&amp;" (محسوبة في الإجمالي)","")))</f>
        <v/>
      </c>
      <c r="R244" s="17">
        <f t="shared" si="8"/>
        <v>0</v>
      </c>
      <c r="S244" s="17" t="str">
        <f>IF($B244="","",IF('الإدخال اليومي'!AF218="","يعمل",'الإدخال اليومي'!AF218))</f>
        <v/>
      </c>
    </row>
    <row r="245" spans="1:19" x14ac:dyDescent="0.3">
      <c r="A245" s="15" t="str">
        <f>IF('الإدخال اليومي'!$B219="","",IF('الإدخال اليومي'!A219="","",'الإدخال اليومي'!A219))</f>
        <v/>
      </c>
      <c r="B245" s="16" t="str">
        <f>IF('الإدخال اليومي'!$B219="","",IF('الإدخال اليومي'!B219="","",'الإدخال اليومي'!B219))</f>
        <v/>
      </c>
      <c r="C245" s="17" t="str">
        <f>IF('الإدخال اليومي'!$B219="","",IF('الإدخال اليومي'!C219="","",'الإدخال اليومي'!C219))</f>
        <v/>
      </c>
      <c r="D245" s="17" t="str">
        <f>IF($B245="","",215)</f>
        <v/>
      </c>
      <c r="E245" s="17" t="str">
        <f>IF('الإدخال اليومي'!$B219="","",IF('الإدخال اليومي'!AD219="","",'الإدخال اليومي'!AD219))</f>
        <v/>
      </c>
      <c r="F245" s="18" t="str">
        <f>IF($B245="","",'الإدخال اليومي'!I219)</f>
        <v/>
      </c>
      <c r="G245" s="19" t="str">
        <f>IF($B245="","",IF(N('الإدخال اليومي'!AG219)=0,"",'الإدخال اليومي'!AG219))</f>
        <v/>
      </c>
      <c r="H245" s="17" t="str">
        <f>IF('الإدخال اليومي'!$B219="","",IF('الإدخال اليومي'!AE219="","",'الإدخال اليومي'!AE219))</f>
        <v/>
      </c>
      <c r="I245" s="17" t="str">
        <f>IF($B245="","",IFERROR(INDEX('الإدخال اليومي'!K219:AA219,MATCH(الإعدادات!$B$2,'الإدخال اليومي'!$K$3:$AA$3,0)),0))</f>
        <v/>
      </c>
      <c r="J245" s="20" t="str">
        <f>IF('الإدخال اليومي'!$B219="","",IF('الإدخال اليومي'!F219="","",'الإدخال اليومي'!F219))</f>
        <v/>
      </c>
      <c r="K245" s="17" t="str">
        <f>IF($B245="","",N('الإدخال اليومي'!G219)+MAX(0,الإعدادات!$B$2-MAX(الإعدادات!$B$10+1,N(J245))+1)-SUMPRODUCT(('الإدخال اليومي'!$L219:$AA219&gt;0)*('الإدخال اليومي'!$L$3:$AA$3&gt;=MAX(الإعدادات!$B$10+1,N(J245)))*('الإدخال اليومي'!$L$3:$AA$3&lt;=الإعدادات!$B$2)))</f>
        <v/>
      </c>
      <c r="L245" s="17" t="str">
        <f>IF($B245="","",MAX(0,الإعدادات!$B$10-IF(J245="",الإعدادات!$B$9,MAX(J245,الإعدادات!$B$9))+1-N('الإدخال اليومي'!G219))+SUMPRODUCT(('الإدخال اليومي'!$L219:$AA219&gt;0)*('الإدخال اليومي'!$L$3:$AA$3&gt;=MAX(الإعدادات!$B$10+1,N(J245)))*('الإدخال اليومي'!$L$3:$AA$3&lt;=الإعدادات!$B$2)))</f>
        <v/>
      </c>
      <c r="M245" s="19" t="str">
        <f>IF($B245="","",IF(C245="امازون","",(IFERROR(INDEX(الإعدادات!$B$19:$B$22,MATCH(C245,الإعدادات!$A$19:$A$22,0)),الإعدادات!$B$3)/الإعدادات!$B$4)*L245))</f>
        <v/>
      </c>
      <c r="N245" s="21" t="str">
        <f t="shared" si="7"/>
        <v/>
      </c>
      <c r="O245" s="19" t="str">
        <f>IF($B245="","",IF(OR(C245="امازون",L245=0),"",ROUND(F245/L245*الإعدادات!$B$4,0)))</f>
        <v/>
      </c>
      <c r="P245" s="22" t="str">
        <f>IF($B245="","",IF('الإدخال اليومي'!AF219="لا يعمل","مستبعد (ترك العمل)",IF('الإدخال اليومي'!AF219="اجازه","مستبعد (اجازة)",IF(C245="امازون","امازون (شحنات)",IF(L245=0,"مستبعد (لم يعمل)",IF(F245&gt;=M245,"حقق",IF(F245&gt;=M245*الإعدادات!$B$8,"قريب","بعيد")))))))</f>
        <v/>
      </c>
      <c r="Q245" s="16" t="str">
        <f>IF($B245="","",TRIM('الإدخال اليومي'!H219&amp;IF(N('الإدخال اليومي'!AC219)&gt;0," | + "&amp;'الإدخال اليومي'!AC219&amp;" طلب من "&amp;'الإدخال اليومي'!AB219&amp;" (محسوبة في الإجمالي)","")))</f>
        <v/>
      </c>
      <c r="R245" s="17">
        <f t="shared" si="8"/>
        <v>0</v>
      </c>
      <c r="S245" s="17" t="str">
        <f>IF($B245="","",IF('الإدخال اليومي'!AF219="","يعمل",'الإدخال اليومي'!AF219))</f>
        <v/>
      </c>
    </row>
    <row r="246" spans="1:19" x14ac:dyDescent="0.3">
      <c r="A246" s="15" t="str">
        <f>IF('الإدخال اليومي'!$B220="","",IF('الإدخال اليومي'!A220="","",'الإدخال اليومي'!A220))</f>
        <v/>
      </c>
      <c r="B246" s="16" t="str">
        <f>IF('الإدخال اليومي'!$B220="","",IF('الإدخال اليومي'!B220="","",'الإدخال اليومي'!B220))</f>
        <v/>
      </c>
      <c r="C246" s="17" t="str">
        <f>IF('الإدخال اليومي'!$B220="","",IF('الإدخال اليومي'!C220="","",'الإدخال اليومي'!C220))</f>
        <v/>
      </c>
      <c r="D246" s="17" t="str">
        <f>IF($B246="","",216)</f>
        <v/>
      </c>
      <c r="E246" s="17" t="str">
        <f>IF('الإدخال اليومي'!$B220="","",IF('الإدخال اليومي'!AD220="","",'الإدخال اليومي'!AD220))</f>
        <v/>
      </c>
      <c r="F246" s="18" t="str">
        <f>IF($B246="","",'الإدخال اليومي'!I220)</f>
        <v/>
      </c>
      <c r="G246" s="19" t="str">
        <f>IF($B246="","",IF(N('الإدخال اليومي'!AG220)=0,"",'الإدخال اليومي'!AG220))</f>
        <v/>
      </c>
      <c r="H246" s="17" t="str">
        <f>IF('الإدخال اليومي'!$B220="","",IF('الإدخال اليومي'!AE220="","",'الإدخال اليومي'!AE220))</f>
        <v/>
      </c>
      <c r="I246" s="17" t="str">
        <f>IF($B246="","",IFERROR(INDEX('الإدخال اليومي'!K220:AA220,MATCH(الإعدادات!$B$2,'الإدخال اليومي'!$K$3:$AA$3,0)),0))</f>
        <v/>
      </c>
      <c r="J246" s="20" t="str">
        <f>IF('الإدخال اليومي'!$B220="","",IF('الإدخال اليومي'!F220="","",'الإدخال اليومي'!F220))</f>
        <v/>
      </c>
      <c r="K246" s="17" t="str">
        <f>IF($B246="","",N('الإدخال اليومي'!G220)+MAX(0,الإعدادات!$B$2-MAX(الإعدادات!$B$10+1,N(J246))+1)-SUMPRODUCT(('الإدخال اليومي'!$L220:$AA220&gt;0)*('الإدخال اليومي'!$L$3:$AA$3&gt;=MAX(الإعدادات!$B$10+1,N(J246)))*('الإدخال اليومي'!$L$3:$AA$3&lt;=الإعدادات!$B$2)))</f>
        <v/>
      </c>
      <c r="L246" s="17" t="str">
        <f>IF($B246="","",MAX(0,الإعدادات!$B$10-IF(J246="",الإعدادات!$B$9,MAX(J246,الإعدادات!$B$9))+1-N('الإدخال اليومي'!G220))+SUMPRODUCT(('الإدخال اليومي'!$L220:$AA220&gt;0)*('الإدخال اليومي'!$L$3:$AA$3&gt;=MAX(الإعدادات!$B$10+1,N(J246)))*('الإدخال اليومي'!$L$3:$AA$3&lt;=الإعدادات!$B$2)))</f>
        <v/>
      </c>
      <c r="M246" s="19" t="str">
        <f>IF($B246="","",IF(C246="امازون","",(IFERROR(INDEX(الإعدادات!$B$19:$B$22,MATCH(C246,الإعدادات!$A$19:$A$22,0)),الإعدادات!$B$3)/الإعدادات!$B$4)*L246))</f>
        <v/>
      </c>
      <c r="N246" s="21" t="str">
        <f t="shared" si="7"/>
        <v/>
      </c>
      <c r="O246" s="19" t="str">
        <f>IF($B246="","",IF(OR(C246="امازون",L246=0),"",ROUND(F246/L246*الإعدادات!$B$4,0)))</f>
        <v/>
      </c>
      <c r="P246" s="22" t="str">
        <f>IF($B246="","",IF('الإدخال اليومي'!AF220="لا يعمل","مستبعد (ترك العمل)",IF('الإدخال اليومي'!AF220="اجازه","مستبعد (اجازة)",IF(C246="امازون","امازون (شحنات)",IF(L246=0,"مستبعد (لم يعمل)",IF(F246&gt;=M246,"حقق",IF(F246&gt;=M246*الإعدادات!$B$8,"قريب","بعيد")))))))</f>
        <v/>
      </c>
      <c r="Q246" s="16" t="str">
        <f>IF($B246="","",TRIM('الإدخال اليومي'!H220&amp;IF(N('الإدخال اليومي'!AC220)&gt;0," | + "&amp;'الإدخال اليومي'!AC220&amp;" طلب من "&amp;'الإدخال اليومي'!AB220&amp;" (محسوبة في الإجمالي)","")))</f>
        <v/>
      </c>
      <c r="R246" s="17">
        <f t="shared" si="8"/>
        <v>0</v>
      </c>
      <c r="S246" s="17" t="str">
        <f>IF($B246="","",IF('الإدخال اليومي'!AF220="","يعمل",'الإدخال اليومي'!AF220))</f>
        <v/>
      </c>
    </row>
    <row r="247" spans="1:19" x14ac:dyDescent="0.3">
      <c r="A247" s="15" t="str">
        <f>IF('الإدخال اليومي'!$B221="","",IF('الإدخال اليومي'!A221="","",'الإدخال اليومي'!A221))</f>
        <v/>
      </c>
      <c r="B247" s="16" t="str">
        <f>IF('الإدخال اليومي'!$B221="","",IF('الإدخال اليومي'!B221="","",'الإدخال اليومي'!B221))</f>
        <v/>
      </c>
      <c r="C247" s="17" t="str">
        <f>IF('الإدخال اليومي'!$B221="","",IF('الإدخال اليومي'!C221="","",'الإدخال اليومي'!C221))</f>
        <v/>
      </c>
      <c r="D247" s="17" t="str">
        <f>IF($B247="","",217)</f>
        <v/>
      </c>
      <c r="E247" s="17" t="str">
        <f>IF('الإدخال اليومي'!$B221="","",IF('الإدخال اليومي'!AD221="","",'الإدخال اليومي'!AD221))</f>
        <v/>
      </c>
      <c r="F247" s="18" t="str">
        <f>IF($B247="","",'الإدخال اليومي'!I221)</f>
        <v/>
      </c>
      <c r="G247" s="19" t="str">
        <f>IF($B247="","",IF(N('الإدخال اليومي'!AG221)=0,"",'الإدخال اليومي'!AG221))</f>
        <v/>
      </c>
      <c r="H247" s="17" t="str">
        <f>IF('الإدخال اليومي'!$B221="","",IF('الإدخال اليومي'!AE221="","",'الإدخال اليومي'!AE221))</f>
        <v/>
      </c>
      <c r="I247" s="17" t="str">
        <f>IF($B247="","",IFERROR(INDEX('الإدخال اليومي'!K221:AA221,MATCH(الإعدادات!$B$2,'الإدخال اليومي'!$K$3:$AA$3,0)),0))</f>
        <v/>
      </c>
      <c r="J247" s="20" t="str">
        <f>IF('الإدخال اليومي'!$B221="","",IF('الإدخال اليومي'!F221="","",'الإدخال اليومي'!F221))</f>
        <v/>
      </c>
      <c r="K247" s="17" t="str">
        <f>IF($B247="","",N('الإدخال اليومي'!G221)+MAX(0,الإعدادات!$B$2-MAX(الإعدادات!$B$10+1,N(J247))+1)-SUMPRODUCT(('الإدخال اليومي'!$L221:$AA221&gt;0)*('الإدخال اليومي'!$L$3:$AA$3&gt;=MAX(الإعدادات!$B$10+1,N(J247)))*('الإدخال اليومي'!$L$3:$AA$3&lt;=الإعدادات!$B$2)))</f>
        <v/>
      </c>
      <c r="L247" s="17" t="str">
        <f>IF($B247="","",MAX(0,الإعدادات!$B$10-IF(J247="",الإعدادات!$B$9,MAX(J247,الإعدادات!$B$9))+1-N('الإدخال اليومي'!G221))+SUMPRODUCT(('الإدخال اليومي'!$L221:$AA221&gt;0)*('الإدخال اليومي'!$L$3:$AA$3&gt;=MAX(الإعدادات!$B$10+1,N(J247)))*('الإدخال اليومي'!$L$3:$AA$3&lt;=الإعدادات!$B$2)))</f>
        <v/>
      </c>
      <c r="M247" s="19" t="str">
        <f>IF($B247="","",IF(C247="امازون","",(IFERROR(INDEX(الإعدادات!$B$19:$B$22,MATCH(C247,الإعدادات!$A$19:$A$22,0)),الإعدادات!$B$3)/الإعدادات!$B$4)*L247))</f>
        <v/>
      </c>
      <c r="N247" s="21" t="str">
        <f t="shared" si="7"/>
        <v/>
      </c>
      <c r="O247" s="19" t="str">
        <f>IF($B247="","",IF(OR(C247="امازون",L247=0),"",ROUND(F247/L247*الإعدادات!$B$4,0)))</f>
        <v/>
      </c>
      <c r="P247" s="22" t="str">
        <f>IF($B247="","",IF('الإدخال اليومي'!AF221="لا يعمل","مستبعد (ترك العمل)",IF('الإدخال اليومي'!AF221="اجازه","مستبعد (اجازة)",IF(C247="امازون","امازون (شحنات)",IF(L247=0,"مستبعد (لم يعمل)",IF(F247&gt;=M247,"حقق",IF(F247&gt;=M247*الإعدادات!$B$8,"قريب","بعيد")))))))</f>
        <v/>
      </c>
      <c r="Q247" s="16" t="str">
        <f>IF($B247="","",TRIM('الإدخال اليومي'!H221&amp;IF(N('الإدخال اليومي'!AC221)&gt;0," | + "&amp;'الإدخال اليومي'!AC221&amp;" طلب من "&amp;'الإدخال اليومي'!AB221&amp;" (محسوبة في الإجمالي)","")))</f>
        <v/>
      </c>
      <c r="R247" s="17">
        <f t="shared" si="8"/>
        <v>0</v>
      </c>
      <c r="S247" s="17" t="str">
        <f>IF($B247="","",IF('الإدخال اليومي'!AF221="","يعمل",'الإدخال اليومي'!AF221))</f>
        <v/>
      </c>
    </row>
    <row r="248" spans="1:19" x14ac:dyDescent="0.3">
      <c r="A248" s="15" t="str">
        <f>IF('الإدخال اليومي'!$B222="","",IF('الإدخال اليومي'!A222="","",'الإدخال اليومي'!A222))</f>
        <v/>
      </c>
      <c r="B248" s="16" t="str">
        <f>IF('الإدخال اليومي'!$B222="","",IF('الإدخال اليومي'!B222="","",'الإدخال اليومي'!B222))</f>
        <v/>
      </c>
      <c r="C248" s="17" t="str">
        <f>IF('الإدخال اليومي'!$B222="","",IF('الإدخال اليومي'!C222="","",'الإدخال اليومي'!C222))</f>
        <v/>
      </c>
      <c r="D248" s="17" t="str">
        <f>IF($B248="","",218)</f>
        <v/>
      </c>
      <c r="E248" s="17" t="str">
        <f>IF('الإدخال اليومي'!$B222="","",IF('الإدخال اليومي'!AD222="","",'الإدخال اليومي'!AD222))</f>
        <v/>
      </c>
      <c r="F248" s="18" t="str">
        <f>IF($B248="","",'الإدخال اليومي'!I222)</f>
        <v/>
      </c>
      <c r="G248" s="19" t="str">
        <f>IF($B248="","",IF(N('الإدخال اليومي'!AG222)=0,"",'الإدخال اليومي'!AG222))</f>
        <v/>
      </c>
      <c r="H248" s="17" t="str">
        <f>IF('الإدخال اليومي'!$B222="","",IF('الإدخال اليومي'!AE222="","",'الإدخال اليومي'!AE222))</f>
        <v/>
      </c>
      <c r="I248" s="17" t="str">
        <f>IF($B248="","",IFERROR(INDEX('الإدخال اليومي'!K222:AA222,MATCH(الإعدادات!$B$2,'الإدخال اليومي'!$K$3:$AA$3,0)),0))</f>
        <v/>
      </c>
      <c r="J248" s="20" t="str">
        <f>IF('الإدخال اليومي'!$B222="","",IF('الإدخال اليومي'!F222="","",'الإدخال اليومي'!F222))</f>
        <v/>
      </c>
      <c r="K248" s="17" t="str">
        <f>IF($B248="","",N('الإدخال اليومي'!G222)+MAX(0,الإعدادات!$B$2-MAX(الإعدادات!$B$10+1,N(J248))+1)-SUMPRODUCT(('الإدخال اليومي'!$L222:$AA222&gt;0)*('الإدخال اليومي'!$L$3:$AA$3&gt;=MAX(الإعدادات!$B$10+1,N(J248)))*('الإدخال اليومي'!$L$3:$AA$3&lt;=الإعدادات!$B$2)))</f>
        <v/>
      </c>
      <c r="L248" s="17" t="str">
        <f>IF($B248="","",MAX(0,الإعدادات!$B$10-IF(J248="",الإعدادات!$B$9,MAX(J248,الإعدادات!$B$9))+1-N('الإدخال اليومي'!G222))+SUMPRODUCT(('الإدخال اليومي'!$L222:$AA222&gt;0)*('الإدخال اليومي'!$L$3:$AA$3&gt;=MAX(الإعدادات!$B$10+1,N(J248)))*('الإدخال اليومي'!$L$3:$AA$3&lt;=الإعدادات!$B$2)))</f>
        <v/>
      </c>
      <c r="M248" s="19" t="str">
        <f>IF($B248="","",IF(C248="امازون","",(IFERROR(INDEX(الإعدادات!$B$19:$B$22,MATCH(C248,الإعدادات!$A$19:$A$22,0)),الإعدادات!$B$3)/الإعدادات!$B$4)*L248))</f>
        <v/>
      </c>
      <c r="N248" s="21" t="str">
        <f t="shared" si="7"/>
        <v/>
      </c>
      <c r="O248" s="19" t="str">
        <f>IF($B248="","",IF(OR(C248="امازون",L248=0),"",ROUND(F248/L248*الإعدادات!$B$4,0)))</f>
        <v/>
      </c>
      <c r="P248" s="22" t="str">
        <f>IF($B248="","",IF('الإدخال اليومي'!AF222="لا يعمل","مستبعد (ترك العمل)",IF('الإدخال اليومي'!AF222="اجازه","مستبعد (اجازة)",IF(C248="امازون","امازون (شحنات)",IF(L248=0,"مستبعد (لم يعمل)",IF(F248&gt;=M248,"حقق",IF(F248&gt;=M248*الإعدادات!$B$8,"قريب","بعيد")))))))</f>
        <v/>
      </c>
      <c r="Q248" s="16" t="str">
        <f>IF($B248="","",TRIM('الإدخال اليومي'!H222&amp;IF(N('الإدخال اليومي'!AC222)&gt;0," | + "&amp;'الإدخال اليومي'!AC222&amp;" طلب من "&amp;'الإدخال اليومي'!AB222&amp;" (محسوبة في الإجمالي)","")))</f>
        <v/>
      </c>
      <c r="R248" s="17">
        <f t="shared" si="8"/>
        <v>0</v>
      </c>
      <c r="S248" s="17" t="str">
        <f>IF($B248="","",IF('الإدخال اليومي'!AF222="","يعمل",'الإدخال اليومي'!AF222))</f>
        <v/>
      </c>
    </row>
    <row r="249" spans="1:19" x14ac:dyDescent="0.3">
      <c r="A249" s="15" t="str">
        <f>IF('الإدخال اليومي'!$B223="","",IF('الإدخال اليومي'!A223="","",'الإدخال اليومي'!A223))</f>
        <v/>
      </c>
      <c r="B249" s="16" t="str">
        <f>IF('الإدخال اليومي'!$B223="","",IF('الإدخال اليومي'!B223="","",'الإدخال اليومي'!B223))</f>
        <v/>
      </c>
      <c r="C249" s="17" t="str">
        <f>IF('الإدخال اليومي'!$B223="","",IF('الإدخال اليومي'!C223="","",'الإدخال اليومي'!C223))</f>
        <v/>
      </c>
      <c r="D249" s="17" t="str">
        <f>IF($B249="","",219)</f>
        <v/>
      </c>
      <c r="E249" s="17" t="str">
        <f>IF('الإدخال اليومي'!$B223="","",IF('الإدخال اليومي'!AD223="","",'الإدخال اليومي'!AD223))</f>
        <v/>
      </c>
      <c r="F249" s="18" t="str">
        <f>IF($B249="","",'الإدخال اليومي'!I223)</f>
        <v/>
      </c>
      <c r="G249" s="19" t="str">
        <f>IF($B249="","",IF(N('الإدخال اليومي'!AG223)=0,"",'الإدخال اليومي'!AG223))</f>
        <v/>
      </c>
      <c r="H249" s="17" t="str">
        <f>IF('الإدخال اليومي'!$B223="","",IF('الإدخال اليومي'!AE223="","",'الإدخال اليومي'!AE223))</f>
        <v/>
      </c>
      <c r="I249" s="17" t="str">
        <f>IF($B249="","",IFERROR(INDEX('الإدخال اليومي'!K223:AA223,MATCH(الإعدادات!$B$2,'الإدخال اليومي'!$K$3:$AA$3,0)),0))</f>
        <v/>
      </c>
      <c r="J249" s="20" t="str">
        <f>IF('الإدخال اليومي'!$B223="","",IF('الإدخال اليومي'!F223="","",'الإدخال اليومي'!F223))</f>
        <v/>
      </c>
      <c r="K249" s="17" t="str">
        <f>IF($B249="","",N('الإدخال اليومي'!G223)+MAX(0,الإعدادات!$B$2-MAX(الإعدادات!$B$10+1,N(J249))+1)-SUMPRODUCT(('الإدخال اليومي'!$L223:$AA223&gt;0)*('الإدخال اليومي'!$L$3:$AA$3&gt;=MAX(الإعدادات!$B$10+1,N(J249)))*('الإدخال اليومي'!$L$3:$AA$3&lt;=الإعدادات!$B$2)))</f>
        <v/>
      </c>
      <c r="L249" s="17" t="str">
        <f>IF($B249="","",MAX(0,الإعدادات!$B$10-IF(J249="",الإعدادات!$B$9,MAX(J249,الإعدادات!$B$9))+1-N('الإدخال اليومي'!G223))+SUMPRODUCT(('الإدخال اليومي'!$L223:$AA223&gt;0)*('الإدخال اليومي'!$L$3:$AA$3&gt;=MAX(الإعدادات!$B$10+1,N(J249)))*('الإدخال اليومي'!$L$3:$AA$3&lt;=الإعدادات!$B$2)))</f>
        <v/>
      </c>
      <c r="M249" s="19" t="str">
        <f>IF($B249="","",IF(C249="امازون","",(IFERROR(INDEX(الإعدادات!$B$19:$B$22,MATCH(C249,الإعدادات!$A$19:$A$22,0)),الإعدادات!$B$3)/الإعدادات!$B$4)*L249))</f>
        <v/>
      </c>
      <c r="N249" s="21" t="str">
        <f t="shared" si="7"/>
        <v/>
      </c>
      <c r="O249" s="19" t="str">
        <f>IF($B249="","",IF(OR(C249="امازون",L249=0),"",ROUND(F249/L249*الإعدادات!$B$4,0)))</f>
        <v/>
      </c>
      <c r="P249" s="22" t="str">
        <f>IF($B249="","",IF('الإدخال اليومي'!AF223="لا يعمل","مستبعد (ترك العمل)",IF('الإدخال اليومي'!AF223="اجازه","مستبعد (اجازة)",IF(C249="امازون","امازون (شحنات)",IF(L249=0,"مستبعد (لم يعمل)",IF(F249&gt;=M249,"حقق",IF(F249&gt;=M249*الإعدادات!$B$8,"قريب","بعيد")))))))</f>
        <v/>
      </c>
      <c r="Q249" s="16" t="str">
        <f>IF($B249="","",TRIM('الإدخال اليومي'!H223&amp;IF(N('الإدخال اليومي'!AC223)&gt;0," | + "&amp;'الإدخال اليومي'!AC223&amp;" طلب من "&amp;'الإدخال اليومي'!AB223&amp;" (محسوبة في الإجمالي)","")))</f>
        <v/>
      </c>
      <c r="R249" s="17">
        <f t="shared" si="8"/>
        <v>0</v>
      </c>
      <c r="S249" s="17" t="str">
        <f>IF($B249="","",IF('الإدخال اليومي'!AF223="","يعمل",'الإدخال اليومي'!AF223))</f>
        <v/>
      </c>
    </row>
    <row r="250" spans="1:19" x14ac:dyDescent="0.3">
      <c r="A250" s="15" t="str">
        <f>IF('الإدخال اليومي'!$B224="","",IF('الإدخال اليومي'!A224="","",'الإدخال اليومي'!A224))</f>
        <v/>
      </c>
      <c r="B250" s="16" t="str">
        <f>IF('الإدخال اليومي'!$B224="","",IF('الإدخال اليومي'!B224="","",'الإدخال اليومي'!B224))</f>
        <v/>
      </c>
      <c r="C250" s="17" t="str">
        <f>IF('الإدخال اليومي'!$B224="","",IF('الإدخال اليومي'!C224="","",'الإدخال اليومي'!C224))</f>
        <v/>
      </c>
      <c r="D250" s="17" t="str">
        <f>IF($B250="","",220)</f>
        <v/>
      </c>
      <c r="E250" s="17" t="str">
        <f>IF('الإدخال اليومي'!$B224="","",IF('الإدخال اليومي'!AD224="","",'الإدخال اليومي'!AD224))</f>
        <v/>
      </c>
      <c r="F250" s="18" t="str">
        <f>IF($B250="","",'الإدخال اليومي'!I224)</f>
        <v/>
      </c>
      <c r="G250" s="19" t="str">
        <f>IF($B250="","",IF(N('الإدخال اليومي'!AG224)=0,"",'الإدخال اليومي'!AG224))</f>
        <v/>
      </c>
      <c r="H250" s="17" t="str">
        <f>IF('الإدخال اليومي'!$B224="","",IF('الإدخال اليومي'!AE224="","",'الإدخال اليومي'!AE224))</f>
        <v/>
      </c>
      <c r="I250" s="17" t="str">
        <f>IF($B250="","",IFERROR(INDEX('الإدخال اليومي'!K224:AA224,MATCH(الإعدادات!$B$2,'الإدخال اليومي'!$K$3:$AA$3,0)),0))</f>
        <v/>
      </c>
      <c r="J250" s="20" t="str">
        <f>IF('الإدخال اليومي'!$B224="","",IF('الإدخال اليومي'!F224="","",'الإدخال اليومي'!F224))</f>
        <v/>
      </c>
      <c r="K250" s="17" t="str">
        <f>IF($B250="","",N('الإدخال اليومي'!G224)+MAX(0,الإعدادات!$B$2-MAX(الإعدادات!$B$10+1,N(J250))+1)-SUMPRODUCT(('الإدخال اليومي'!$L224:$AA224&gt;0)*('الإدخال اليومي'!$L$3:$AA$3&gt;=MAX(الإعدادات!$B$10+1,N(J250)))*('الإدخال اليومي'!$L$3:$AA$3&lt;=الإعدادات!$B$2)))</f>
        <v/>
      </c>
      <c r="L250" s="17" t="str">
        <f>IF($B250="","",MAX(0,الإعدادات!$B$10-IF(J250="",الإعدادات!$B$9,MAX(J250,الإعدادات!$B$9))+1-N('الإدخال اليومي'!G224))+SUMPRODUCT(('الإدخال اليومي'!$L224:$AA224&gt;0)*('الإدخال اليومي'!$L$3:$AA$3&gt;=MAX(الإعدادات!$B$10+1,N(J250)))*('الإدخال اليومي'!$L$3:$AA$3&lt;=الإعدادات!$B$2)))</f>
        <v/>
      </c>
      <c r="M250" s="19" t="str">
        <f>IF($B250="","",IF(C250="امازون","",(IFERROR(INDEX(الإعدادات!$B$19:$B$22,MATCH(C250,الإعدادات!$A$19:$A$22,0)),الإعدادات!$B$3)/الإعدادات!$B$4)*L250))</f>
        <v/>
      </c>
      <c r="N250" s="21" t="str">
        <f t="shared" si="7"/>
        <v/>
      </c>
      <c r="O250" s="19" t="str">
        <f>IF($B250="","",IF(OR(C250="امازون",L250=0),"",ROUND(F250/L250*الإعدادات!$B$4,0)))</f>
        <v/>
      </c>
      <c r="P250" s="22" t="str">
        <f>IF($B250="","",IF('الإدخال اليومي'!AF224="لا يعمل","مستبعد (ترك العمل)",IF('الإدخال اليومي'!AF224="اجازه","مستبعد (اجازة)",IF(C250="امازون","امازون (شحنات)",IF(L250=0,"مستبعد (لم يعمل)",IF(F250&gt;=M250,"حقق",IF(F250&gt;=M250*الإعدادات!$B$8,"قريب","بعيد")))))))</f>
        <v/>
      </c>
      <c r="Q250" s="16" t="str">
        <f>IF($B250="","",TRIM('الإدخال اليومي'!H224&amp;IF(N('الإدخال اليومي'!AC224)&gt;0," | + "&amp;'الإدخال اليومي'!AC224&amp;" طلب من "&amp;'الإدخال اليومي'!AB224&amp;" (محسوبة في الإجمالي)","")))</f>
        <v/>
      </c>
      <c r="R250" s="17">
        <f t="shared" si="8"/>
        <v>0</v>
      </c>
      <c r="S250" s="17" t="str">
        <f>IF($B250="","",IF('الإدخال اليومي'!AF224="","يعمل",'الإدخال اليومي'!AF224))</f>
        <v/>
      </c>
    </row>
    <row r="251" spans="1:19" x14ac:dyDescent="0.3">
      <c r="A251" s="15" t="str">
        <f>IF('الإدخال اليومي'!$B225="","",IF('الإدخال اليومي'!A225="","",'الإدخال اليومي'!A225))</f>
        <v/>
      </c>
      <c r="B251" s="16" t="str">
        <f>IF('الإدخال اليومي'!$B225="","",IF('الإدخال اليومي'!B225="","",'الإدخال اليومي'!B225))</f>
        <v/>
      </c>
      <c r="C251" s="17" t="str">
        <f>IF('الإدخال اليومي'!$B225="","",IF('الإدخال اليومي'!C225="","",'الإدخال اليومي'!C225))</f>
        <v/>
      </c>
      <c r="D251" s="17" t="str">
        <f>IF($B251="","",221)</f>
        <v/>
      </c>
      <c r="E251" s="17" t="str">
        <f>IF('الإدخال اليومي'!$B225="","",IF('الإدخال اليومي'!AD225="","",'الإدخال اليومي'!AD225))</f>
        <v/>
      </c>
      <c r="F251" s="18" t="str">
        <f>IF($B251="","",'الإدخال اليومي'!I225)</f>
        <v/>
      </c>
      <c r="G251" s="19" t="str">
        <f>IF($B251="","",IF(N('الإدخال اليومي'!AG225)=0,"",'الإدخال اليومي'!AG225))</f>
        <v/>
      </c>
      <c r="H251" s="17" t="str">
        <f>IF('الإدخال اليومي'!$B225="","",IF('الإدخال اليومي'!AE225="","",'الإدخال اليومي'!AE225))</f>
        <v/>
      </c>
      <c r="I251" s="17" t="str">
        <f>IF($B251="","",IFERROR(INDEX('الإدخال اليومي'!K225:AA225,MATCH(الإعدادات!$B$2,'الإدخال اليومي'!$K$3:$AA$3,0)),0))</f>
        <v/>
      </c>
      <c r="J251" s="20" t="str">
        <f>IF('الإدخال اليومي'!$B225="","",IF('الإدخال اليومي'!F225="","",'الإدخال اليومي'!F225))</f>
        <v/>
      </c>
      <c r="K251" s="17" t="str">
        <f>IF($B251="","",N('الإدخال اليومي'!G225)+MAX(0,الإعدادات!$B$2-MAX(الإعدادات!$B$10+1,N(J251))+1)-SUMPRODUCT(('الإدخال اليومي'!$L225:$AA225&gt;0)*('الإدخال اليومي'!$L$3:$AA$3&gt;=MAX(الإعدادات!$B$10+1,N(J251)))*('الإدخال اليومي'!$L$3:$AA$3&lt;=الإعدادات!$B$2)))</f>
        <v/>
      </c>
      <c r="L251" s="17" t="str">
        <f>IF($B251="","",MAX(0,الإعدادات!$B$10-IF(J251="",الإعدادات!$B$9,MAX(J251,الإعدادات!$B$9))+1-N('الإدخال اليومي'!G225))+SUMPRODUCT(('الإدخال اليومي'!$L225:$AA225&gt;0)*('الإدخال اليومي'!$L$3:$AA$3&gt;=MAX(الإعدادات!$B$10+1,N(J251)))*('الإدخال اليومي'!$L$3:$AA$3&lt;=الإعدادات!$B$2)))</f>
        <v/>
      </c>
      <c r="M251" s="19" t="str">
        <f>IF($B251="","",IF(C251="امازون","",(IFERROR(INDEX(الإعدادات!$B$19:$B$22,MATCH(C251,الإعدادات!$A$19:$A$22,0)),الإعدادات!$B$3)/الإعدادات!$B$4)*L251))</f>
        <v/>
      </c>
      <c r="N251" s="21" t="str">
        <f t="shared" si="7"/>
        <v/>
      </c>
      <c r="O251" s="19" t="str">
        <f>IF($B251="","",IF(OR(C251="امازون",L251=0),"",ROUND(F251/L251*الإعدادات!$B$4,0)))</f>
        <v/>
      </c>
      <c r="P251" s="22" t="str">
        <f>IF($B251="","",IF('الإدخال اليومي'!AF225="لا يعمل","مستبعد (ترك العمل)",IF('الإدخال اليومي'!AF225="اجازه","مستبعد (اجازة)",IF(C251="امازون","امازون (شحنات)",IF(L251=0,"مستبعد (لم يعمل)",IF(F251&gt;=M251,"حقق",IF(F251&gt;=M251*الإعدادات!$B$8,"قريب","بعيد")))))))</f>
        <v/>
      </c>
      <c r="Q251" s="16" t="str">
        <f>IF($B251="","",TRIM('الإدخال اليومي'!H225&amp;IF(N('الإدخال اليومي'!AC225)&gt;0," | + "&amp;'الإدخال اليومي'!AC225&amp;" طلب من "&amp;'الإدخال اليومي'!AB225&amp;" (محسوبة في الإجمالي)","")))</f>
        <v/>
      </c>
      <c r="R251" s="17">
        <f t="shared" si="8"/>
        <v>0</v>
      </c>
      <c r="S251" s="17" t="str">
        <f>IF($B251="","",IF('الإدخال اليومي'!AF225="","يعمل",'الإدخال اليومي'!AF225))</f>
        <v/>
      </c>
    </row>
    <row r="252" spans="1:19" x14ac:dyDescent="0.3">
      <c r="A252" s="15" t="str">
        <f>IF('الإدخال اليومي'!$B226="","",IF('الإدخال اليومي'!A226="","",'الإدخال اليومي'!A226))</f>
        <v/>
      </c>
      <c r="B252" s="16" t="str">
        <f>IF('الإدخال اليومي'!$B226="","",IF('الإدخال اليومي'!B226="","",'الإدخال اليومي'!B226))</f>
        <v/>
      </c>
      <c r="C252" s="17" t="str">
        <f>IF('الإدخال اليومي'!$B226="","",IF('الإدخال اليومي'!C226="","",'الإدخال اليومي'!C226))</f>
        <v/>
      </c>
      <c r="D252" s="17" t="str">
        <f>IF($B252="","",222)</f>
        <v/>
      </c>
      <c r="E252" s="17" t="str">
        <f>IF('الإدخال اليومي'!$B226="","",IF('الإدخال اليومي'!AD226="","",'الإدخال اليومي'!AD226))</f>
        <v/>
      </c>
      <c r="F252" s="18" t="str">
        <f>IF($B252="","",'الإدخال اليومي'!I226)</f>
        <v/>
      </c>
      <c r="G252" s="19" t="str">
        <f>IF($B252="","",IF(N('الإدخال اليومي'!AG226)=0,"",'الإدخال اليومي'!AG226))</f>
        <v/>
      </c>
      <c r="H252" s="17" t="str">
        <f>IF('الإدخال اليومي'!$B226="","",IF('الإدخال اليومي'!AE226="","",'الإدخال اليومي'!AE226))</f>
        <v/>
      </c>
      <c r="I252" s="17" t="str">
        <f>IF($B252="","",IFERROR(INDEX('الإدخال اليومي'!K226:AA226,MATCH(الإعدادات!$B$2,'الإدخال اليومي'!$K$3:$AA$3,0)),0))</f>
        <v/>
      </c>
      <c r="J252" s="20" t="str">
        <f>IF('الإدخال اليومي'!$B226="","",IF('الإدخال اليومي'!F226="","",'الإدخال اليومي'!F226))</f>
        <v/>
      </c>
      <c r="K252" s="17" t="str">
        <f>IF($B252="","",N('الإدخال اليومي'!G226)+MAX(0,الإعدادات!$B$2-MAX(الإعدادات!$B$10+1,N(J252))+1)-SUMPRODUCT(('الإدخال اليومي'!$L226:$AA226&gt;0)*('الإدخال اليومي'!$L$3:$AA$3&gt;=MAX(الإعدادات!$B$10+1,N(J252)))*('الإدخال اليومي'!$L$3:$AA$3&lt;=الإعدادات!$B$2)))</f>
        <v/>
      </c>
      <c r="L252" s="17" t="str">
        <f>IF($B252="","",MAX(0,الإعدادات!$B$10-IF(J252="",الإعدادات!$B$9,MAX(J252,الإعدادات!$B$9))+1-N('الإدخال اليومي'!G226))+SUMPRODUCT(('الإدخال اليومي'!$L226:$AA226&gt;0)*('الإدخال اليومي'!$L$3:$AA$3&gt;=MAX(الإعدادات!$B$10+1,N(J252)))*('الإدخال اليومي'!$L$3:$AA$3&lt;=الإعدادات!$B$2)))</f>
        <v/>
      </c>
      <c r="M252" s="19" t="str">
        <f>IF($B252="","",IF(C252="امازون","",(IFERROR(INDEX(الإعدادات!$B$19:$B$22,MATCH(C252,الإعدادات!$A$19:$A$22,0)),الإعدادات!$B$3)/الإعدادات!$B$4)*L252))</f>
        <v/>
      </c>
      <c r="N252" s="21" t="str">
        <f t="shared" si="7"/>
        <v/>
      </c>
      <c r="O252" s="19" t="str">
        <f>IF($B252="","",IF(OR(C252="امازون",L252=0),"",ROUND(F252/L252*الإعدادات!$B$4,0)))</f>
        <v/>
      </c>
      <c r="P252" s="22" t="str">
        <f>IF($B252="","",IF('الإدخال اليومي'!AF226="لا يعمل","مستبعد (ترك العمل)",IF('الإدخال اليومي'!AF226="اجازه","مستبعد (اجازة)",IF(C252="امازون","امازون (شحنات)",IF(L252=0,"مستبعد (لم يعمل)",IF(F252&gt;=M252,"حقق",IF(F252&gt;=M252*الإعدادات!$B$8,"قريب","بعيد")))))))</f>
        <v/>
      </c>
      <c r="Q252" s="16" t="str">
        <f>IF($B252="","",TRIM('الإدخال اليومي'!H226&amp;IF(N('الإدخال اليومي'!AC226)&gt;0," | + "&amp;'الإدخال اليومي'!AC226&amp;" طلب من "&amp;'الإدخال اليومي'!AB226&amp;" (محسوبة في الإجمالي)","")))</f>
        <v/>
      </c>
      <c r="R252" s="17">
        <f t="shared" si="8"/>
        <v>0</v>
      </c>
      <c r="S252" s="17" t="str">
        <f>IF($B252="","",IF('الإدخال اليومي'!AF226="","يعمل",'الإدخال اليومي'!AF226))</f>
        <v/>
      </c>
    </row>
    <row r="253" spans="1:19" x14ac:dyDescent="0.3">
      <c r="A253" s="15" t="str">
        <f>IF('الإدخال اليومي'!$B227="","",IF('الإدخال اليومي'!A227="","",'الإدخال اليومي'!A227))</f>
        <v/>
      </c>
      <c r="B253" s="16" t="str">
        <f>IF('الإدخال اليومي'!$B227="","",IF('الإدخال اليومي'!B227="","",'الإدخال اليومي'!B227))</f>
        <v/>
      </c>
      <c r="C253" s="17" t="str">
        <f>IF('الإدخال اليومي'!$B227="","",IF('الإدخال اليومي'!C227="","",'الإدخال اليومي'!C227))</f>
        <v/>
      </c>
      <c r="D253" s="17" t="str">
        <f>IF($B253="","",223)</f>
        <v/>
      </c>
      <c r="E253" s="17" t="str">
        <f>IF('الإدخال اليومي'!$B227="","",IF('الإدخال اليومي'!AD227="","",'الإدخال اليومي'!AD227))</f>
        <v/>
      </c>
      <c r="F253" s="18" t="str">
        <f>IF($B253="","",'الإدخال اليومي'!I227)</f>
        <v/>
      </c>
      <c r="G253" s="19" t="str">
        <f>IF($B253="","",IF(N('الإدخال اليومي'!AG227)=0,"",'الإدخال اليومي'!AG227))</f>
        <v/>
      </c>
      <c r="H253" s="17" t="str">
        <f>IF('الإدخال اليومي'!$B227="","",IF('الإدخال اليومي'!AE227="","",'الإدخال اليومي'!AE227))</f>
        <v/>
      </c>
      <c r="I253" s="17" t="str">
        <f>IF($B253="","",IFERROR(INDEX('الإدخال اليومي'!K227:AA227,MATCH(الإعدادات!$B$2,'الإدخال اليومي'!$K$3:$AA$3,0)),0))</f>
        <v/>
      </c>
      <c r="J253" s="20" t="str">
        <f>IF('الإدخال اليومي'!$B227="","",IF('الإدخال اليومي'!F227="","",'الإدخال اليومي'!F227))</f>
        <v/>
      </c>
      <c r="K253" s="17" t="str">
        <f>IF($B253="","",N('الإدخال اليومي'!G227)+MAX(0,الإعدادات!$B$2-MAX(الإعدادات!$B$10+1,N(J253))+1)-SUMPRODUCT(('الإدخال اليومي'!$L227:$AA227&gt;0)*('الإدخال اليومي'!$L$3:$AA$3&gt;=MAX(الإعدادات!$B$10+1,N(J253)))*('الإدخال اليومي'!$L$3:$AA$3&lt;=الإعدادات!$B$2)))</f>
        <v/>
      </c>
      <c r="L253" s="17" t="str">
        <f>IF($B253="","",MAX(0,الإعدادات!$B$10-IF(J253="",الإعدادات!$B$9,MAX(J253,الإعدادات!$B$9))+1-N('الإدخال اليومي'!G227))+SUMPRODUCT(('الإدخال اليومي'!$L227:$AA227&gt;0)*('الإدخال اليومي'!$L$3:$AA$3&gt;=MAX(الإعدادات!$B$10+1,N(J253)))*('الإدخال اليومي'!$L$3:$AA$3&lt;=الإعدادات!$B$2)))</f>
        <v/>
      </c>
      <c r="M253" s="19" t="str">
        <f>IF($B253="","",IF(C253="امازون","",(IFERROR(INDEX(الإعدادات!$B$19:$B$22,MATCH(C253,الإعدادات!$A$19:$A$22,0)),الإعدادات!$B$3)/الإعدادات!$B$4)*L253))</f>
        <v/>
      </c>
      <c r="N253" s="21" t="str">
        <f t="shared" si="7"/>
        <v/>
      </c>
      <c r="O253" s="19" t="str">
        <f>IF($B253="","",IF(OR(C253="امازون",L253=0),"",ROUND(F253/L253*الإعدادات!$B$4,0)))</f>
        <v/>
      </c>
      <c r="P253" s="22" t="str">
        <f>IF($B253="","",IF('الإدخال اليومي'!AF227="لا يعمل","مستبعد (ترك العمل)",IF('الإدخال اليومي'!AF227="اجازه","مستبعد (اجازة)",IF(C253="امازون","امازون (شحنات)",IF(L253=0,"مستبعد (لم يعمل)",IF(F253&gt;=M253,"حقق",IF(F253&gt;=M253*الإعدادات!$B$8,"قريب","بعيد")))))))</f>
        <v/>
      </c>
      <c r="Q253" s="16" t="str">
        <f>IF($B253="","",TRIM('الإدخال اليومي'!H227&amp;IF(N('الإدخال اليومي'!AC227)&gt;0," | + "&amp;'الإدخال اليومي'!AC227&amp;" طلب من "&amp;'الإدخال اليومي'!AB227&amp;" (محسوبة في الإجمالي)","")))</f>
        <v/>
      </c>
      <c r="R253" s="17">
        <f t="shared" si="8"/>
        <v>0</v>
      </c>
      <c r="S253" s="17" t="str">
        <f>IF($B253="","",IF('الإدخال اليومي'!AF227="","يعمل",'الإدخال اليومي'!AF227))</f>
        <v/>
      </c>
    </row>
    <row r="254" spans="1:19" x14ac:dyDescent="0.3">
      <c r="A254" s="15" t="str">
        <f>IF('الإدخال اليومي'!$B228="","",IF('الإدخال اليومي'!A228="","",'الإدخال اليومي'!A228))</f>
        <v/>
      </c>
      <c r="B254" s="16" t="str">
        <f>IF('الإدخال اليومي'!$B228="","",IF('الإدخال اليومي'!B228="","",'الإدخال اليومي'!B228))</f>
        <v/>
      </c>
      <c r="C254" s="17" t="str">
        <f>IF('الإدخال اليومي'!$B228="","",IF('الإدخال اليومي'!C228="","",'الإدخال اليومي'!C228))</f>
        <v/>
      </c>
      <c r="D254" s="17" t="str">
        <f>IF($B254="","",224)</f>
        <v/>
      </c>
      <c r="E254" s="17" t="str">
        <f>IF('الإدخال اليومي'!$B228="","",IF('الإدخال اليومي'!AD228="","",'الإدخال اليومي'!AD228))</f>
        <v/>
      </c>
      <c r="F254" s="18" t="str">
        <f>IF($B254="","",'الإدخال اليومي'!I228)</f>
        <v/>
      </c>
      <c r="G254" s="19" t="str">
        <f>IF($B254="","",IF(N('الإدخال اليومي'!AG228)=0,"",'الإدخال اليومي'!AG228))</f>
        <v/>
      </c>
      <c r="H254" s="17" t="str">
        <f>IF('الإدخال اليومي'!$B228="","",IF('الإدخال اليومي'!AE228="","",'الإدخال اليومي'!AE228))</f>
        <v/>
      </c>
      <c r="I254" s="17" t="str">
        <f>IF($B254="","",IFERROR(INDEX('الإدخال اليومي'!K228:AA228,MATCH(الإعدادات!$B$2,'الإدخال اليومي'!$K$3:$AA$3,0)),0))</f>
        <v/>
      </c>
      <c r="J254" s="20" t="str">
        <f>IF('الإدخال اليومي'!$B228="","",IF('الإدخال اليومي'!F228="","",'الإدخال اليومي'!F228))</f>
        <v/>
      </c>
      <c r="K254" s="17" t="str">
        <f>IF($B254="","",N('الإدخال اليومي'!G228)+MAX(0,الإعدادات!$B$2-MAX(الإعدادات!$B$10+1,N(J254))+1)-SUMPRODUCT(('الإدخال اليومي'!$L228:$AA228&gt;0)*('الإدخال اليومي'!$L$3:$AA$3&gt;=MAX(الإعدادات!$B$10+1,N(J254)))*('الإدخال اليومي'!$L$3:$AA$3&lt;=الإعدادات!$B$2)))</f>
        <v/>
      </c>
      <c r="L254" s="17" t="str">
        <f>IF($B254="","",MAX(0,الإعدادات!$B$10-IF(J254="",الإعدادات!$B$9,MAX(J254,الإعدادات!$B$9))+1-N('الإدخال اليومي'!G228))+SUMPRODUCT(('الإدخال اليومي'!$L228:$AA228&gt;0)*('الإدخال اليومي'!$L$3:$AA$3&gt;=MAX(الإعدادات!$B$10+1,N(J254)))*('الإدخال اليومي'!$L$3:$AA$3&lt;=الإعدادات!$B$2)))</f>
        <v/>
      </c>
      <c r="M254" s="19" t="str">
        <f>IF($B254="","",IF(C254="امازون","",(IFERROR(INDEX(الإعدادات!$B$19:$B$22,MATCH(C254,الإعدادات!$A$19:$A$22,0)),الإعدادات!$B$3)/الإعدادات!$B$4)*L254))</f>
        <v/>
      </c>
      <c r="N254" s="21" t="str">
        <f t="shared" si="7"/>
        <v/>
      </c>
      <c r="O254" s="19" t="str">
        <f>IF($B254="","",IF(OR(C254="امازون",L254=0),"",ROUND(F254/L254*الإعدادات!$B$4,0)))</f>
        <v/>
      </c>
      <c r="P254" s="22" t="str">
        <f>IF($B254="","",IF('الإدخال اليومي'!AF228="لا يعمل","مستبعد (ترك العمل)",IF('الإدخال اليومي'!AF228="اجازه","مستبعد (اجازة)",IF(C254="امازون","امازون (شحنات)",IF(L254=0,"مستبعد (لم يعمل)",IF(F254&gt;=M254,"حقق",IF(F254&gt;=M254*الإعدادات!$B$8,"قريب","بعيد")))))))</f>
        <v/>
      </c>
      <c r="Q254" s="16" t="str">
        <f>IF($B254="","",TRIM('الإدخال اليومي'!H228&amp;IF(N('الإدخال اليومي'!AC228)&gt;0," | + "&amp;'الإدخال اليومي'!AC228&amp;" طلب من "&amp;'الإدخال اليومي'!AB228&amp;" (محسوبة في الإجمالي)","")))</f>
        <v/>
      </c>
      <c r="R254" s="17">
        <f t="shared" si="8"/>
        <v>0</v>
      </c>
      <c r="S254" s="17" t="str">
        <f>IF($B254="","",IF('الإدخال اليومي'!AF228="","يعمل",'الإدخال اليومي'!AF228))</f>
        <v/>
      </c>
    </row>
    <row r="255" spans="1:19" x14ac:dyDescent="0.3">
      <c r="A255" s="15" t="str">
        <f>IF('الإدخال اليومي'!$B229="","",IF('الإدخال اليومي'!A229="","",'الإدخال اليومي'!A229))</f>
        <v/>
      </c>
      <c r="B255" s="16" t="str">
        <f>IF('الإدخال اليومي'!$B229="","",IF('الإدخال اليومي'!B229="","",'الإدخال اليومي'!B229))</f>
        <v/>
      </c>
      <c r="C255" s="17" t="str">
        <f>IF('الإدخال اليومي'!$B229="","",IF('الإدخال اليومي'!C229="","",'الإدخال اليومي'!C229))</f>
        <v/>
      </c>
      <c r="D255" s="17" t="str">
        <f>IF($B255="","",225)</f>
        <v/>
      </c>
      <c r="E255" s="17" t="str">
        <f>IF('الإدخال اليومي'!$B229="","",IF('الإدخال اليومي'!AD229="","",'الإدخال اليومي'!AD229))</f>
        <v/>
      </c>
      <c r="F255" s="18" t="str">
        <f>IF($B255="","",'الإدخال اليومي'!I229)</f>
        <v/>
      </c>
      <c r="G255" s="19" t="str">
        <f>IF($B255="","",IF(N('الإدخال اليومي'!AG229)=0,"",'الإدخال اليومي'!AG229))</f>
        <v/>
      </c>
      <c r="H255" s="17" t="str">
        <f>IF('الإدخال اليومي'!$B229="","",IF('الإدخال اليومي'!AE229="","",'الإدخال اليومي'!AE229))</f>
        <v/>
      </c>
      <c r="I255" s="17" t="str">
        <f>IF($B255="","",IFERROR(INDEX('الإدخال اليومي'!K229:AA229,MATCH(الإعدادات!$B$2,'الإدخال اليومي'!$K$3:$AA$3,0)),0))</f>
        <v/>
      </c>
      <c r="J255" s="20" t="str">
        <f>IF('الإدخال اليومي'!$B229="","",IF('الإدخال اليومي'!F229="","",'الإدخال اليومي'!F229))</f>
        <v/>
      </c>
      <c r="K255" s="17" t="str">
        <f>IF($B255="","",N('الإدخال اليومي'!G229)+MAX(0,الإعدادات!$B$2-MAX(الإعدادات!$B$10+1,N(J255))+1)-SUMPRODUCT(('الإدخال اليومي'!$L229:$AA229&gt;0)*('الإدخال اليومي'!$L$3:$AA$3&gt;=MAX(الإعدادات!$B$10+1,N(J255)))*('الإدخال اليومي'!$L$3:$AA$3&lt;=الإعدادات!$B$2)))</f>
        <v/>
      </c>
      <c r="L255" s="17" t="str">
        <f>IF($B255="","",MAX(0,الإعدادات!$B$10-IF(J255="",الإعدادات!$B$9,MAX(J255,الإعدادات!$B$9))+1-N('الإدخال اليومي'!G229))+SUMPRODUCT(('الإدخال اليومي'!$L229:$AA229&gt;0)*('الإدخال اليومي'!$L$3:$AA$3&gt;=MAX(الإعدادات!$B$10+1,N(J255)))*('الإدخال اليومي'!$L$3:$AA$3&lt;=الإعدادات!$B$2)))</f>
        <v/>
      </c>
      <c r="M255" s="19" t="str">
        <f>IF($B255="","",IF(C255="امازون","",(IFERROR(INDEX(الإعدادات!$B$19:$B$22,MATCH(C255,الإعدادات!$A$19:$A$22,0)),الإعدادات!$B$3)/الإعدادات!$B$4)*L255))</f>
        <v/>
      </c>
      <c r="N255" s="21" t="str">
        <f t="shared" si="7"/>
        <v/>
      </c>
      <c r="O255" s="19" t="str">
        <f>IF($B255="","",IF(OR(C255="امازون",L255=0),"",ROUND(F255/L255*الإعدادات!$B$4,0)))</f>
        <v/>
      </c>
      <c r="P255" s="22" t="str">
        <f>IF($B255="","",IF('الإدخال اليومي'!AF229="لا يعمل","مستبعد (ترك العمل)",IF('الإدخال اليومي'!AF229="اجازه","مستبعد (اجازة)",IF(C255="امازون","امازون (شحنات)",IF(L255=0,"مستبعد (لم يعمل)",IF(F255&gt;=M255,"حقق",IF(F255&gt;=M255*الإعدادات!$B$8,"قريب","بعيد")))))))</f>
        <v/>
      </c>
      <c r="Q255" s="16" t="str">
        <f>IF($B255="","",TRIM('الإدخال اليومي'!H229&amp;IF(N('الإدخال اليومي'!AC229)&gt;0," | + "&amp;'الإدخال اليومي'!AC229&amp;" طلب من "&amp;'الإدخال اليومي'!AB229&amp;" (محسوبة في الإجمالي)","")))</f>
        <v/>
      </c>
      <c r="R255" s="17">
        <f t="shared" si="8"/>
        <v>0</v>
      </c>
      <c r="S255" s="17" t="str">
        <f>IF($B255="","",IF('الإدخال اليومي'!AF229="","يعمل",'الإدخال اليومي'!AF229))</f>
        <v/>
      </c>
    </row>
    <row r="256" spans="1:19" x14ac:dyDescent="0.3">
      <c r="A256" s="15" t="str">
        <f>IF('الإدخال اليومي'!$B230="","",IF('الإدخال اليومي'!A230="","",'الإدخال اليومي'!A230))</f>
        <v/>
      </c>
      <c r="B256" s="16" t="str">
        <f>IF('الإدخال اليومي'!$B230="","",IF('الإدخال اليومي'!B230="","",'الإدخال اليومي'!B230))</f>
        <v/>
      </c>
      <c r="C256" s="17" t="str">
        <f>IF('الإدخال اليومي'!$B230="","",IF('الإدخال اليومي'!C230="","",'الإدخال اليومي'!C230))</f>
        <v/>
      </c>
      <c r="D256" s="17" t="str">
        <f>IF($B256="","",226)</f>
        <v/>
      </c>
      <c r="E256" s="17" t="str">
        <f>IF('الإدخال اليومي'!$B230="","",IF('الإدخال اليومي'!AD230="","",'الإدخال اليومي'!AD230))</f>
        <v/>
      </c>
      <c r="F256" s="18" t="str">
        <f>IF($B256="","",'الإدخال اليومي'!I230)</f>
        <v/>
      </c>
      <c r="G256" s="19" t="str">
        <f>IF($B256="","",IF(N('الإدخال اليومي'!AG230)=0,"",'الإدخال اليومي'!AG230))</f>
        <v/>
      </c>
      <c r="H256" s="17" t="str">
        <f>IF('الإدخال اليومي'!$B230="","",IF('الإدخال اليومي'!AE230="","",'الإدخال اليومي'!AE230))</f>
        <v/>
      </c>
      <c r="I256" s="17" t="str">
        <f>IF($B256="","",IFERROR(INDEX('الإدخال اليومي'!K230:AA230,MATCH(الإعدادات!$B$2,'الإدخال اليومي'!$K$3:$AA$3,0)),0))</f>
        <v/>
      </c>
      <c r="J256" s="20" t="str">
        <f>IF('الإدخال اليومي'!$B230="","",IF('الإدخال اليومي'!F230="","",'الإدخال اليومي'!F230))</f>
        <v/>
      </c>
      <c r="K256" s="17" t="str">
        <f>IF($B256="","",N('الإدخال اليومي'!G230)+MAX(0,الإعدادات!$B$2-MAX(الإعدادات!$B$10+1,N(J256))+1)-SUMPRODUCT(('الإدخال اليومي'!$L230:$AA230&gt;0)*('الإدخال اليومي'!$L$3:$AA$3&gt;=MAX(الإعدادات!$B$10+1,N(J256)))*('الإدخال اليومي'!$L$3:$AA$3&lt;=الإعدادات!$B$2)))</f>
        <v/>
      </c>
      <c r="L256" s="17" t="str">
        <f>IF($B256="","",MAX(0,الإعدادات!$B$10-IF(J256="",الإعدادات!$B$9,MAX(J256,الإعدادات!$B$9))+1-N('الإدخال اليومي'!G230))+SUMPRODUCT(('الإدخال اليومي'!$L230:$AA230&gt;0)*('الإدخال اليومي'!$L$3:$AA$3&gt;=MAX(الإعدادات!$B$10+1,N(J256)))*('الإدخال اليومي'!$L$3:$AA$3&lt;=الإعدادات!$B$2)))</f>
        <v/>
      </c>
      <c r="M256" s="19" t="str">
        <f>IF($B256="","",IF(C256="امازون","",(IFERROR(INDEX(الإعدادات!$B$19:$B$22,MATCH(C256,الإعدادات!$A$19:$A$22,0)),الإعدادات!$B$3)/الإعدادات!$B$4)*L256))</f>
        <v/>
      </c>
      <c r="N256" s="21" t="str">
        <f t="shared" si="7"/>
        <v/>
      </c>
      <c r="O256" s="19" t="str">
        <f>IF($B256="","",IF(OR(C256="امازون",L256=0),"",ROUND(F256/L256*الإعدادات!$B$4,0)))</f>
        <v/>
      </c>
      <c r="P256" s="22" t="str">
        <f>IF($B256="","",IF('الإدخال اليومي'!AF230="لا يعمل","مستبعد (ترك العمل)",IF('الإدخال اليومي'!AF230="اجازه","مستبعد (اجازة)",IF(C256="امازون","امازون (شحنات)",IF(L256=0,"مستبعد (لم يعمل)",IF(F256&gt;=M256,"حقق",IF(F256&gt;=M256*الإعدادات!$B$8,"قريب","بعيد")))))))</f>
        <v/>
      </c>
      <c r="Q256" s="16" t="str">
        <f>IF($B256="","",TRIM('الإدخال اليومي'!H230&amp;IF(N('الإدخال اليومي'!AC230)&gt;0," | + "&amp;'الإدخال اليومي'!AC230&amp;" طلب من "&amp;'الإدخال اليومي'!AB230&amp;" (محسوبة في الإجمالي)","")))</f>
        <v/>
      </c>
      <c r="R256" s="17">
        <f t="shared" si="8"/>
        <v>0</v>
      </c>
      <c r="S256" s="17" t="str">
        <f>IF($B256="","",IF('الإدخال اليومي'!AF230="","يعمل",'الإدخال اليومي'!AF230))</f>
        <v/>
      </c>
    </row>
    <row r="257" spans="1:19" x14ac:dyDescent="0.3">
      <c r="A257" s="15" t="str">
        <f>IF('الإدخال اليومي'!$B231="","",IF('الإدخال اليومي'!A231="","",'الإدخال اليومي'!A231))</f>
        <v/>
      </c>
      <c r="B257" s="16" t="str">
        <f>IF('الإدخال اليومي'!$B231="","",IF('الإدخال اليومي'!B231="","",'الإدخال اليومي'!B231))</f>
        <v/>
      </c>
      <c r="C257" s="17" t="str">
        <f>IF('الإدخال اليومي'!$B231="","",IF('الإدخال اليومي'!C231="","",'الإدخال اليومي'!C231))</f>
        <v/>
      </c>
      <c r="D257" s="17" t="str">
        <f>IF($B257="","",227)</f>
        <v/>
      </c>
      <c r="E257" s="17" t="str">
        <f>IF('الإدخال اليومي'!$B231="","",IF('الإدخال اليومي'!AD231="","",'الإدخال اليومي'!AD231))</f>
        <v/>
      </c>
      <c r="F257" s="18" t="str">
        <f>IF($B257="","",'الإدخال اليومي'!I231)</f>
        <v/>
      </c>
      <c r="G257" s="19" t="str">
        <f>IF($B257="","",IF(N('الإدخال اليومي'!AG231)=0,"",'الإدخال اليومي'!AG231))</f>
        <v/>
      </c>
      <c r="H257" s="17" t="str">
        <f>IF('الإدخال اليومي'!$B231="","",IF('الإدخال اليومي'!AE231="","",'الإدخال اليومي'!AE231))</f>
        <v/>
      </c>
      <c r="I257" s="17" t="str">
        <f>IF($B257="","",IFERROR(INDEX('الإدخال اليومي'!K231:AA231,MATCH(الإعدادات!$B$2,'الإدخال اليومي'!$K$3:$AA$3,0)),0))</f>
        <v/>
      </c>
      <c r="J257" s="20" t="str">
        <f>IF('الإدخال اليومي'!$B231="","",IF('الإدخال اليومي'!F231="","",'الإدخال اليومي'!F231))</f>
        <v/>
      </c>
      <c r="K257" s="17" t="str">
        <f>IF($B257="","",N('الإدخال اليومي'!G231)+MAX(0,الإعدادات!$B$2-MAX(الإعدادات!$B$10+1,N(J257))+1)-SUMPRODUCT(('الإدخال اليومي'!$L231:$AA231&gt;0)*('الإدخال اليومي'!$L$3:$AA$3&gt;=MAX(الإعدادات!$B$10+1,N(J257)))*('الإدخال اليومي'!$L$3:$AA$3&lt;=الإعدادات!$B$2)))</f>
        <v/>
      </c>
      <c r="L257" s="17" t="str">
        <f>IF($B257="","",MAX(0,الإعدادات!$B$10-IF(J257="",الإعدادات!$B$9,MAX(J257,الإعدادات!$B$9))+1-N('الإدخال اليومي'!G231))+SUMPRODUCT(('الإدخال اليومي'!$L231:$AA231&gt;0)*('الإدخال اليومي'!$L$3:$AA$3&gt;=MAX(الإعدادات!$B$10+1,N(J257)))*('الإدخال اليومي'!$L$3:$AA$3&lt;=الإعدادات!$B$2)))</f>
        <v/>
      </c>
      <c r="M257" s="19" t="str">
        <f>IF($B257="","",IF(C257="امازون","",(IFERROR(INDEX(الإعدادات!$B$19:$B$22,MATCH(C257,الإعدادات!$A$19:$A$22,0)),الإعدادات!$B$3)/الإعدادات!$B$4)*L257))</f>
        <v/>
      </c>
      <c r="N257" s="21" t="str">
        <f t="shared" si="7"/>
        <v/>
      </c>
      <c r="O257" s="19" t="str">
        <f>IF($B257="","",IF(OR(C257="امازون",L257=0),"",ROUND(F257/L257*الإعدادات!$B$4,0)))</f>
        <v/>
      </c>
      <c r="P257" s="22" t="str">
        <f>IF($B257="","",IF('الإدخال اليومي'!AF231="لا يعمل","مستبعد (ترك العمل)",IF('الإدخال اليومي'!AF231="اجازه","مستبعد (اجازة)",IF(C257="امازون","امازون (شحنات)",IF(L257=0,"مستبعد (لم يعمل)",IF(F257&gt;=M257,"حقق",IF(F257&gt;=M257*الإعدادات!$B$8,"قريب","بعيد")))))))</f>
        <v/>
      </c>
      <c r="Q257" s="16" t="str">
        <f>IF($B257="","",TRIM('الإدخال اليومي'!H231&amp;IF(N('الإدخال اليومي'!AC231)&gt;0," | + "&amp;'الإدخال اليومي'!AC231&amp;" طلب من "&amp;'الإدخال اليومي'!AB231&amp;" (محسوبة في الإجمالي)","")))</f>
        <v/>
      </c>
      <c r="R257" s="17">
        <f t="shared" si="8"/>
        <v>0</v>
      </c>
      <c r="S257" s="17" t="str">
        <f>IF($B257="","",IF('الإدخال اليومي'!AF231="","يعمل",'الإدخال اليومي'!AF231))</f>
        <v/>
      </c>
    </row>
    <row r="258" spans="1:19" x14ac:dyDescent="0.3">
      <c r="A258" s="15" t="str">
        <f>IF('الإدخال اليومي'!$B232="","",IF('الإدخال اليومي'!A232="","",'الإدخال اليومي'!A232))</f>
        <v/>
      </c>
      <c r="B258" s="16" t="str">
        <f>IF('الإدخال اليومي'!$B232="","",IF('الإدخال اليومي'!B232="","",'الإدخال اليومي'!B232))</f>
        <v/>
      </c>
      <c r="C258" s="17" t="str">
        <f>IF('الإدخال اليومي'!$B232="","",IF('الإدخال اليومي'!C232="","",'الإدخال اليومي'!C232))</f>
        <v/>
      </c>
      <c r="D258" s="17" t="str">
        <f>IF($B258="","",228)</f>
        <v/>
      </c>
      <c r="E258" s="17" t="str">
        <f>IF('الإدخال اليومي'!$B232="","",IF('الإدخال اليومي'!AD232="","",'الإدخال اليومي'!AD232))</f>
        <v/>
      </c>
      <c r="F258" s="18" t="str">
        <f>IF($B258="","",'الإدخال اليومي'!I232)</f>
        <v/>
      </c>
      <c r="G258" s="19" t="str">
        <f>IF($B258="","",IF(N('الإدخال اليومي'!AG232)=0,"",'الإدخال اليومي'!AG232))</f>
        <v/>
      </c>
      <c r="H258" s="17" t="str">
        <f>IF('الإدخال اليومي'!$B232="","",IF('الإدخال اليومي'!AE232="","",'الإدخال اليومي'!AE232))</f>
        <v/>
      </c>
      <c r="I258" s="17" t="str">
        <f>IF($B258="","",IFERROR(INDEX('الإدخال اليومي'!K232:AA232,MATCH(الإعدادات!$B$2,'الإدخال اليومي'!$K$3:$AA$3,0)),0))</f>
        <v/>
      </c>
      <c r="J258" s="20" t="str">
        <f>IF('الإدخال اليومي'!$B232="","",IF('الإدخال اليومي'!F232="","",'الإدخال اليومي'!F232))</f>
        <v/>
      </c>
      <c r="K258" s="17" t="str">
        <f>IF($B258="","",N('الإدخال اليومي'!G232)+MAX(0,الإعدادات!$B$2-MAX(الإعدادات!$B$10+1,N(J258))+1)-SUMPRODUCT(('الإدخال اليومي'!$L232:$AA232&gt;0)*('الإدخال اليومي'!$L$3:$AA$3&gt;=MAX(الإعدادات!$B$10+1,N(J258)))*('الإدخال اليومي'!$L$3:$AA$3&lt;=الإعدادات!$B$2)))</f>
        <v/>
      </c>
      <c r="L258" s="17" t="str">
        <f>IF($B258="","",MAX(0,الإعدادات!$B$10-IF(J258="",الإعدادات!$B$9,MAX(J258,الإعدادات!$B$9))+1-N('الإدخال اليومي'!G232))+SUMPRODUCT(('الإدخال اليومي'!$L232:$AA232&gt;0)*('الإدخال اليومي'!$L$3:$AA$3&gt;=MAX(الإعدادات!$B$10+1,N(J258)))*('الإدخال اليومي'!$L$3:$AA$3&lt;=الإعدادات!$B$2)))</f>
        <v/>
      </c>
      <c r="M258" s="19" t="str">
        <f>IF($B258="","",IF(C258="امازون","",(IFERROR(INDEX(الإعدادات!$B$19:$B$22,MATCH(C258,الإعدادات!$A$19:$A$22,0)),الإعدادات!$B$3)/الإعدادات!$B$4)*L258))</f>
        <v/>
      </c>
      <c r="N258" s="21" t="str">
        <f t="shared" si="7"/>
        <v/>
      </c>
      <c r="O258" s="19" t="str">
        <f>IF($B258="","",IF(OR(C258="امازون",L258=0),"",ROUND(F258/L258*الإعدادات!$B$4,0)))</f>
        <v/>
      </c>
      <c r="P258" s="22" t="str">
        <f>IF($B258="","",IF('الإدخال اليومي'!AF232="لا يعمل","مستبعد (ترك العمل)",IF('الإدخال اليومي'!AF232="اجازه","مستبعد (اجازة)",IF(C258="امازون","امازون (شحنات)",IF(L258=0,"مستبعد (لم يعمل)",IF(F258&gt;=M258,"حقق",IF(F258&gt;=M258*الإعدادات!$B$8,"قريب","بعيد")))))))</f>
        <v/>
      </c>
      <c r="Q258" s="16" t="str">
        <f>IF($B258="","",TRIM('الإدخال اليومي'!H232&amp;IF(N('الإدخال اليومي'!AC232)&gt;0," | + "&amp;'الإدخال اليومي'!AC232&amp;" طلب من "&amp;'الإدخال اليومي'!AB232&amp;" (محسوبة في الإجمالي)","")))</f>
        <v/>
      </c>
      <c r="R258" s="17">
        <f t="shared" si="8"/>
        <v>0</v>
      </c>
      <c r="S258" s="17" t="str">
        <f>IF($B258="","",IF('الإدخال اليومي'!AF232="","يعمل",'الإدخال اليومي'!AF232))</f>
        <v/>
      </c>
    </row>
    <row r="259" spans="1:19" x14ac:dyDescent="0.3">
      <c r="A259" s="15" t="str">
        <f>IF('الإدخال اليومي'!$B233="","",IF('الإدخال اليومي'!A233="","",'الإدخال اليومي'!A233))</f>
        <v/>
      </c>
      <c r="B259" s="16" t="str">
        <f>IF('الإدخال اليومي'!$B233="","",IF('الإدخال اليومي'!B233="","",'الإدخال اليومي'!B233))</f>
        <v/>
      </c>
      <c r="C259" s="17" t="str">
        <f>IF('الإدخال اليومي'!$B233="","",IF('الإدخال اليومي'!C233="","",'الإدخال اليومي'!C233))</f>
        <v/>
      </c>
      <c r="D259" s="17" t="str">
        <f>IF($B259="","",229)</f>
        <v/>
      </c>
      <c r="E259" s="17" t="str">
        <f>IF('الإدخال اليومي'!$B233="","",IF('الإدخال اليومي'!AD233="","",'الإدخال اليومي'!AD233))</f>
        <v/>
      </c>
      <c r="F259" s="18" t="str">
        <f>IF($B259="","",'الإدخال اليومي'!I233)</f>
        <v/>
      </c>
      <c r="G259" s="19" t="str">
        <f>IF($B259="","",IF(N('الإدخال اليومي'!AG233)=0,"",'الإدخال اليومي'!AG233))</f>
        <v/>
      </c>
      <c r="H259" s="17" t="str">
        <f>IF('الإدخال اليومي'!$B233="","",IF('الإدخال اليومي'!AE233="","",'الإدخال اليومي'!AE233))</f>
        <v/>
      </c>
      <c r="I259" s="17" t="str">
        <f>IF($B259="","",IFERROR(INDEX('الإدخال اليومي'!K233:AA233,MATCH(الإعدادات!$B$2,'الإدخال اليومي'!$K$3:$AA$3,0)),0))</f>
        <v/>
      </c>
      <c r="J259" s="20" t="str">
        <f>IF('الإدخال اليومي'!$B233="","",IF('الإدخال اليومي'!F233="","",'الإدخال اليومي'!F233))</f>
        <v/>
      </c>
      <c r="K259" s="17" t="str">
        <f>IF($B259="","",N('الإدخال اليومي'!G233)+MAX(0,الإعدادات!$B$2-MAX(الإعدادات!$B$10+1,N(J259))+1)-SUMPRODUCT(('الإدخال اليومي'!$L233:$AA233&gt;0)*('الإدخال اليومي'!$L$3:$AA$3&gt;=MAX(الإعدادات!$B$10+1,N(J259)))*('الإدخال اليومي'!$L$3:$AA$3&lt;=الإعدادات!$B$2)))</f>
        <v/>
      </c>
      <c r="L259" s="17" t="str">
        <f>IF($B259="","",MAX(0,الإعدادات!$B$10-IF(J259="",الإعدادات!$B$9,MAX(J259,الإعدادات!$B$9))+1-N('الإدخال اليومي'!G233))+SUMPRODUCT(('الإدخال اليومي'!$L233:$AA233&gt;0)*('الإدخال اليومي'!$L$3:$AA$3&gt;=MAX(الإعدادات!$B$10+1,N(J259)))*('الإدخال اليومي'!$L$3:$AA$3&lt;=الإعدادات!$B$2)))</f>
        <v/>
      </c>
      <c r="M259" s="19" t="str">
        <f>IF($B259="","",IF(C259="امازون","",(IFERROR(INDEX(الإعدادات!$B$19:$B$22,MATCH(C259,الإعدادات!$A$19:$A$22,0)),الإعدادات!$B$3)/الإعدادات!$B$4)*L259))</f>
        <v/>
      </c>
      <c r="N259" s="21" t="str">
        <f t="shared" si="7"/>
        <v/>
      </c>
      <c r="O259" s="19" t="str">
        <f>IF($B259="","",IF(OR(C259="امازون",L259=0),"",ROUND(F259/L259*الإعدادات!$B$4,0)))</f>
        <v/>
      </c>
      <c r="P259" s="22" t="str">
        <f>IF($B259="","",IF('الإدخال اليومي'!AF233="لا يعمل","مستبعد (ترك العمل)",IF('الإدخال اليومي'!AF233="اجازه","مستبعد (اجازة)",IF(C259="امازون","امازون (شحنات)",IF(L259=0,"مستبعد (لم يعمل)",IF(F259&gt;=M259,"حقق",IF(F259&gt;=M259*الإعدادات!$B$8,"قريب","بعيد")))))))</f>
        <v/>
      </c>
      <c r="Q259" s="16" t="str">
        <f>IF($B259="","",TRIM('الإدخال اليومي'!H233&amp;IF(N('الإدخال اليومي'!AC233)&gt;0," | + "&amp;'الإدخال اليومي'!AC233&amp;" طلب من "&amp;'الإدخال اليومي'!AB233&amp;" (محسوبة في الإجمالي)","")))</f>
        <v/>
      </c>
      <c r="R259" s="17">
        <f t="shared" si="8"/>
        <v>0</v>
      </c>
      <c r="S259" s="17" t="str">
        <f>IF($B259="","",IF('الإدخال اليومي'!AF233="","يعمل",'الإدخال اليومي'!AF233))</f>
        <v/>
      </c>
    </row>
    <row r="260" spans="1:19" x14ac:dyDescent="0.3">
      <c r="A260" s="15" t="str">
        <f>IF('الإدخال اليومي'!$B234="","",IF('الإدخال اليومي'!A234="","",'الإدخال اليومي'!A234))</f>
        <v/>
      </c>
      <c r="B260" s="16" t="str">
        <f>IF('الإدخال اليومي'!$B234="","",IF('الإدخال اليومي'!B234="","",'الإدخال اليومي'!B234))</f>
        <v/>
      </c>
      <c r="C260" s="17" t="str">
        <f>IF('الإدخال اليومي'!$B234="","",IF('الإدخال اليومي'!C234="","",'الإدخال اليومي'!C234))</f>
        <v/>
      </c>
      <c r="D260" s="17" t="str">
        <f>IF($B260="","",230)</f>
        <v/>
      </c>
      <c r="E260" s="17" t="str">
        <f>IF('الإدخال اليومي'!$B234="","",IF('الإدخال اليومي'!AD234="","",'الإدخال اليومي'!AD234))</f>
        <v/>
      </c>
      <c r="F260" s="18" t="str">
        <f>IF($B260="","",'الإدخال اليومي'!I234)</f>
        <v/>
      </c>
      <c r="G260" s="19" t="str">
        <f>IF($B260="","",IF(N('الإدخال اليومي'!AG234)=0,"",'الإدخال اليومي'!AG234))</f>
        <v/>
      </c>
      <c r="H260" s="17" t="str">
        <f>IF('الإدخال اليومي'!$B234="","",IF('الإدخال اليومي'!AE234="","",'الإدخال اليومي'!AE234))</f>
        <v/>
      </c>
      <c r="I260" s="17" t="str">
        <f>IF($B260="","",IFERROR(INDEX('الإدخال اليومي'!K234:AA234,MATCH(الإعدادات!$B$2,'الإدخال اليومي'!$K$3:$AA$3,0)),0))</f>
        <v/>
      </c>
      <c r="J260" s="20" t="str">
        <f>IF('الإدخال اليومي'!$B234="","",IF('الإدخال اليومي'!F234="","",'الإدخال اليومي'!F234))</f>
        <v/>
      </c>
      <c r="K260" s="17" t="str">
        <f>IF($B260="","",N('الإدخال اليومي'!G234)+MAX(0,الإعدادات!$B$2-MAX(الإعدادات!$B$10+1,N(J260))+1)-SUMPRODUCT(('الإدخال اليومي'!$L234:$AA234&gt;0)*('الإدخال اليومي'!$L$3:$AA$3&gt;=MAX(الإعدادات!$B$10+1,N(J260)))*('الإدخال اليومي'!$L$3:$AA$3&lt;=الإعدادات!$B$2)))</f>
        <v/>
      </c>
      <c r="L260" s="17" t="str">
        <f>IF($B260="","",MAX(0,الإعدادات!$B$10-IF(J260="",الإعدادات!$B$9,MAX(J260,الإعدادات!$B$9))+1-N('الإدخال اليومي'!G234))+SUMPRODUCT(('الإدخال اليومي'!$L234:$AA234&gt;0)*('الإدخال اليومي'!$L$3:$AA$3&gt;=MAX(الإعدادات!$B$10+1,N(J260)))*('الإدخال اليومي'!$L$3:$AA$3&lt;=الإعدادات!$B$2)))</f>
        <v/>
      </c>
      <c r="M260" s="19" t="str">
        <f>IF($B260="","",IF(C260="امازون","",(IFERROR(INDEX(الإعدادات!$B$19:$B$22,MATCH(C260,الإعدادات!$A$19:$A$22,0)),الإعدادات!$B$3)/الإعدادات!$B$4)*L260))</f>
        <v/>
      </c>
      <c r="N260" s="21" t="str">
        <f t="shared" si="7"/>
        <v/>
      </c>
      <c r="O260" s="19" t="str">
        <f>IF($B260="","",IF(OR(C260="امازون",L260=0),"",ROUND(F260/L260*الإعدادات!$B$4,0)))</f>
        <v/>
      </c>
      <c r="P260" s="22" t="str">
        <f>IF($B260="","",IF('الإدخال اليومي'!AF234="لا يعمل","مستبعد (ترك العمل)",IF('الإدخال اليومي'!AF234="اجازه","مستبعد (اجازة)",IF(C260="امازون","امازون (شحنات)",IF(L260=0,"مستبعد (لم يعمل)",IF(F260&gt;=M260,"حقق",IF(F260&gt;=M260*الإعدادات!$B$8,"قريب","بعيد")))))))</f>
        <v/>
      </c>
      <c r="Q260" s="16" t="str">
        <f>IF($B260="","",TRIM('الإدخال اليومي'!H234&amp;IF(N('الإدخال اليومي'!AC234)&gt;0," | + "&amp;'الإدخال اليومي'!AC234&amp;" طلب من "&amp;'الإدخال اليومي'!AB234&amp;" (محسوبة في الإجمالي)","")))</f>
        <v/>
      </c>
      <c r="R260" s="17">
        <f t="shared" si="8"/>
        <v>0</v>
      </c>
      <c r="S260" s="17" t="str">
        <f>IF($B260="","",IF('الإدخال اليومي'!AF234="","يعمل",'الإدخال اليومي'!AF234))</f>
        <v/>
      </c>
    </row>
  </sheetData>
  <autoFilter ref="A30:Q260" xr:uid="{00000000-0009-0000-0000-000000000000}"/>
  <mergeCells count="13">
    <mergeCell ref="A12:Q12"/>
    <mergeCell ref="A26:Q26"/>
    <mergeCell ref="A28:Q28"/>
    <mergeCell ref="B8:B9"/>
    <mergeCell ref="C8:E8"/>
    <mergeCell ref="F8:H8"/>
    <mergeCell ref="I8:K8"/>
    <mergeCell ref="L8:N8"/>
    <mergeCell ref="A1:Q1"/>
    <mergeCell ref="A2:Q2"/>
    <mergeCell ref="A3:Q3"/>
    <mergeCell ref="L4:O5"/>
    <mergeCell ref="A7:Q7"/>
  </mergeCells>
  <conditionalFormatting sqref="A31:Q260">
    <cfRule type="expression" dxfId="11" priority="2">
      <formula>$B31&lt;&gt;""</formula>
    </cfRule>
    <cfRule type="expression" dxfId="10" priority="3">
      <formula>AND($B31&lt;&gt;"",MOD(ROW(),2)=0)</formula>
    </cfRule>
  </conditionalFormatting>
  <conditionalFormatting sqref="P31:P260">
    <cfRule type="expression" dxfId="9" priority="4">
      <formula>$P31="حقق"</formula>
    </cfRule>
    <cfRule type="expression" dxfId="8" priority="5">
      <formula>$P31="قريب"</formula>
    </cfRule>
    <cfRule type="expression" dxfId="7" priority="6">
      <formula>$P31="بعيد"</formula>
    </cfRule>
    <cfRule type="expression" dxfId="6" priority="7">
      <formula>OR(LEFT($P31,5)="مستبع",LEFT($P31,5)="امازو")</formula>
    </cfRule>
  </conditionalFormatting>
  <pageMargins left="0.75" right="0.75" top="1" bottom="1" header="0.511811023622047" footer="0.511811023622047"/>
  <pageSetup fitToHeight="0"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AH234"/>
  <sheetViews>
    <sheetView rightToLeft="1" zoomScaleNormal="100" workbookViewId="0">
      <pane xSplit="3" ySplit="4" topLeftCell="Q5" activePane="bottomRight" state="frozen"/>
      <selection pane="topRight" activeCell="D1" sqref="D1"/>
      <selection pane="bottomLeft" activeCell="A5" sqref="A5"/>
      <selection pane="bottomRight" activeCell="B235" sqref="B235"/>
    </sheetView>
  </sheetViews>
  <sheetFormatPr defaultColWidth="8.6640625" defaultRowHeight="14.4" x14ac:dyDescent="0.3"/>
  <cols>
    <col min="1" max="1" width="14" customWidth="1"/>
    <col min="2" max="2" width="28" customWidth="1"/>
    <col min="3" max="3" width="12" customWidth="1"/>
    <col min="4" max="4" width="5" customWidth="1"/>
    <col min="5" max="5" width="15" customWidth="1"/>
    <col min="6" max="6" width="13" customWidth="1"/>
    <col min="7" max="7" width="10" customWidth="1"/>
    <col min="8" max="8" width="30" customWidth="1"/>
    <col min="9" max="10" width="12" customWidth="1"/>
    <col min="11" max="27" width="9" customWidth="1"/>
    <col min="28" max="29" width="16" customWidth="1"/>
    <col min="30" max="32" width="15" customWidth="1"/>
    <col min="33" max="34" width="18" customWidth="1"/>
  </cols>
  <sheetData>
    <row r="1" spans="1:34" ht="30" customHeight="1" x14ac:dyDescent="0.3">
      <c r="A1" s="54" t="s">
        <v>40</v>
      </c>
      <c r="B1" s="54"/>
      <c r="C1" s="54"/>
      <c r="D1" s="54"/>
      <c r="E1" s="54"/>
      <c r="F1" s="54"/>
      <c r="G1" s="54"/>
      <c r="H1" s="54"/>
      <c r="I1" s="54"/>
      <c r="J1" s="54"/>
      <c r="K1" s="54"/>
      <c r="L1" s="54"/>
      <c r="M1" s="54"/>
      <c r="N1" s="54"/>
      <c r="O1" s="54"/>
      <c r="P1" s="54"/>
      <c r="Q1" s="54"/>
      <c r="R1" s="54"/>
      <c r="S1" s="54"/>
      <c r="T1" s="54"/>
      <c r="U1" s="54"/>
      <c r="V1" s="54"/>
      <c r="W1" s="54"/>
      <c r="X1" s="54"/>
      <c r="Y1" s="54"/>
      <c r="Z1" s="54"/>
      <c r="AA1" s="54"/>
      <c r="AB1" s="54"/>
      <c r="AC1" s="54"/>
      <c r="AD1" s="54"/>
      <c r="AE1" s="54"/>
      <c r="AF1" s="54"/>
      <c r="AG1" s="54"/>
      <c r="AH1" s="54"/>
    </row>
    <row r="2" spans="1:34" ht="43.5" customHeight="1" x14ac:dyDescent="0.3">
      <c r="A2" s="52" t="s">
        <v>41</v>
      </c>
      <c r="B2" s="52"/>
      <c r="C2" s="52"/>
      <c r="D2" s="52"/>
      <c r="E2" s="52"/>
      <c r="F2" s="52"/>
      <c r="G2" s="52"/>
      <c r="H2" s="52"/>
      <c r="I2" s="52"/>
      <c r="J2" s="52"/>
      <c r="K2" s="52"/>
      <c r="L2" s="52"/>
      <c r="M2" s="52"/>
      <c r="N2" s="52"/>
      <c r="O2" s="52"/>
      <c r="P2" s="52"/>
      <c r="Q2" s="52"/>
      <c r="R2" s="52"/>
      <c r="S2" s="52"/>
      <c r="T2" s="52"/>
      <c r="U2" s="52"/>
      <c r="V2" s="52"/>
      <c r="W2" s="52"/>
      <c r="X2" s="52"/>
      <c r="Y2" s="52"/>
      <c r="Z2" s="52"/>
      <c r="AA2" s="52"/>
      <c r="AB2" s="52"/>
      <c r="AC2" s="52"/>
      <c r="AD2" s="52"/>
      <c r="AE2" s="52"/>
      <c r="AF2" s="52"/>
      <c r="AG2" s="52"/>
      <c r="AH2" s="52"/>
    </row>
    <row r="3" spans="1:34" ht="39.75" customHeight="1" x14ac:dyDescent="0.3">
      <c r="A3" s="2" t="s">
        <v>26</v>
      </c>
      <c r="B3" s="2" t="s">
        <v>27</v>
      </c>
      <c r="C3" s="2" t="s">
        <v>14</v>
      </c>
      <c r="D3" s="2" t="s">
        <v>28</v>
      </c>
      <c r="E3" s="2" t="s">
        <v>42</v>
      </c>
      <c r="F3" s="23" t="s">
        <v>43</v>
      </c>
      <c r="G3" s="2" t="s">
        <v>44</v>
      </c>
      <c r="H3" s="2" t="s">
        <v>45</v>
      </c>
      <c r="I3" s="2" t="s">
        <v>46</v>
      </c>
      <c r="J3" s="24" t="str">
        <f>"إجمالي حتى "&amp;TEXT(الإعدادات!$B$10,"dd/mm")</f>
        <v>إجمالي حتى 15/10</v>
      </c>
      <c r="K3" s="25">
        <f>الإعدادات!$B$10</f>
        <v>46310</v>
      </c>
      <c r="L3" s="25">
        <f t="shared" ref="L3:AA3" si="0">K3+1</f>
        <v>46311</v>
      </c>
      <c r="M3" s="25">
        <f t="shared" si="0"/>
        <v>46312</v>
      </c>
      <c r="N3" s="25">
        <f t="shared" si="0"/>
        <v>46313</v>
      </c>
      <c r="O3" s="25">
        <f t="shared" si="0"/>
        <v>46314</v>
      </c>
      <c r="P3" s="25">
        <f t="shared" si="0"/>
        <v>46315</v>
      </c>
      <c r="Q3" s="25">
        <f t="shared" si="0"/>
        <v>46316</v>
      </c>
      <c r="R3" s="25">
        <f t="shared" si="0"/>
        <v>46317</v>
      </c>
      <c r="S3" s="25">
        <f t="shared" si="0"/>
        <v>46318</v>
      </c>
      <c r="T3" s="25">
        <f t="shared" si="0"/>
        <v>46319</v>
      </c>
      <c r="U3" s="25">
        <f t="shared" si="0"/>
        <v>46320</v>
      </c>
      <c r="V3" s="25">
        <f t="shared" si="0"/>
        <v>46321</v>
      </c>
      <c r="W3" s="25">
        <f t="shared" si="0"/>
        <v>46322</v>
      </c>
      <c r="X3" s="25">
        <f t="shared" si="0"/>
        <v>46323</v>
      </c>
      <c r="Y3" s="25">
        <f t="shared" si="0"/>
        <v>46324</v>
      </c>
      <c r="Z3" s="25">
        <f t="shared" si="0"/>
        <v>46325</v>
      </c>
      <c r="AA3" s="25">
        <f t="shared" si="0"/>
        <v>46326</v>
      </c>
      <c r="AB3" s="24" t="s">
        <v>47</v>
      </c>
      <c r="AC3" s="24" t="s">
        <v>48</v>
      </c>
      <c r="AD3" s="23" t="s">
        <v>29</v>
      </c>
      <c r="AE3" s="23" t="s">
        <v>13</v>
      </c>
      <c r="AF3" s="23" t="s">
        <v>49</v>
      </c>
      <c r="AG3" s="23" t="s">
        <v>50</v>
      </c>
      <c r="AH3" s="26" t="s">
        <v>51</v>
      </c>
    </row>
    <row r="4" spans="1:34" ht="15" customHeight="1" x14ac:dyDescent="0.3">
      <c r="A4" s="55" t="s">
        <v>52</v>
      </c>
      <c r="B4" s="55"/>
      <c r="C4" s="55"/>
      <c r="D4" s="55"/>
      <c r="E4" s="55"/>
      <c r="F4" s="55"/>
      <c r="G4" s="55"/>
      <c r="H4" s="55"/>
      <c r="I4" s="1">
        <f t="shared" ref="I4:AA4" si="1">SUM(I5:I234)</f>
        <v>29722</v>
      </c>
      <c r="J4" s="1">
        <f t="shared" si="1"/>
        <v>25615</v>
      </c>
      <c r="K4" s="1">
        <f t="shared" si="1"/>
        <v>2169</v>
      </c>
      <c r="L4" s="1">
        <f t="shared" si="1"/>
        <v>2153</v>
      </c>
      <c r="M4" s="1">
        <f t="shared" si="1"/>
        <v>1954</v>
      </c>
      <c r="N4" s="1">
        <f t="shared" si="1"/>
        <v>0</v>
      </c>
      <c r="O4" s="1">
        <f t="shared" si="1"/>
        <v>0</v>
      </c>
      <c r="P4" s="1">
        <f t="shared" si="1"/>
        <v>0</v>
      </c>
      <c r="Q4" s="1">
        <f t="shared" si="1"/>
        <v>0</v>
      </c>
      <c r="R4" s="1">
        <f t="shared" si="1"/>
        <v>0</v>
      </c>
      <c r="S4" s="1">
        <f t="shared" si="1"/>
        <v>0</v>
      </c>
      <c r="T4" s="1">
        <f t="shared" si="1"/>
        <v>0</v>
      </c>
      <c r="U4" s="1">
        <f t="shared" si="1"/>
        <v>0</v>
      </c>
      <c r="V4" s="1">
        <f t="shared" si="1"/>
        <v>0</v>
      </c>
      <c r="W4" s="1">
        <f t="shared" si="1"/>
        <v>0</v>
      </c>
      <c r="X4" s="1">
        <f t="shared" si="1"/>
        <v>0</v>
      </c>
      <c r="Y4" s="1">
        <f t="shared" si="1"/>
        <v>0</v>
      </c>
      <c r="Z4" s="1">
        <f t="shared" si="1"/>
        <v>0</v>
      </c>
      <c r="AA4" s="1">
        <f t="shared" si="1"/>
        <v>0</v>
      </c>
      <c r="AB4" s="27"/>
      <c r="AC4" s="27"/>
      <c r="AD4" s="27"/>
      <c r="AE4" s="27"/>
      <c r="AF4" s="27"/>
      <c r="AG4" s="28">
        <f>SUM(AG5:AG234)</f>
        <v>0</v>
      </c>
      <c r="AH4" s="27"/>
    </row>
    <row r="5" spans="1:34" x14ac:dyDescent="0.3">
      <c r="A5" s="29">
        <v>2556808885</v>
      </c>
      <c r="B5" s="30" t="s">
        <v>53</v>
      </c>
      <c r="C5" s="31" t="s">
        <v>8</v>
      </c>
      <c r="D5" s="32">
        <f t="shared" ref="D5:D68" si="2">IF(B5="","",ROW()-4)</f>
        <v>1</v>
      </c>
      <c r="E5" s="31" t="s">
        <v>54</v>
      </c>
      <c r="F5" s="33">
        <v>45924</v>
      </c>
      <c r="G5" s="34"/>
      <c r="H5" s="30"/>
      <c r="I5" s="35">
        <f t="shared" ref="I5:I68" si="3">IF(B5="","",J5+SUM(L5:AA5)+N(AC5))</f>
        <v>442</v>
      </c>
      <c r="J5" s="34">
        <v>389</v>
      </c>
      <c r="K5" s="34">
        <v>31</v>
      </c>
      <c r="L5" s="34">
        <v>30</v>
      </c>
      <c r="M5" s="34">
        <v>23</v>
      </c>
      <c r="N5" s="34"/>
      <c r="O5" s="34"/>
      <c r="P5" s="34"/>
      <c r="Q5" s="34"/>
      <c r="R5" s="34"/>
      <c r="S5" s="34"/>
      <c r="T5" s="34"/>
      <c r="U5" s="34"/>
      <c r="V5" s="34"/>
      <c r="W5" s="34"/>
      <c r="X5" s="34"/>
      <c r="Y5" s="34"/>
      <c r="Z5" s="34"/>
      <c r="AA5" s="34"/>
      <c r="AB5" s="34"/>
      <c r="AC5" s="34"/>
      <c r="AD5" s="34" t="s">
        <v>11</v>
      </c>
      <c r="AE5" s="34" t="s">
        <v>20</v>
      </c>
      <c r="AF5" s="34" t="s">
        <v>55</v>
      </c>
      <c r="AG5" s="34"/>
      <c r="AH5" s="36" t="str">
        <f>IF(B5="","",INDEX(التقرير!$P$31:$P$260,ROW()-4))</f>
        <v>حقق</v>
      </c>
    </row>
    <row r="6" spans="1:34" x14ac:dyDescent="0.3">
      <c r="A6" s="29">
        <v>2558834244</v>
      </c>
      <c r="B6" s="30" t="s">
        <v>56</v>
      </c>
      <c r="C6" s="31" t="s">
        <v>8</v>
      </c>
      <c r="D6" s="32">
        <f t="shared" si="2"/>
        <v>2</v>
      </c>
      <c r="E6" s="31" t="s">
        <v>54</v>
      </c>
      <c r="F6" s="33">
        <v>46029</v>
      </c>
      <c r="G6" s="34"/>
      <c r="H6" s="30"/>
      <c r="I6" s="35">
        <f t="shared" si="3"/>
        <v>428</v>
      </c>
      <c r="J6" s="34">
        <v>375</v>
      </c>
      <c r="K6" s="34">
        <v>1</v>
      </c>
      <c r="L6" s="34">
        <v>25</v>
      </c>
      <c r="M6" s="34">
        <v>28</v>
      </c>
      <c r="N6" s="34"/>
      <c r="O6" s="34"/>
      <c r="P6" s="34"/>
      <c r="Q6" s="34"/>
      <c r="R6" s="34"/>
      <c r="S6" s="34"/>
      <c r="T6" s="34"/>
      <c r="U6" s="34"/>
      <c r="V6" s="34"/>
      <c r="W6" s="34"/>
      <c r="X6" s="34"/>
      <c r="Y6" s="34"/>
      <c r="Z6" s="34"/>
      <c r="AA6" s="34"/>
      <c r="AB6" s="34"/>
      <c r="AC6" s="34"/>
      <c r="AD6" s="34" t="s">
        <v>11</v>
      </c>
      <c r="AE6" s="34" t="s">
        <v>20</v>
      </c>
      <c r="AF6" s="34" t="s">
        <v>55</v>
      </c>
      <c r="AG6" s="34"/>
      <c r="AH6" s="36" t="str">
        <f>IF(B6="","",INDEX(التقرير!$P$31:$P$260,ROW()-4))</f>
        <v>حقق</v>
      </c>
    </row>
    <row r="7" spans="1:34" x14ac:dyDescent="0.3">
      <c r="A7" s="29">
        <v>2636257749</v>
      </c>
      <c r="B7" s="30" t="s">
        <v>57</v>
      </c>
      <c r="C7" s="31" t="s">
        <v>8</v>
      </c>
      <c r="D7" s="32">
        <f t="shared" si="2"/>
        <v>3</v>
      </c>
      <c r="E7" s="31" t="s">
        <v>58</v>
      </c>
      <c r="F7" s="33">
        <v>46250</v>
      </c>
      <c r="G7" s="34"/>
      <c r="H7" s="30"/>
      <c r="I7" s="35">
        <f t="shared" si="3"/>
        <v>417</v>
      </c>
      <c r="J7" s="34">
        <v>369</v>
      </c>
      <c r="K7" s="34">
        <v>27</v>
      </c>
      <c r="L7" s="34">
        <v>22</v>
      </c>
      <c r="M7" s="34">
        <v>26</v>
      </c>
      <c r="N7" s="34"/>
      <c r="O7" s="34"/>
      <c r="P7" s="34"/>
      <c r="Q7" s="34"/>
      <c r="R7" s="34"/>
      <c r="S7" s="34"/>
      <c r="T7" s="34"/>
      <c r="U7" s="34"/>
      <c r="V7" s="34"/>
      <c r="W7" s="34"/>
      <c r="X7" s="34"/>
      <c r="Y7" s="34"/>
      <c r="Z7" s="34"/>
      <c r="AA7" s="34"/>
      <c r="AB7" s="34"/>
      <c r="AC7" s="34"/>
      <c r="AD7" s="34" t="s">
        <v>3</v>
      </c>
      <c r="AE7" s="34" t="s">
        <v>21</v>
      </c>
      <c r="AF7" s="34" t="s">
        <v>55</v>
      </c>
      <c r="AG7" s="34"/>
      <c r="AH7" s="36" t="str">
        <f>IF(B7="","",INDEX(التقرير!$P$31:$P$260,ROW()-4))</f>
        <v>حقق</v>
      </c>
    </row>
    <row r="8" spans="1:34" x14ac:dyDescent="0.3">
      <c r="A8" s="29">
        <v>2566744484</v>
      </c>
      <c r="B8" s="30" t="s">
        <v>59</v>
      </c>
      <c r="C8" s="31" t="s">
        <v>8</v>
      </c>
      <c r="D8" s="32">
        <f t="shared" si="2"/>
        <v>4</v>
      </c>
      <c r="E8" s="31" t="s">
        <v>54</v>
      </c>
      <c r="F8" s="33">
        <v>45534</v>
      </c>
      <c r="G8" s="34"/>
      <c r="H8" s="30"/>
      <c r="I8" s="35">
        <f t="shared" si="3"/>
        <v>401</v>
      </c>
      <c r="J8" s="34">
        <v>360</v>
      </c>
      <c r="K8" s="34">
        <v>33</v>
      </c>
      <c r="L8" s="34">
        <v>21</v>
      </c>
      <c r="M8" s="34">
        <v>20</v>
      </c>
      <c r="N8" s="34"/>
      <c r="O8" s="34"/>
      <c r="P8" s="34"/>
      <c r="Q8" s="34"/>
      <c r="R8" s="34"/>
      <c r="S8" s="34"/>
      <c r="T8" s="34"/>
      <c r="U8" s="34"/>
      <c r="V8" s="34"/>
      <c r="W8" s="34"/>
      <c r="X8" s="34"/>
      <c r="Y8" s="34"/>
      <c r="Z8" s="34"/>
      <c r="AA8" s="34"/>
      <c r="AB8" s="34"/>
      <c r="AC8" s="34"/>
      <c r="AD8" s="34" t="s">
        <v>11</v>
      </c>
      <c r="AE8" s="34" t="s">
        <v>20</v>
      </c>
      <c r="AF8" s="34" t="s">
        <v>55</v>
      </c>
      <c r="AG8" s="34"/>
      <c r="AH8" s="36" t="str">
        <f>IF(B8="","",INDEX(التقرير!$P$31:$P$260,ROW()-4))</f>
        <v>حقق</v>
      </c>
    </row>
    <row r="9" spans="1:34" x14ac:dyDescent="0.3">
      <c r="A9" s="29">
        <v>2556809024</v>
      </c>
      <c r="B9" s="30" t="s">
        <v>60</v>
      </c>
      <c r="C9" s="31" t="s">
        <v>8</v>
      </c>
      <c r="D9" s="32">
        <f t="shared" si="2"/>
        <v>5</v>
      </c>
      <c r="E9" s="31" t="s">
        <v>54</v>
      </c>
      <c r="F9" s="33">
        <v>45924</v>
      </c>
      <c r="G9" s="34"/>
      <c r="H9" s="30"/>
      <c r="I9" s="35">
        <f t="shared" si="3"/>
        <v>409</v>
      </c>
      <c r="J9" s="34">
        <v>358</v>
      </c>
      <c r="K9" s="34">
        <v>30</v>
      </c>
      <c r="L9" s="34">
        <v>29</v>
      </c>
      <c r="M9" s="34">
        <v>22</v>
      </c>
      <c r="N9" s="34"/>
      <c r="O9" s="34"/>
      <c r="P9" s="34"/>
      <c r="Q9" s="34"/>
      <c r="R9" s="34"/>
      <c r="S9" s="34"/>
      <c r="T9" s="34"/>
      <c r="U9" s="34"/>
      <c r="V9" s="34"/>
      <c r="W9" s="34"/>
      <c r="X9" s="34"/>
      <c r="Y9" s="34"/>
      <c r="Z9" s="34"/>
      <c r="AA9" s="34"/>
      <c r="AB9" s="34"/>
      <c r="AC9" s="34"/>
      <c r="AD9" s="34" t="s">
        <v>11</v>
      </c>
      <c r="AE9" s="34" t="s">
        <v>20</v>
      </c>
      <c r="AF9" s="34" t="s">
        <v>55</v>
      </c>
      <c r="AG9" s="34"/>
      <c r="AH9" s="36" t="str">
        <f>IF(B9="","",INDEX(التقرير!$P$31:$P$260,ROW()-4))</f>
        <v>حقق</v>
      </c>
    </row>
    <row r="10" spans="1:34" x14ac:dyDescent="0.3">
      <c r="A10" s="29">
        <v>2555618590</v>
      </c>
      <c r="B10" s="30" t="s">
        <v>61</v>
      </c>
      <c r="C10" s="31" t="s">
        <v>8</v>
      </c>
      <c r="D10" s="32">
        <f t="shared" si="2"/>
        <v>6</v>
      </c>
      <c r="E10" s="31" t="s">
        <v>54</v>
      </c>
      <c r="F10" s="33">
        <v>45322</v>
      </c>
      <c r="G10" s="34"/>
      <c r="H10" s="30"/>
      <c r="I10" s="35">
        <f t="shared" si="3"/>
        <v>397</v>
      </c>
      <c r="J10" s="34">
        <v>349</v>
      </c>
      <c r="K10" s="34">
        <v>24</v>
      </c>
      <c r="L10" s="34">
        <v>26</v>
      </c>
      <c r="M10" s="34">
        <v>22</v>
      </c>
      <c r="N10" s="34"/>
      <c r="O10" s="34"/>
      <c r="P10" s="34"/>
      <c r="Q10" s="34"/>
      <c r="R10" s="34"/>
      <c r="S10" s="34"/>
      <c r="T10" s="34"/>
      <c r="U10" s="34"/>
      <c r="V10" s="34"/>
      <c r="W10" s="34"/>
      <c r="X10" s="34"/>
      <c r="Y10" s="34"/>
      <c r="Z10" s="34"/>
      <c r="AA10" s="34"/>
      <c r="AB10" s="34"/>
      <c r="AC10" s="34"/>
      <c r="AD10" s="34" t="s">
        <v>11</v>
      </c>
      <c r="AE10" s="34" t="s">
        <v>20</v>
      </c>
      <c r="AF10" s="34" t="s">
        <v>55</v>
      </c>
      <c r="AG10" s="34"/>
      <c r="AH10" s="36" t="str">
        <f>IF(B10="","",INDEX(التقرير!$P$31:$P$260,ROW()-4))</f>
        <v>حقق</v>
      </c>
    </row>
    <row r="11" spans="1:34" x14ac:dyDescent="0.3">
      <c r="A11" s="29">
        <v>2588682613</v>
      </c>
      <c r="B11" s="30" t="s">
        <v>62</v>
      </c>
      <c r="C11" s="31" t="s">
        <v>8</v>
      </c>
      <c r="D11" s="32">
        <f t="shared" si="2"/>
        <v>7</v>
      </c>
      <c r="E11" s="31" t="s">
        <v>58</v>
      </c>
      <c r="F11" s="33">
        <v>46204</v>
      </c>
      <c r="G11" s="34"/>
      <c r="H11" s="30"/>
      <c r="I11" s="35">
        <f t="shared" si="3"/>
        <v>387</v>
      </c>
      <c r="J11" s="34">
        <v>346</v>
      </c>
      <c r="K11" s="34">
        <v>24</v>
      </c>
      <c r="L11" s="34">
        <v>24</v>
      </c>
      <c r="M11" s="34">
        <v>17</v>
      </c>
      <c r="N11" s="34"/>
      <c r="O11" s="34"/>
      <c r="P11" s="34"/>
      <c r="Q11" s="34"/>
      <c r="R11" s="34"/>
      <c r="S11" s="34"/>
      <c r="T11" s="34"/>
      <c r="U11" s="34"/>
      <c r="V11" s="34"/>
      <c r="W11" s="34"/>
      <c r="X11" s="34"/>
      <c r="Y11" s="34"/>
      <c r="Z11" s="34"/>
      <c r="AA11" s="34"/>
      <c r="AB11" s="34"/>
      <c r="AC11" s="34"/>
      <c r="AD11" s="34" t="s">
        <v>3</v>
      </c>
      <c r="AE11" s="34" t="s">
        <v>21</v>
      </c>
      <c r="AF11" s="34" t="s">
        <v>55</v>
      </c>
      <c r="AG11" s="34"/>
      <c r="AH11" s="36" t="str">
        <f>IF(B11="","",INDEX(التقرير!$P$31:$P$260,ROW()-4))</f>
        <v>حقق</v>
      </c>
    </row>
    <row r="12" spans="1:34" x14ac:dyDescent="0.3">
      <c r="A12" s="29">
        <v>2591742545</v>
      </c>
      <c r="B12" s="30" t="s">
        <v>63</v>
      </c>
      <c r="C12" s="31" t="s">
        <v>8</v>
      </c>
      <c r="D12" s="32">
        <f t="shared" si="2"/>
        <v>8</v>
      </c>
      <c r="E12" s="31" t="s">
        <v>58</v>
      </c>
      <c r="F12" s="33">
        <v>46204</v>
      </c>
      <c r="G12" s="34"/>
      <c r="H12" s="30"/>
      <c r="I12" s="35">
        <f t="shared" si="3"/>
        <v>358</v>
      </c>
      <c r="J12" s="34">
        <v>343</v>
      </c>
      <c r="K12" s="34">
        <v>22</v>
      </c>
      <c r="L12" s="34">
        <v>0</v>
      </c>
      <c r="M12" s="34">
        <v>15</v>
      </c>
      <c r="N12" s="34"/>
      <c r="O12" s="34"/>
      <c r="P12" s="34"/>
      <c r="Q12" s="34"/>
      <c r="R12" s="34"/>
      <c r="S12" s="34"/>
      <c r="T12" s="34"/>
      <c r="U12" s="34"/>
      <c r="V12" s="34"/>
      <c r="W12" s="34"/>
      <c r="X12" s="34"/>
      <c r="Y12" s="34"/>
      <c r="Z12" s="34"/>
      <c r="AA12" s="34"/>
      <c r="AB12" s="34"/>
      <c r="AC12" s="34"/>
      <c r="AD12" s="34" t="s">
        <v>3</v>
      </c>
      <c r="AE12" s="34" t="s">
        <v>21</v>
      </c>
      <c r="AF12" s="34" t="s">
        <v>55</v>
      </c>
      <c r="AG12" s="34"/>
      <c r="AH12" s="36" t="str">
        <f>IF(B12="","",INDEX(التقرير!$P$31:$P$260,ROW()-4))</f>
        <v>حقق</v>
      </c>
    </row>
    <row r="13" spans="1:34" x14ac:dyDescent="0.3">
      <c r="A13" s="29">
        <v>2586734259</v>
      </c>
      <c r="B13" s="30" t="s">
        <v>64</v>
      </c>
      <c r="C13" s="31" t="s">
        <v>8</v>
      </c>
      <c r="D13" s="32">
        <f t="shared" si="2"/>
        <v>9</v>
      </c>
      <c r="E13" s="31" t="s">
        <v>58</v>
      </c>
      <c r="F13" s="33">
        <v>46284</v>
      </c>
      <c r="G13" s="34"/>
      <c r="H13" s="30"/>
      <c r="I13" s="35">
        <f t="shared" si="3"/>
        <v>370</v>
      </c>
      <c r="J13" s="34">
        <v>342</v>
      </c>
      <c r="K13" s="34">
        <v>28</v>
      </c>
      <c r="L13" s="34">
        <v>13</v>
      </c>
      <c r="M13" s="34">
        <v>15</v>
      </c>
      <c r="N13" s="34"/>
      <c r="O13" s="34"/>
      <c r="P13" s="34"/>
      <c r="Q13" s="34"/>
      <c r="R13" s="34"/>
      <c r="S13" s="34"/>
      <c r="T13" s="34"/>
      <c r="U13" s="34"/>
      <c r="V13" s="34"/>
      <c r="W13" s="34"/>
      <c r="X13" s="34"/>
      <c r="Y13" s="34"/>
      <c r="Z13" s="34"/>
      <c r="AA13" s="34"/>
      <c r="AB13" s="34"/>
      <c r="AC13" s="34"/>
      <c r="AD13" s="34" t="s">
        <v>3</v>
      </c>
      <c r="AE13" s="34" t="s">
        <v>21</v>
      </c>
      <c r="AF13" s="34" t="s">
        <v>55</v>
      </c>
      <c r="AG13" s="34"/>
      <c r="AH13" s="36" t="str">
        <f>IF(B13="","",INDEX(التقرير!$P$31:$P$260,ROW()-4))</f>
        <v>حقق</v>
      </c>
    </row>
    <row r="14" spans="1:34" x14ac:dyDescent="0.3">
      <c r="A14" s="29">
        <v>2567991936</v>
      </c>
      <c r="B14" s="30" t="s">
        <v>65</v>
      </c>
      <c r="C14" s="31" t="s">
        <v>8</v>
      </c>
      <c r="D14" s="32">
        <f t="shared" si="2"/>
        <v>10</v>
      </c>
      <c r="E14" s="31" t="s">
        <v>54</v>
      </c>
      <c r="F14" s="33">
        <v>45412</v>
      </c>
      <c r="G14" s="34"/>
      <c r="H14" s="30"/>
      <c r="I14" s="35">
        <f t="shared" si="3"/>
        <v>393</v>
      </c>
      <c r="J14" s="34">
        <v>339</v>
      </c>
      <c r="K14" s="34">
        <v>30</v>
      </c>
      <c r="L14" s="34">
        <v>28</v>
      </c>
      <c r="M14" s="34">
        <v>26</v>
      </c>
      <c r="N14" s="34"/>
      <c r="O14" s="34"/>
      <c r="P14" s="34"/>
      <c r="Q14" s="34"/>
      <c r="R14" s="34"/>
      <c r="S14" s="34"/>
      <c r="T14" s="34"/>
      <c r="U14" s="34"/>
      <c r="V14" s="34"/>
      <c r="W14" s="34"/>
      <c r="X14" s="34"/>
      <c r="Y14" s="34"/>
      <c r="Z14" s="34"/>
      <c r="AA14" s="34"/>
      <c r="AB14" s="34"/>
      <c r="AC14" s="34"/>
      <c r="AD14" s="34" t="s">
        <v>11</v>
      </c>
      <c r="AE14" s="34" t="s">
        <v>20</v>
      </c>
      <c r="AF14" s="34" t="s">
        <v>55</v>
      </c>
      <c r="AG14" s="34"/>
      <c r="AH14" s="36" t="str">
        <f>IF(B14="","",INDEX(التقرير!$P$31:$P$260,ROW()-4))</f>
        <v>حقق</v>
      </c>
    </row>
    <row r="15" spans="1:34" x14ac:dyDescent="0.3">
      <c r="A15" s="29">
        <v>2585711043</v>
      </c>
      <c r="B15" s="30" t="s">
        <v>66</v>
      </c>
      <c r="C15" s="31" t="s">
        <v>8</v>
      </c>
      <c r="D15" s="32">
        <f t="shared" si="2"/>
        <v>11</v>
      </c>
      <c r="E15" s="31" t="s">
        <v>58</v>
      </c>
      <c r="F15" s="33">
        <v>46204</v>
      </c>
      <c r="G15" s="34"/>
      <c r="H15" s="30"/>
      <c r="I15" s="35">
        <f t="shared" si="3"/>
        <v>383</v>
      </c>
      <c r="J15" s="34">
        <v>339</v>
      </c>
      <c r="K15" s="34">
        <v>29</v>
      </c>
      <c r="L15" s="34">
        <v>27</v>
      </c>
      <c r="M15" s="34">
        <v>17</v>
      </c>
      <c r="N15" s="34"/>
      <c r="O15" s="34"/>
      <c r="P15" s="34"/>
      <c r="Q15" s="34"/>
      <c r="R15" s="34"/>
      <c r="S15" s="34"/>
      <c r="T15" s="34"/>
      <c r="U15" s="34"/>
      <c r="V15" s="34"/>
      <c r="W15" s="34"/>
      <c r="X15" s="34"/>
      <c r="Y15" s="34"/>
      <c r="Z15" s="34"/>
      <c r="AA15" s="34"/>
      <c r="AB15" s="34"/>
      <c r="AC15" s="34"/>
      <c r="AD15" s="34" t="s">
        <v>3</v>
      </c>
      <c r="AE15" s="34" t="s">
        <v>21</v>
      </c>
      <c r="AF15" s="34" t="s">
        <v>55</v>
      </c>
      <c r="AG15" s="34"/>
      <c r="AH15" s="36" t="str">
        <f>IF(B15="","",INDEX(التقرير!$P$31:$P$260,ROW()-4))</f>
        <v>حقق</v>
      </c>
    </row>
    <row r="16" spans="1:34" x14ac:dyDescent="0.3">
      <c r="A16" s="29">
        <v>2569644962</v>
      </c>
      <c r="B16" s="30" t="s">
        <v>67</v>
      </c>
      <c r="C16" s="31" t="s">
        <v>8</v>
      </c>
      <c r="D16" s="32">
        <f t="shared" si="2"/>
        <v>12</v>
      </c>
      <c r="E16" s="31" t="s">
        <v>54</v>
      </c>
      <c r="F16" s="33">
        <v>46139</v>
      </c>
      <c r="G16" s="34"/>
      <c r="H16" s="30"/>
      <c r="I16" s="35">
        <f t="shared" si="3"/>
        <v>342</v>
      </c>
      <c r="J16" s="34">
        <v>326</v>
      </c>
      <c r="K16" s="34">
        <v>26</v>
      </c>
      <c r="L16" s="34">
        <v>1</v>
      </c>
      <c r="M16" s="34">
        <v>15</v>
      </c>
      <c r="N16" s="34"/>
      <c r="O16" s="34"/>
      <c r="P16" s="34"/>
      <c r="Q16" s="34"/>
      <c r="R16" s="34"/>
      <c r="S16" s="34"/>
      <c r="T16" s="34"/>
      <c r="U16" s="34"/>
      <c r="V16" s="34"/>
      <c r="W16" s="34"/>
      <c r="X16" s="34"/>
      <c r="Y16" s="34"/>
      <c r="Z16" s="34"/>
      <c r="AA16" s="34"/>
      <c r="AB16" s="34"/>
      <c r="AC16" s="34"/>
      <c r="AD16" s="34" t="s">
        <v>11</v>
      </c>
      <c r="AE16" s="34" t="s">
        <v>20</v>
      </c>
      <c r="AF16" s="34" t="s">
        <v>55</v>
      </c>
      <c r="AG16" s="34"/>
      <c r="AH16" s="36" t="str">
        <f>IF(B16="","",INDEX(التقرير!$P$31:$P$260,ROW()-4))</f>
        <v>حقق</v>
      </c>
    </row>
    <row r="17" spans="1:34" x14ac:dyDescent="0.3">
      <c r="A17" s="29">
        <v>2548474473</v>
      </c>
      <c r="B17" s="30" t="s">
        <v>68</v>
      </c>
      <c r="C17" s="31" t="s">
        <v>8</v>
      </c>
      <c r="D17" s="32">
        <f t="shared" si="2"/>
        <v>13</v>
      </c>
      <c r="E17" s="31" t="s">
        <v>54</v>
      </c>
      <c r="F17" s="33">
        <v>45351</v>
      </c>
      <c r="G17" s="34"/>
      <c r="H17" s="30"/>
      <c r="I17" s="35">
        <f t="shared" si="3"/>
        <v>377</v>
      </c>
      <c r="J17" s="34">
        <v>323</v>
      </c>
      <c r="K17" s="34">
        <v>28</v>
      </c>
      <c r="L17" s="34">
        <v>25</v>
      </c>
      <c r="M17" s="34">
        <v>29</v>
      </c>
      <c r="N17" s="34"/>
      <c r="O17" s="34"/>
      <c r="P17" s="34"/>
      <c r="Q17" s="34"/>
      <c r="R17" s="34"/>
      <c r="S17" s="34"/>
      <c r="T17" s="34"/>
      <c r="U17" s="34"/>
      <c r="V17" s="34"/>
      <c r="W17" s="34"/>
      <c r="X17" s="34"/>
      <c r="Y17" s="34"/>
      <c r="Z17" s="34"/>
      <c r="AA17" s="34"/>
      <c r="AB17" s="34"/>
      <c r="AC17" s="34"/>
      <c r="AD17" s="34" t="s">
        <v>11</v>
      </c>
      <c r="AE17" s="34" t="s">
        <v>20</v>
      </c>
      <c r="AF17" s="34" t="s">
        <v>55</v>
      </c>
      <c r="AG17" s="34"/>
      <c r="AH17" s="36" t="str">
        <f>IF(B17="","",INDEX(التقرير!$P$31:$P$260,ROW()-4))</f>
        <v>حقق</v>
      </c>
    </row>
    <row r="18" spans="1:34" x14ac:dyDescent="0.3">
      <c r="A18" s="29">
        <v>2560708006</v>
      </c>
      <c r="B18" s="30" t="s">
        <v>69</v>
      </c>
      <c r="C18" s="31" t="s">
        <v>8</v>
      </c>
      <c r="D18" s="32">
        <f t="shared" si="2"/>
        <v>14</v>
      </c>
      <c r="E18" s="31" t="s">
        <v>58</v>
      </c>
      <c r="F18" s="33">
        <v>46204</v>
      </c>
      <c r="G18" s="34"/>
      <c r="H18" s="30"/>
      <c r="I18" s="35">
        <f t="shared" si="3"/>
        <v>370</v>
      </c>
      <c r="J18" s="34">
        <v>320</v>
      </c>
      <c r="K18" s="34">
        <v>22</v>
      </c>
      <c r="L18" s="34">
        <v>27</v>
      </c>
      <c r="M18" s="34">
        <v>23</v>
      </c>
      <c r="N18" s="34"/>
      <c r="O18" s="34"/>
      <c r="P18" s="34"/>
      <c r="Q18" s="34"/>
      <c r="R18" s="34"/>
      <c r="S18" s="34"/>
      <c r="T18" s="34"/>
      <c r="U18" s="34"/>
      <c r="V18" s="34"/>
      <c r="W18" s="34"/>
      <c r="X18" s="34"/>
      <c r="Y18" s="34"/>
      <c r="Z18" s="34"/>
      <c r="AA18" s="34"/>
      <c r="AB18" s="34"/>
      <c r="AC18" s="34"/>
      <c r="AD18" s="34" t="s">
        <v>3</v>
      </c>
      <c r="AE18" s="34" t="s">
        <v>21</v>
      </c>
      <c r="AF18" s="34" t="s">
        <v>55</v>
      </c>
      <c r="AG18" s="34"/>
      <c r="AH18" s="36" t="str">
        <f>IF(B18="","",INDEX(التقرير!$P$31:$P$260,ROW()-4))</f>
        <v>حقق</v>
      </c>
    </row>
    <row r="19" spans="1:34" x14ac:dyDescent="0.3">
      <c r="A19" s="29">
        <v>2548467725</v>
      </c>
      <c r="B19" s="30" t="s">
        <v>70</v>
      </c>
      <c r="C19" s="31" t="s">
        <v>8</v>
      </c>
      <c r="D19" s="32">
        <f t="shared" si="2"/>
        <v>15</v>
      </c>
      <c r="E19" s="31" t="s">
        <v>54</v>
      </c>
      <c r="F19" s="33">
        <v>45351</v>
      </c>
      <c r="G19" s="34"/>
      <c r="H19" s="30"/>
      <c r="I19" s="35">
        <f t="shared" si="3"/>
        <v>359</v>
      </c>
      <c r="J19" s="34">
        <v>317</v>
      </c>
      <c r="K19" s="34">
        <v>29</v>
      </c>
      <c r="L19" s="34">
        <v>24</v>
      </c>
      <c r="M19" s="34">
        <v>18</v>
      </c>
      <c r="N19" s="34"/>
      <c r="O19" s="34"/>
      <c r="P19" s="34"/>
      <c r="Q19" s="34"/>
      <c r="R19" s="34"/>
      <c r="S19" s="34"/>
      <c r="T19" s="34"/>
      <c r="U19" s="34"/>
      <c r="V19" s="34"/>
      <c r="W19" s="34"/>
      <c r="X19" s="34"/>
      <c r="Y19" s="34"/>
      <c r="Z19" s="34"/>
      <c r="AA19" s="34"/>
      <c r="AB19" s="34"/>
      <c r="AC19" s="34"/>
      <c r="AD19" s="34" t="s">
        <v>11</v>
      </c>
      <c r="AE19" s="34" t="s">
        <v>20</v>
      </c>
      <c r="AF19" s="34" t="s">
        <v>55</v>
      </c>
      <c r="AG19" s="34"/>
      <c r="AH19" s="36" t="str">
        <f>IF(B19="","",INDEX(التقرير!$P$31:$P$260,ROW()-4))</f>
        <v>حقق</v>
      </c>
    </row>
    <row r="20" spans="1:34" x14ac:dyDescent="0.3">
      <c r="A20" s="29">
        <v>2556809818</v>
      </c>
      <c r="B20" s="30" t="s">
        <v>71</v>
      </c>
      <c r="C20" s="31" t="s">
        <v>8</v>
      </c>
      <c r="D20" s="32">
        <f t="shared" si="2"/>
        <v>16</v>
      </c>
      <c r="E20" s="31" t="s">
        <v>54</v>
      </c>
      <c r="F20" s="33">
        <v>45924</v>
      </c>
      <c r="G20" s="34"/>
      <c r="H20" s="30"/>
      <c r="I20" s="35">
        <f t="shared" si="3"/>
        <v>358</v>
      </c>
      <c r="J20" s="34">
        <v>316</v>
      </c>
      <c r="K20" s="34">
        <v>27</v>
      </c>
      <c r="L20" s="34">
        <v>23</v>
      </c>
      <c r="M20" s="34">
        <v>19</v>
      </c>
      <c r="N20" s="34"/>
      <c r="O20" s="34"/>
      <c r="P20" s="34"/>
      <c r="Q20" s="34"/>
      <c r="R20" s="34"/>
      <c r="S20" s="34"/>
      <c r="T20" s="34"/>
      <c r="U20" s="34"/>
      <c r="V20" s="34"/>
      <c r="W20" s="34"/>
      <c r="X20" s="34"/>
      <c r="Y20" s="34"/>
      <c r="Z20" s="34"/>
      <c r="AA20" s="34"/>
      <c r="AB20" s="34"/>
      <c r="AC20" s="34"/>
      <c r="AD20" s="34" t="s">
        <v>11</v>
      </c>
      <c r="AE20" s="34" t="s">
        <v>20</v>
      </c>
      <c r="AF20" s="34" t="s">
        <v>55</v>
      </c>
      <c r="AG20" s="34"/>
      <c r="AH20" s="36" t="str">
        <f>IF(B20="","",INDEX(التقرير!$P$31:$P$260,ROW()-4))</f>
        <v>حقق</v>
      </c>
    </row>
    <row r="21" spans="1:34" x14ac:dyDescent="0.3">
      <c r="A21" s="29">
        <v>2569644772</v>
      </c>
      <c r="B21" s="30" t="s">
        <v>72</v>
      </c>
      <c r="C21" s="31" t="s">
        <v>8</v>
      </c>
      <c r="D21" s="32">
        <f t="shared" si="2"/>
        <v>17</v>
      </c>
      <c r="E21" s="31" t="s">
        <v>58</v>
      </c>
      <c r="F21" s="33">
        <v>46204</v>
      </c>
      <c r="G21" s="34"/>
      <c r="H21" s="30"/>
      <c r="I21" s="35">
        <f t="shared" si="3"/>
        <v>370</v>
      </c>
      <c r="J21" s="34">
        <v>316</v>
      </c>
      <c r="K21" s="34">
        <v>23</v>
      </c>
      <c r="L21" s="34">
        <v>28</v>
      </c>
      <c r="M21" s="34">
        <v>26</v>
      </c>
      <c r="N21" s="34"/>
      <c r="O21" s="34"/>
      <c r="P21" s="34"/>
      <c r="Q21" s="34"/>
      <c r="R21" s="34"/>
      <c r="S21" s="34"/>
      <c r="T21" s="34"/>
      <c r="U21" s="34"/>
      <c r="V21" s="34"/>
      <c r="W21" s="34"/>
      <c r="X21" s="34"/>
      <c r="Y21" s="34"/>
      <c r="Z21" s="34"/>
      <c r="AA21" s="34"/>
      <c r="AB21" s="34"/>
      <c r="AC21" s="34"/>
      <c r="AD21" s="34" t="s">
        <v>3</v>
      </c>
      <c r="AE21" s="34" t="s">
        <v>21</v>
      </c>
      <c r="AF21" s="34" t="s">
        <v>55</v>
      </c>
      <c r="AG21" s="34"/>
      <c r="AH21" s="36" t="str">
        <f>IF(B21="","",INDEX(التقرير!$P$31:$P$260,ROW()-4))</f>
        <v>حقق</v>
      </c>
    </row>
    <row r="22" spans="1:34" x14ac:dyDescent="0.3">
      <c r="A22" s="29">
        <v>2555618202</v>
      </c>
      <c r="B22" s="30" t="s">
        <v>73</v>
      </c>
      <c r="C22" s="31" t="s">
        <v>8</v>
      </c>
      <c r="D22" s="32">
        <f t="shared" si="2"/>
        <v>18</v>
      </c>
      <c r="E22" s="31" t="s">
        <v>54</v>
      </c>
      <c r="F22" s="33">
        <v>45322</v>
      </c>
      <c r="G22" s="34"/>
      <c r="H22" s="30"/>
      <c r="I22" s="35">
        <f t="shared" si="3"/>
        <v>356</v>
      </c>
      <c r="J22" s="34">
        <v>315</v>
      </c>
      <c r="K22" s="34">
        <v>21</v>
      </c>
      <c r="L22" s="34">
        <v>22</v>
      </c>
      <c r="M22" s="34">
        <v>19</v>
      </c>
      <c r="N22" s="34"/>
      <c r="O22" s="34"/>
      <c r="P22" s="34"/>
      <c r="Q22" s="34"/>
      <c r="R22" s="34"/>
      <c r="S22" s="34"/>
      <c r="T22" s="34"/>
      <c r="U22" s="34"/>
      <c r="V22" s="34"/>
      <c r="W22" s="34"/>
      <c r="X22" s="34"/>
      <c r="Y22" s="34"/>
      <c r="Z22" s="34"/>
      <c r="AA22" s="34"/>
      <c r="AB22" s="34"/>
      <c r="AC22" s="34"/>
      <c r="AD22" s="34" t="s">
        <v>11</v>
      </c>
      <c r="AE22" s="34" t="s">
        <v>20</v>
      </c>
      <c r="AF22" s="34" t="s">
        <v>55</v>
      </c>
      <c r="AG22" s="34"/>
      <c r="AH22" s="36" t="str">
        <f>IF(B22="","",INDEX(التقرير!$P$31:$P$260,ROW()-4))</f>
        <v>حقق</v>
      </c>
    </row>
    <row r="23" spans="1:34" x14ac:dyDescent="0.3">
      <c r="A23" s="29">
        <v>2577075902</v>
      </c>
      <c r="B23" s="30" t="s">
        <v>74</v>
      </c>
      <c r="C23" s="31" t="s">
        <v>8</v>
      </c>
      <c r="D23" s="32">
        <f t="shared" si="2"/>
        <v>19</v>
      </c>
      <c r="E23" s="31" t="s">
        <v>54</v>
      </c>
      <c r="F23" s="33">
        <v>46138</v>
      </c>
      <c r="G23" s="34"/>
      <c r="H23" s="30"/>
      <c r="I23" s="35">
        <f t="shared" si="3"/>
        <v>357</v>
      </c>
      <c r="J23" s="34">
        <v>313</v>
      </c>
      <c r="K23" s="34">
        <v>22</v>
      </c>
      <c r="L23" s="34">
        <v>24</v>
      </c>
      <c r="M23" s="34">
        <v>20</v>
      </c>
      <c r="N23" s="34"/>
      <c r="O23" s="34"/>
      <c r="P23" s="34"/>
      <c r="Q23" s="34"/>
      <c r="R23" s="34"/>
      <c r="S23" s="34"/>
      <c r="T23" s="34"/>
      <c r="U23" s="34"/>
      <c r="V23" s="34"/>
      <c r="W23" s="34"/>
      <c r="X23" s="34"/>
      <c r="Y23" s="34"/>
      <c r="Z23" s="34"/>
      <c r="AA23" s="34"/>
      <c r="AB23" s="34"/>
      <c r="AC23" s="34"/>
      <c r="AD23" s="34" t="s">
        <v>11</v>
      </c>
      <c r="AE23" s="34" t="s">
        <v>20</v>
      </c>
      <c r="AF23" s="34" t="s">
        <v>55</v>
      </c>
      <c r="AG23" s="34"/>
      <c r="AH23" s="36" t="str">
        <f>IF(B23="","",INDEX(التقرير!$P$31:$P$260,ROW()-4))</f>
        <v>حقق</v>
      </c>
    </row>
    <row r="24" spans="1:34" x14ac:dyDescent="0.3">
      <c r="A24" s="29">
        <v>2581749112</v>
      </c>
      <c r="B24" s="30" t="s">
        <v>75</v>
      </c>
      <c r="C24" s="31" t="s">
        <v>8</v>
      </c>
      <c r="D24" s="32">
        <f t="shared" si="2"/>
        <v>20</v>
      </c>
      <c r="E24" s="31" t="s">
        <v>58</v>
      </c>
      <c r="F24" s="33">
        <v>46204</v>
      </c>
      <c r="G24" s="34"/>
      <c r="H24" s="30"/>
      <c r="I24" s="35">
        <f t="shared" si="3"/>
        <v>360</v>
      </c>
      <c r="J24" s="34">
        <v>313</v>
      </c>
      <c r="K24" s="34">
        <v>31</v>
      </c>
      <c r="L24" s="34">
        <v>29</v>
      </c>
      <c r="M24" s="34">
        <v>18</v>
      </c>
      <c r="N24" s="34"/>
      <c r="O24" s="34"/>
      <c r="P24" s="34"/>
      <c r="Q24" s="34"/>
      <c r="R24" s="34"/>
      <c r="S24" s="34"/>
      <c r="T24" s="34"/>
      <c r="U24" s="34"/>
      <c r="V24" s="34"/>
      <c r="W24" s="34"/>
      <c r="X24" s="34"/>
      <c r="Y24" s="34"/>
      <c r="Z24" s="34"/>
      <c r="AA24" s="34"/>
      <c r="AB24" s="34"/>
      <c r="AC24" s="34"/>
      <c r="AD24" s="34" t="s">
        <v>3</v>
      </c>
      <c r="AE24" s="34" t="s">
        <v>21</v>
      </c>
      <c r="AF24" s="34" t="s">
        <v>55</v>
      </c>
      <c r="AG24" s="34"/>
      <c r="AH24" s="36" t="str">
        <f>IF(B24="","",INDEX(التقرير!$P$31:$P$260,ROW()-4))</f>
        <v>حقق</v>
      </c>
    </row>
    <row r="25" spans="1:34" x14ac:dyDescent="0.3">
      <c r="A25" s="29">
        <v>2616746968</v>
      </c>
      <c r="B25" s="30" t="s">
        <v>76</v>
      </c>
      <c r="C25" s="31" t="s">
        <v>8</v>
      </c>
      <c r="D25" s="32">
        <f t="shared" si="2"/>
        <v>21</v>
      </c>
      <c r="E25" s="31" t="s">
        <v>58</v>
      </c>
      <c r="F25" s="33">
        <v>46256</v>
      </c>
      <c r="G25" s="34"/>
      <c r="H25" s="30"/>
      <c r="I25" s="35">
        <f t="shared" si="3"/>
        <v>332</v>
      </c>
      <c r="J25" s="34">
        <v>308</v>
      </c>
      <c r="K25" s="34">
        <v>29</v>
      </c>
      <c r="L25" s="34">
        <v>20</v>
      </c>
      <c r="M25" s="34">
        <v>4</v>
      </c>
      <c r="N25" s="34"/>
      <c r="O25" s="34"/>
      <c r="P25" s="34"/>
      <c r="Q25" s="34"/>
      <c r="R25" s="34"/>
      <c r="S25" s="34"/>
      <c r="T25" s="34"/>
      <c r="U25" s="34"/>
      <c r="V25" s="34"/>
      <c r="W25" s="34"/>
      <c r="X25" s="34"/>
      <c r="Y25" s="34"/>
      <c r="Z25" s="34"/>
      <c r="AA25" s="34"/>
      <c r="AB25" s="34"/>
      <c r="AC25" s="34"/>
      <c r="AD25" s="34" t="s">
        <v>3</v>
      </c>
      <c r="AE25" s="34" t="s">
        <v>21</v>
      </c>
      <c r="AF25" s="34" t="s">
        <v>55</v>
      </c>
      <c r="AG25" s="34"/>
      <c r="AH25" s="36" t="str">
        <f>IF(B25="","",INDEX(التقرير!$P$31:$P$260,ROW()-4))</f>
        <v>حقق</v>
      </c>
    </row>
    <row r="26" spans="1:34" x14ac:dyDescent="0.3">
      <c r="A26" s="29">
        <v>2589023700</v>
      </c>
      <c r="B26" s="30" t="s">
        <v>77</v>
      </c>
      <c r="C26" s="31" t="s">
        <v>8</v>
      </c>
      <c r="D26" s="32">
        <f t="shared" si="2"/>
        <v>22</v>
      </c>
      <c r="E26" s="31" t="s">
        <v>58</v>
      </c>
      <c r="F26" s="33">
        <v>46204</v>
      </c>
      <c r="G26" s="34"/>
      <c r="H26" s="30"/>
      <c r="I26" s="35">
        <f t="shared" si="3"/>
        <v>355</v>
      </c>
      <c r="J26" s="34">
        <v>308</v>
      </c>
      <c r="K26" s="34">
        <v>29</v>
      </c>
      <c r="L26" s="34">
        <v>28</v>
      </c>
      <c r="M26" s="34">
        <v>19</v>
      </c>
      <c r="N26" s="34"/>
      <c r="O26" s="34"/>
      <c r="P26" s="34"/>
      <c r="Q26" s="34"/>
      <c r="R26" s="34"/>
      <c r="S26" s="34"/>
      <c r="T26" s="34"/>
      <c r="U26" s="34"/>
      <c r="V26" s="34"/>
      <c r="W26" s="34"/>
      <c r="X26" s="34"/>
      <c r="Y26" s="34"/>
      <c r="Z26" s="34"/>
      <c r="AA26" s="34"/>
      <c r="AB26" s="34"/>
      <c r="AC26" s="34"/>
      <c r="AD26" s="34" t="s">
        <v>3</v>
      </c>
      <c r="AE26" s="34" t="s">
        <v>21</v>
      </c>
      <c r="AF26" s="34" t="s">
        <v>55</v>
      </c>
      <c r="AG26" s="34"/>
      <c r="AH26" s="36" t="str">
        <f>IF(B26="","",INDEX(التقرير!$P$31:$P$260,ROW()-4))</f>
        <v>حقق</v>
      </c>
    </row>
    <row r="27" spans="1:34" x14ac:dyDescent="0.3">
      <c r="A27" s="29">
        <v>2577457951</v>
      </c>
      <c r="B27" s="30" t="s">
        <v>78</v>
      </c>
      <c r="C27" s="31" t="s">
        <v>8</v>
      </c>
      <c r="D27" s="32">
        <f t="shared" si="2"/>
        <v>23</v>
      </c>
      <c r="E27" s="31" t="s">
        <v>58</v>
      </c>
      <c r="F27" s="33">
        <v>46204</v>
      </c>
      <c r="G27" s="34"/>
      <c r="H27" s="30"/>
      <c r="I27" s="35">
        <f t="shared" si="3"/>
        <v>364</v>
      </c>
      <c r="J27" s="34">
        <v>307</v>
      </c>
      <c r="K27" s="34">
        <v>27</v>
      </c>
      <c r="L27" s="34">
        <v>33</v>
      </c>
      <c r="M27" s="34">
        <v>24</v>
      </c>
      <c r="N27" s="34"/>
      <c r="O27" s="34"/>
      <c r="P27" s="34"/>
      <c r="Q27" s="34"/>
      <c r="R27" s="34"/>
      <c r="S27" s="34"/>
      <c r="T27" s="34"/>
      <c r="U27" s="34"/>
      <c r="V27" s="34"/>
      <c r="W27" s="34"/>
      <c r="X27" s="34"/>
      <c r="Y27" s="34"/>
      <c r="Z27" s="34"/>
      <c r="AA27" s="34"/>
      <c r="AB27" s="34"/>
      <c r="AC27" s="34"/>
      <c r="AD27" s="34" t="s">
        <v>3</v>
      </c>
      <c r="AE27" s="34" t="s">
        <v>21</v>
      </c>
      <c r="AF27" s="34" t="s">
        <v>55</v>
      </c>
      <c r="AG27" s="34"/>
      <c r="AH27" s="36" t="str">
        <f>IF(B27="","",INDEX(التقرير!$P$31:$P$260,ROW()-4))</f>
        <v>حقق</v>
      </c>
    </row>
    <row r="28" spans="1:34" x14ac:dyDescent="0.3">
      <c r="A28" s="29">
        <v>2630928295</v>
      </c>
      <c r="B28" s="30" t="s">
        <v>79</v>
      </c>
      <c r="C28" s="31" t="s">
        <v>8</v>
      </c>
      <c r="D28" s="32">
        <f t="shared" si="2"/>
        <v>24</v>
      </c>
      <c r="E28" s="31" t="s">
        <v>58</v>
      </c>
      <c r="F28" s="33">
        <v>46204</v>
      </c>
      <c r="G28" s="34"/>
      <c r="H28" s="30"/>
      <c r="I28" s="35">
        <f t="shared" si="3"/>
        <v>353</v>
      </c>
      <c r="J28" s="34">
        <v>305</v>
      </c>
      <c r="K28" s="34">
        <v>21</v>
      </c>
      <c r="L28" s="34">
        <v>24</v>
      </c>
      <c r="M28" s="34">
        <v>24</v>
      </c>
      <c r="N28" s="34"/>
      <c r="O28" s="34"/>
      <c r="P28" s="34"/>
      <c r="Q28" s="34"/>
      <c r="R28" s="34"/>
      <c r="S28" s="34"/>
      <c r="T28" s="34"/>
      <c r="U28" s="34"/>
      <c r="V28" s="34"/>
      <c r="W28" s="34"/>
      <c r="X28" s="34"/>
      <c r="Y28" s="34"/>
      <c r="Z28" s="34"/>
      <c r="AA28" s="34"/>
      <c r="AB28" s="34"/>
      <c r="AC28" s="34"/>
      <c r="AD28" s="34" t="s">
        <v>3</v>
      </c>
      <c r="AE28" s="34" t="s">
        <v>21</v>
      </c>
      <c r="AF28" s="34" t="s">
        <v>55</v>
      </c>
      <c r="AG28" s="34"/>
      <c r="AH28" s="36" t="str">
        <f>IF(B28="","",INDEX(التقرير!$P$31:$P$260,ROW()-4))</f>
        <v>حقق</v>
      </c>
    </row>
    <row r="29" spans="1:34" x14ac:dyDescent="0.3">
      <c r="A29" s="29">
        <v>2607007255</v>
      </c>
      <c r="B29" s="30" t="s">
        <v>80</v>
      </c>
      <c r="C29" s="31" t="s">
        <v>8</v>
      </c>
      <c r="D29" s="32">
        <f t="shared" si="2"/>
        <v>25</v>
      </c>
      <c r="E29" s="31" t="s">
        <v>58</v>
      </c>
      <c r="F29" s="33">
        <v>46247</v>
      </c>
      <c r="G29" s="34"/>
      <c r="H29" s="30"/>
      <c r="I29" s="35">
        <f t="shared" si="3"/>
        <v>353</v>
      </c>
      <c r="J29" s="34">
        <v>303</v>
      </c>
      <c r="K29" s="34">
        <v>21</v>
      </c>
      <c r="L29" s="34">
        <v>25</v>
      </c>
      <c r="M29" s="34">
        <v>25</v>
      </c>
      <c r="N29" s="34"/>
      <c r="O29" s="34"/>
      <c r="P29" s="34"/>
      <c r="Q29" s="34"/>
      <c r="R29" s="34"/>
      <c r="S29" s="34"/>
      <c r="T29" s="34"/>
      <c r="U29" s="34"/>
      <c r="V29" s="34"/>
      <c r="W29" s="34"/>
      <c r="X29" s="34"/>
      <c r="Y29" s="34"/>
      <c r="Z29" s="34"/>
      <c r="AA29" s="34"/>
      <c r="AB29" s="34"/>
      <c r="AC29" s="34"/>
      <c r="AD29" s="34" t="s">
        <v>3</v>
      </c>
      <c r="AE29" s="34" t="s">
        <v>21</v>
      </c>
      <c r="AF29" s="34" t="s">
        <v>55</v>
      </c>
      <c r="AG29" s="34"/>
      <c r="AH29" s="36" t="str">
        <f>IF(B29="","",INDEX(التقرير!$P$31:$P$260,ROW()-4))</f>
        <v>حقق</v>
      </c>
    </row>
    <row r="30" spans="1:34" x14ac:dyDescent="0.3">
      <c r="A30" s="29">
        <v>2570719415</v>
      </c>
      <c r="B30" s="30" t="s">
        <v>81</v>
      </c>
      <c r="C30" s="31" t="s">
        <v>8</v>
      </c>
      <c r="D30" s="32">
        <f t="shared" si="2"/>
        <v>26</v>
      </c>
      <c r="E30" s="31" t="s">
        <v>54</v>
      </c>
      <c r="F30" s="33">
        <v>45443</v>
      </c>
      <c r="G30" s="34"/>
      <c r="H30" s="30"/>
      <c r="I30" s="35">
        <f t="shared" si="3"/>
        <v>349</v>
      </c>
      <c r="J30" s="34">
        <v>301</v>
      </c>
      <c r="K30" s="34">
        <v>21</v>
      </c>
      <c r="L30" s="34">
        <v>23</v>
      </c>
      <c r="M30" s="34">
        <v>25</v>
      </c>
      <c r="N30" s="34"/>
      <c r="O30" s="34"/>
      <c r="P30" s="34"/>
      <c r="Q30" s="34"/>
      <c r="R30" s="34"/>
      <c r="S30" s="34"/>
      <c r="T30" s="34"/>
      <c r="U30" s="34"/>
      <c r="V30" s="34"/>
      <c r="W30" s="34"/>
      <c r="X30" s="34"/>
      <c r="Y30" s="34"/>
      <c r="Z30" s="34"/>
      <c r="AA30" s="34"/>
      <c r="AB30" s="34"/>
      <c r="AC30" s="34"/>
      <c r="AD30" s="34" t="s">
        <v>11</v>
      </c>
      <c r="AE30" s="34" t="s">
        <v>20</v>
      </c>
      <c r="AF30" s="34" t="s">
        <v>55</v>
      </c>
      <c r="AG30" s="34"/>
      <c r="AH30" s="36" t="str">
        <f>IF(B30="","",INDEX(التقرير!$P$31:$P$260,ROW()-4))</f>
        <v>حقق</v>
      </c>
    </row>
    <row r="31" spans="1:34" x14ac:dyDescent="0.3">
      <c r="A31" s="29">
        <v>2597004569</v>
      </c>
      <c r="B31" s="30" t="s">
        <v>82</v>
      </c>
      <c r="C31" s="31" t="s">
        <v>8</v>
      </c>
      <c r="D31" s="32">
        <f t="shared" si="2"/>
        <v>27</v>
      </c>
      <c r="E31" s="31" t="s">
        <v>54</v>
      </c>
      <c r="F31" s="33">
        <v>46071</v>
      </c>
      <c r="G31" s="34"/>
      <c r="H31" s="30"/>
      <c r="I31" s="35">
        <f t="shared" si="3"/>
        <v>341</v>
      </c>
      <c r="J31" s="34">
        <v>300</v>
      </c>
      <c r="K31" s="34">
        <v>8</v>
      </c>
      <c r="L31" s="34">
        <v>25</v>
      </c>
      <c r="M31" s="34">
        <v>16</v>
      </c>
      <c r="N31" s="34"/>
      <c r="O31" s="34"/>
      <c r="P31" s="34"/>
      <c r="Q31" s="34"/>
      <c r="R31" s="34"/>
      <c r="S31" s="34"/>
      <c r="T31" s="34"/>
      <c r="U31" s="34"/>
      <c r="V31" s="34"/>
      <c r="W31" s="34"/>
      <c r="X31" s="34"/>
      <c r="Y31" s="34"/>
      <c r="Z31" s="34"/>
      <c r="AA31" s="34"/>
      <c r="AB31" s="34"/>
      <c r="AC31" s="34"/>
      <c r="AD31" s="34" t="s">
        <v>11</v>
      </c>
      <c r="AE31" s="34" t="s">
        <v>20</v>
      </c>
      <c r="AF31" s="34" t="s">
        <v>55</v>
      </c>
      <c r="AG31" s="34"/>
      <c r="AH31" s="36" t="str">
        <f>IF(B31="","",INDEX(التقرير!$P$31:$P$260,ROW()-4))</f>
        <v>حقق</v>
      </c>
    </row>
    <row r="32" spans="1:34" x14ac:dyDescent="0.3">
      <c r="A32" s="29">
        <v>2601020726</v>
      </c>
      <c r="B32" s="30" t="s">
        <v>84</v>
      </c>
      <c r="C32" s="31" t="s">
        <v>8</v>
      </c>
      <c r="D32" s="32">
        <f t="shared" si="2"/>
        <v>28</v>
      </c>
      <c r="E32" s="31" t="s">
        <v>54</v>
      </c>
      <c r="F32" s="33">
        <v>46138</v>
      </c>
      <c r="G32" s="34"/>
      <c r="H32" s="30"/>
      <c r="I32" s="35">
        <f t="shared" si="3"/>
        <v>344</v>
      </c>
      <c r="J32" s="34">
        <v>300</v>
      </c>
      <c r="K32" s="34">
        <v>25</v>
      </c>
      <c r="L32" s="34">
        <v>21</v>
      </c>
      <c r="M32" s="34">
        <v>23</v>
      </c>
      <c r="N32" s="34"/>
      <c r="O32" s="34"/>
      <c r="P32" s="34"/>
      <c r="Q32" s="34"/>
      <c r="R32" s="34"/>
      <c r="S32" s="34"/>
      <c r="T32" s="34"/>
      <c r="U32" s="34"/>
      <c r="V32" s="34"/>
      <c r="W32" s="34"/>
      <c r="X32" s="34"/>
      <c r="Y32" s="34"/>
      <c r="Z32" s="34"/>
      <c r="AA32" s="34"/>
      <c r="AB32" s="34"/>
      <c r="AC32" s="34"/>
      <c r="AD32" s="34" t="s">
        <v>11</v>
      </c>
      <c r="AE32" s="34" t="s">
        <v>20</v>
      </c>
      <c r="AF32" s="34" t="s">
        <v>55</v>
      </c>
      <c r="AG32" s="34"/>
      <c r="AH32" s="36" t="str">
        <f>IF(B32="","",INDEX(التقرير!$P$31:$P$260,ROW()-4))</f>
        <v>حقق</v>
      </c>
    </row>
    <row r="33" spans="1:34" x14ac:dyDescent="0.3">
      <c r="A33" s="29">
        <v>2567989484</v>
      </c>
      <c r="B33" s="30" t="s">
        <v>85</v>
      </c>
      <c r="C33" s="31" t="s">
        <v>8</v>
      </c>
      <c r="D33" s="32">
        <f t="shared" si="2"/>
        <v>29</v>
      </c>
      <c r="E33" s="31" t="s">
        <v>54</v>
      </c>
      <c r="F33" s="33">
        <v>45412</v>
      </c>
      <c r="G33" s="34"/>
      <c r="H33" s="30"/>
      <c r="I33" s="35">
        <f t="shared" si="3"/>
        <v>347</v>
      </c>
      <c r="J33" s="34">
        <v>300</v>
      </c>
      <c r="K33" s="34">
        <v>23</v>
      </c>
      <c r="L33" s="34">
        <v>27</v>
      </c>
      <c r="M33" s="34">
        <v>20</v>
      </c>
      <c r="N33" s="34"/>
      <c r="O33" s="34"/>
      <c r="P33" s="34"/>
      <c r="Q33" s="34"/>
      <c r="R33" s="34"/>
      <c r="S33" s="34"/>
      <c r="T33" s="34"/>
      <c r="U33" s="34"/>
      <c r="V33" s="34"/>
      <c r="W33" s="34"/>
      <c r="X33" s="34"/>
      <c r="Y33" s="34"/>
      <c r="Z33" s="34"/>
      <c r="AA33" s="34"/>
      <c r="AB33" s="34"/>
      <c r="AC33" s="34"/>
      <c r="AD33" s="34" t="s">
        <v>11</v>
      </c>
      <c r="AE33" s="34" t="s">
        <v>20</v>
      </c>
      <c r="AF33" s="34" t="s">
        <v>55</v>
      </c>
      <c r="AG33" s="34"/>
      <c r="AH33" s="36" t="str">
        <f>IF(B33="","",INDEX(التقرير!$P$31:$P$260,ROW()-4))</f>
        <v>حقق</v>
      </c>
    </row>
    <row r="34" spans="1:34" x14ac:dyDescent="0.3">
      <c r="A34" s="29">
        <v>2558231755</v>
      </c>
      <c r="B34" s="30" t="s">
        <v>86</v>
      </c>
      <c r="C34" s="31" t="s">
        <v>8</v>
      </c>
      <c r="D34" s="32">
        <f t="shared" si="2"/>
        <v>30</v>
      </c>
      <c r="E34" s="31" t="s">
        <v>58</v>
      </c>
      <c r="F34" s="33">
        <v>46282</v>
      </c>
      <c r="G34" s="34"/>
      <c r="H34" s="30"/>
      <c r="I34" s="35">
        <f t="shared" si="3"/>
        <v>340</v>
      </c>
      <c r="J34" s="34">
        <v>300</v>
      </c>
      <c r="K34" s="34">
        <v>22</v>
      </c>
      <c r="L34" s="34">
        <v>23</v>
      </c>
      <c r="M34" s="34">
        <v>17</v>
      </c>
      <c r="N34" s="34"/>
      <c r="O34" s="34"/>
      <c r="P34" s="34"/>
      <c r="Q34" s="34"/>
      <c r="R34" s="34"/>
      <c r="S34" s="34"/>
      <c r="T34" s="34"/>
      <c r="U34" s="34"/>
      <c r="V34" s="34"/>
      <c r="W34" s="34"/>
      <c r="X34" s="34"/>
      <c r="Y34" s="34"/>
      <c r="Z34" s="34"/>
      <c r="AA34" s="34"/>
      <c r="AB34" s="34"/>
      <c r="AC34" s="34"/>
      <c r="AD34" s="34" t="s">
        <v>3</v>
      </c>
      <c r="AE34" s="34" t="s">
        <v>21</v>
      </c>
      <c r="AF34" s="34" t="s">
        <v>55</v>
      </c>
      <c r="AG34" s="34"/>
      <c r="AH34" s="36" t="str">
        <f>IF(B34="","",INDEX(التقرير!$P$31:$P$260,ROW()-4))</f>
        <v>حقق</v>
      </c>
    </row>
    <row r="35" spans="1:34" x14ac:dyDescent="0.3">
      <c r="A35" s="29">
        <v>2580251441</v>
      </c>
      <c r="B35" s="30" t="s">
        <v>87</v>
      </c>
      <c r="C35" s="31" t="s">
        <v>8</v>
      </c>
      <c r="D35" s="32">
        <f t="shared" si="2"/>
        <v>31</v>
      </c>
      <c r="E35" s="31" t="s">
        <v>58</v>
      </c>
      <c r="F35" s="33">
        <v>46295</v>
      </c>
      <c r="G35" s="34"/>
      <c r="H35" s="30" t="s">
        <v>258</v>
      </c>
      <c r="I35" s="35">
        <f t="shared" si="3"/>
        <v>318</v>
      </c>
      <c r="J35" s="34">
        <v>281</v>
      </c>
      <c r="K35" s="34">
        <v>27</v>
      </c>
      <c r="L35" s="34">
        <v>24</v>
      </c>
      <c r="M35" s="34">
        <v>13</v>
      </c>
      <c r="N35" s="34"/>
      <c r="O35" s="34"/>
      <c r="P35" s="34"/>
      <c r="Q35" s="34"/>
      <c r="R35" s="34"/>
      <c r="S35" s="34"/>
      <c r="T35" s="34"/>
      <c r="U35" s="34"/>
      <c r="V35" s="34"/>
      <c r="W35" s="34"/>
      <c r="X35" s="34"/>
      <c r="Y35" s="34"/>
      <c r="Z35" s="34"/>
      <c r="AA35" s="34"/>
      <c r="AB35" s="34"/>
      <c r="AC35" s="34"/>
      <c r="AD35" s="34" t="s">
        <v>3</v>
      </c>
      <c r="AE35" s="34" t="s">
        <v>21</v>
      </c>
      <c r="AF35" s="34" t="s">
        <v>55</v>
      </c>
      <c r="AG35" s="34"/>
      <c r="AH35" s="36" t="str">
        <f>IF(B35="","",INDEX(التقرير!$P$31:$P$260,ROW()-4))</f>
        <v>حقق</v>
      </c>
    </row>
    <row r="36" spans="1:34" x14ac:dyDescent="0.3">
      <c r="A36" s="29">
        <v>2588109203</v>
      </c>
      <c r="B36" s="30" t="s">
        <v>88</v>
      </c>
      <c r="C36" s="31" t="s">
        <v>8</v>
      </c>
      <c r="D36" s="32">
        <f t="shared" si="2"/>
        <v>32</v>
      </c>
      <c r="E36" s="31" t="s">
        <v>58</v>
      </c>
      <c r="F36" s="33">
        <v>46204</v>
      </c>
      <c r="G36" s="34"/>
      <c r="H36" s="30"/>
      <c r="I36" s="35">
        <f t="shared" si="3"/>
        <v>321</v>
      </c>
      <c r="J36" s="34">
        <v>280</v>
      </c>
      <c r="K36" s="34">
        <v>19</v>
      </c>
      <c r="L36" s="34">
        <v>25</v>
      </c>
      <c r="M36" s="34">
        <v>16</v>
      </c>
      <c r="N36" s="34"/>
      <c r="O36" s="34"/>
      <c r="P36" s="34"/>
      <c r="Q36" s="34"/>
      <c r="R36" s="34"/>
      <c r="S36" s="34"/>
      <c r="T36" s="34"/>
      <c r="U36" s="34"/>
      <c r="V36" s="34"/>
      <c r="W36" s="34"/>
      <c r="X36" s="34"/>
      <c r="Y36" s="34"/>
      <c r="Z36" s="34"/>
      <c r="AA36" s="34"/>
      <c r="AB36" s="34"/>
      <c r="AC36" s="34"/>
      <c r="AD36" s="34" t="s">
        <v>3</v>
      </c>
      <c r="AE36" s="34" t="s">
        <v>21</v>
      </c>
      <c r="AF36" s="34" t="s">
        <v>55</v>
      </c>
      <c r="AG36" s="34"/>
      <c r="AH36" s="36" t="str">
        <f>IF(B36="","",INDEX(التقرير!$P$31:$P$260,ROW()-4))</f>
        <v>حقق</v>
      </c>
    </row>
    <row r="37" spans="1:34" x14ac:dyDescent="0.3">
      <c r="A37" s="29">
        <v>2586867323</v>
      </c>
      <c r="B37" s="30" t="s">
        <v>89</v>
      </c>
      <c r="C37" s="31" t="s">
        <v>8</v>
      </c>
      <c r="D37" s="32">
        <f t="shared" si="2"/>
        <v>33</v>
      </c>
      <c r="E37" s="31" t="s">
        <v>54</v>
      </c>
      <c r="F37" s="33">
        <v>46079</v>
      </c>
      <c r="G37" s="34"/>
      <c r="H37" s="30"/>
      <c r="I37" s="35">
        <f t="shared" si="3"/>
        <v>322</v>
      </c>
      <c r="J37" s="34">
        <v>277</v>
      </c>
      <c r="K37" s="34">
        <v>8</v>
      </c>
      <c r="L37" s="34">
        <v>19</v>
      </c>
      <c r="M37" s="34">
        <v>26</v>
      </c>
      <c r="N37" s="34"/>
      <c r="O37" s="34"/>
      <c r="P37" s="34"/>
      <c r="Q37" s="34"/>
      <c r="R37" s="34"/>
      <c r="S37" s="34"/>
      <c r="T37" s="34"/>
      <c r="U37" s="34"/>
      <c r="V37" s="34"/>
      <c r="W37" s="34"/>
      <c r="X37" s="34"/>
      <c r="Y37" s="34"/>
      <c r="Z37" s="34"/>
      <c r="AA37" s="34"/>
      <c r="AB37" s="34"/>
      <c r="AC37" s="34"/>
      <c r="AD37" s="34" t="s">
        <v>11</v>
      </c>
      <c r="AE37" s="34" t="s">
        <v>20</v>
      </c>
      <c r="AF37" s="34" t="s">
        <v>55</v>
      </c>
      <c r="AG37" s="34"/>
      <c r="AH37" s="36" t="str">
        <f>IF(B37="","",INDEX(التقرير!$P$31:$P$260,ROW()-4))</f>
        <v>حقق</v>
      </c>
    </row>
    <row r="38" spans="1:34" x14ac:dyDescent="0.3">
      <c r="A38" s="29">
        <v>2591331687</v>
      </c>
      <c r="B38" s="30" t="s">
        <v>90</v>
      </c>
      <c r="C38" s="31" t="s">
        <v>8</v>
      </c>
      <c r="D38" s="32">
        <f t="shared" si="2"/>
        <v>34</v>
      </c>
      <c r="E38" s="31" t="s">
        <v>58</v>
      </c>
      <c r="F38" s="33">
        <v>46262</v>
      </c>
      <c r="G38" s="34"/>
      <c r="H38" s="30"/>
      <c r="I38" s="35">
        <f t="shared" si="3"/>
        <v>322</v>
      </c>
      <c r="J38" s="34">
        <v>277</v>
      </c>
      <c r="K38" s="34">
        <v>24</v>
      </c>
      <c r="L38" s="34">
        <v>28</v>
      </c>
      <c r="M38" s="34">
        <v>17</v>
      </c>
      <c r="N38" s="34"/>
      <c r="O38" s="34"/>
      <c r="P38" s="34"/>
      <c r="Q38" s="34"/>
      <c r="R38" s="34"/>
      <c r="S38" s="34"/>
      <c r="T38" s="34"/>
      <c r="U38" s="34"/>
      <c r="V38" s="34"/>
      <c r="W38" s="34"/>
      <c r="X38" s="34"/>
      <c r="Y38" s="34"/>
      <c r="Z38" s="34"/>
      <c r="AA38" s="34"/>
      <c r="AB38" s="34"/>
      <c r="AC38" s="34"/>
      <c r="AD38" s="34" t="s">
        <v>3</v>
      </c>
      <c r="AE38" s="34" t="s">
        <v>21</v>
      </c>
      <c r="AF38" s="34" t="s">
        <v>55</v>
      </c>
      <c r="AG38" s="34"/>
      <c r="AH38" s="36" t="str">
        <f>IF(B38="","",INDEX(التقرير!$P$31:$P$260,ROW()-4))</f>
        <v>حقق</v>
      </c>
    </row>
    <row r="39" spans="1:34" x14ac:dyDescent="0.3">
      <c r="A39" s="29">
        <v>2598450894</v>
      </c>
      <c r="B39" s="30" t="s">
        <v>91</v>
      </c>
      <c r="C39" s="31" t="s">
        <v>8</v>
      </c>
      <c r="D39" s="32">
        <f t="shared" si="2"/>
        <v>35</v>
      </c>
      <c r="E39" s="31" t="s">
        <v>58</v>
      </c>
      <c r="F39" s="33">
        <v>46282</v>
      </c>
      <c r="G39" s="34"/>
      <c r="H39" s="30"/>
      <c r="I39" s="35">
        <f t="shared" si="3"/>
        <v>311</v>
      </c>
      <c r="J39" s="34">
        <v>275</v>
      </c>
      <c r="K39" s="34">
        <v>20</v>
      </c>
      <c r="L39" s="34">
        <v>17</v>
      </c>
      <c r="M39" s="34">
        <v>19</v>
      </c>
      <c r="N39" s="34"/>
      <c r="O39" s="34"/>
      <c r="P39" s="34"/>
      <c r="Q39" s="34"/>
      <c r="R39" s="34"/>
      <c r="S39" s="34"/>
      <c r="T39" s="34"/>
      <c r="U39" s="34"/>
      <c r="V39" s="34"/>
      <c r="W39" s="34"/>
      <c r="X39" s="34"/>
      <c r="Y39" s="34"/>
      <c r="Z39" s="34"/>
      <c r="AA39" s="34"/>
      <c r="AB39" s="34"/>
      <c r="AC39" s="34"/>
      <c r="AD39" s="34" t="s">
        <v>3</v>
      </c>
      <c r="AE39" s="34" t="s">
        <v>21</v>
      </c>
      <c r="AF39" s="34" t="s">
        <v>55</v>
      </c>
      <c r="AG39" s="34"/>
      <c r="AH39" s="36" t="str">
        <f>IF(B39="","",INDEX(التقرير!$P$31:$P$260,ROW()-4))</f>
        <v>حقق</v>
      </c>
    </row>
    <row r="40" spans="1:34" x14ac:dyDescent="0.3">
      <c r="A40" s="29">
        <v>2576049361</v>
      </c>
      <c r="B40" s="30" t="s">
        <v>92</v>
      </c>
      <c r="C40" s="31" t="s">
        <v>8</v>
      </c>
      <c r="D40" s="32">
        <f t="shared" si="2"/>
        <v>36</v>
      </c>
      <c r="E40" s="31" t="s">
        <v>58</v>
      </c>
      <c r="F40" s="33">
        <v>46272</v>
      </c>
      <c r="G40" s="34"/>
      <c r="H40" s="30"/>
      <c r="I40" s="35">
        <f t="shared" si="3"/>
        <v>321</v>
      </c>
      <c r="J40" s="34">
        <v>272</v>
      </c>
      <c r="K40" s="34">
        <v>17</v>
      </c>
      <c r="L40" s="34">
        <v>27</v>
      </c>
      <c r="M40" s="34">
        <v>22</v>
      </c>
      <c r="N40" s="34"/>
      <c r="O40" s="34"/>
      <c r="P40" s="34"/>
      <c r="Q40" s="34"/>
      <c r="R40" s="34"/>
      <c r="S40" s="34"/>
      <c r="T40" s="34"/>
      <c r="U40" s="34"/>
      <c r="V40" s="34"/>
      <c r="W40" s="34"/>
      <c r="X40" s="34"/>
      <c r="Y40" s="34"/>
      <c r="Z40" s="34"/>
      <c r="AA40" s="34"/>
      <c r="AB40" s="34"/>
      <c r="AC40" s="34"/>
      <c r="AD40" s="34" t="s">
        <v>3</v>
      </c>
      <c r="AE40" s="34" t="s">
        <v>21</v>
      </c>
      <c r="AF40" s="34" t="s">
        <v>55</v>
      </c>
      <c r="AG40" s="34"/>
      <c r="AH40" s="36" t="str">
        <f>IF(B40="","",INDEX(التقرير!$P$31:$P$260,ROW()-4))</f>
        <v>حقق</v>
      </c>
    </row>
    <row r="41" spans="1:34" x14ac:dyDescent="0.3">
      <c r="A41" s="29">
        <v>2590036691</v>
      </c>
      <c r="B41" s="30" t="s">
        <v>93</v>
      </c>
      <c r="C41" s="31" t="s">
        <v>8</v>
      </c>
      <c r="D41" s="32">
        <f t="shared" si="2"/>
        <v>37</v>
      </c>
      <c r="E41" s="31" t="s">
        <v>58</v>
      </c>
      <c r="F41" s="33">
        <v>46241</v>
      </c>
      <c r="G41" s="34"/>
      <c r="H41" s="30" t="s">
        <v>257</v>
      </c>
      <c r="I41" s="35">
        <f t="shared" si="3"/>
        <v>304</v>
      </c>
      <c r="J41" s="34">
        <v>271</v>
      </c>
      <c r="K41" s="34">
        <v>18</v>
      </c>
      <c r="L41" s="34">
        <v>20</v>
      </c>
      <c r="M41" s="34">
        <v>13</v>
      </c>
      <c r="N41" s="34"/>
      <c r="O41" s="34"/>
      <c r="P41" s="34"/>
      <c r="Q41" s="34"/>
      <c r="R41" s="34"/>
      <c r="S41" s="34"/>
      <c r="T41" s="34"/>
      <c r="U41" s="34"/>
      <c r="V41" s="34"/>
      <c r="W41" s="34"/>
      <c r="X41" s="34"/>
      <c r="Y41" s="34"/>
      <c r="Z41" s="34"/>
      <c r="AA41" s="34"/>
      <c r="AB41" s="34"/>
      <c r="AC41" s="34"/>
      <c r="AD41" s="34" t="s">
        <v>3</v>
      </c>
      <c r="AE41" s="34" t="s">
        <v>21</v>
      </c>
      <c r="AF41" s="34" t="s">
        <v>55</v>
      </c>
      <c r="AG41" s="34"/>
      <c r="AH41" s="36" t="str">
        <f>IF(B41="","",INDEX(التقرير!$P$31:$P$260,ROW()-4))</f>
        <v>حقق</v>
      </c>
    </row>
    <row r="42" spans="1:34" x14ac:dyDescent="0.3">
      <c r="A42" s="29">
        <v>2589063623</v>
      </c>
      <c r="B42" s="30" t="s">
        <v>94</v>
      </c>
      <c r="C42" s="31" t="s">
        <v>8</v>
      </c>
      <c r="D42" s="32">
        <f t="shared" si="2"/>
        <v>38</v>
      </c>
      <c r="E42" s="31" t="s">
        <v>58</v>
      </c>
      <c r="F42" s="33">
        <v>46204</v>
      </c>
      <c r="G42" s="34"/>
      <c r="H42" s="30"/>
      <c r="I42" s="35">
        <f t="shared" si="3"/>
        <v>312</v>
      </c>
      <c r="J42" s="34">
        <v>271</v>
      </c>
      <c r="K42" s="34">
        <v>21</v>
      </c>
      <c r="L42" s="34">
        <v>20</v>
      </c>
      <c r="M42" s="34">
        <v>21</v>
      </c>
      <c r="N42" s="34"/>
      <c r="O42" s="34"/>
      <c r="P42" s="34"/>
      <c r="Q42" s="34"/>
      <c r="R42" s="34"/>
      <c r="S42" s="34"/>
      <c r="T42" s="34"/>
      <c r="U42" s="34"/>
      <c r="V42" s="34"/>
      <c r="W42" s="34"/>
      <c r="X42" s="34"/>
      <c r="Y42" s="34"/>
      <c r="Z42" s="34"/>
      <c r="AA42" s="34"/>
      <c r="AB42" s="34"/>
      <c r="AC42" s="34"/>
      <c r="AD42" s="34" t="s">
        <v>3</v>
      </c>
      <c r="AE42" s="34" t="s">
        <v>21</v>
      </c>
      <c r="AF42" s="34" t="s">
        <v>55</v>
      </c>
      <c r="AG42" s="34"/>
      <c r="AH42" s="36" t="str">
        <f>IF(B42="","",INDEX(التقرير!$P$31:$P$260,ROW()-4))</f>
        <v>حقق</v>
      </c>
    </row>
    <row r="43" spans="1:34" x14ac:dyDescent="0.3">
      <c r="A43" s="29">
        <v>2585782051</v>
      </c>
      <c r="B43" s="30" t="s">
        <v>95</v>
      </c>
      <c r="C43" s="31" t="s">
        <v>8</v>
      </c>
      <c r="D43" s="32">
        <f t="shared" si="2"/>
        <v>39</v>
      </c>
      <c r="E43" s="31" t="s">
        <v>54</v>
      </c>
      <c r="F43" s="33">
        <v>45889</v>
      </c>
      <c r="G43" s="34"/>
      <c r="H43" s="30"/>
      <c r="I43" s="35">
        <f t="shared" si="3"/>
        <v>304</v>
      </c>
      <c r="J43" s="34">
        <v>268</v>
      </c>
      <c r="K43" s="34">
        <v>20</v>
      </c>
      <c r="L43" s="34">
        <v>21</v>
      </c>
      <c r="M43" s="34">
        <v>15</v>
      </c>
      <c r="N43" s="34"/>
      <c r="O43" s="34"/>
      <c r="P43" s="34"/>
      <c r="Q43" s="34"/>
      <c r="R43" s="34"/>
      <c r="S43" s="34"/>
      <c r="T43" s="34"/>
      <c r="U43" s="34"/>
      <c r="V43" s="34"/>
      <c r="W43" s="34"/>
      <c r="X43" s="34"/>
      <c r="Y43" s="34"/>
      <c r="Z43" s="34"/>
      <c r="AA43" s="34"/>
      <c r="AB43" s="34"/>
      <c r="AC43" s="34"/>
      <c r="AD43" s="34" t="s">
        <v>11</v>
      </c>
      <c r="AE43" s="34" t="s">
        <v>20</v>
      </c>
      <c r="AF43" s="34" t="s">
        <v>55</v>
      </c>
      <c r="AG43" s="34"/>
      <c r="AH43" s="36" t="str">
        <f>IF(B43="","",INDEX(التقرير!$P$31:$P$260,ROW()-4))</f>
        <v>حقق</v>
      </c>
    </row>
    <row r="44" spans="1:34" x14ac:dyDescent="0.3">
      <c r="A44" s="29">
        <v>2579771524</v>
      </c>
      <c r="B44" s="30" t="s">
        <v>96</v>
      </c>
      <c r="C44" s="31" t="s">
        <v>8</v>
      </c>
      <c r="D44" s="32">
        <f t="shared" si="2"/>
        <v>40</v>
      </c>
      <c r="E44" s="31" t="s">
        <v>54</v>
      </c>
      <c r="F44" s="33">
        <v>46077</v>
      </c>
      <c r="G44" s="34"/>
      <c r="H44" s="30" t="s">
        <v>256</v>
      </c>
      <c r="I44" s="35">
        <f t="shared" si="3"/>
        <v>288</v>
      </c>
      <c r="J44" s="34">
        <v>264</v>
      </c>
      <c r="K44" s="34">
        <v>26</v>
      </c>
      <c r="L44" s="34">
        <v>13</v>
      </c>
      <c r="M44" s="34">
        <v>11</v>
      </c>
      <c r="N44" s="34"/>
      <c r="O44" s="34"/>
      <c r="P44" s="34"/>
      <c r="Q44" s="34"/>
      <c r="R44" s="34"/>
      <c r="S44" s="34"/>
      <c r="T44" s="34"/>
      <c r="U44" s="34"/>
      <c r="V44" s="34"/>
      <c r="W44" s="34"/>
      <c r="X44" s="34"/>
      <c r="Y44" s="34"/>
      <c r="Z44" s="34"/>
      <c r="AA44" s="34"/>
      <c r="AB44" s="34"/>
      <c r="AC44" s="34"/>
      <c r="AD44" s="34" t="s">
        <v>11</v>
      </c>
      <c r="AE44" s="34" t="s">
        <v>20</v>
      </c>
      <c r="AF44" s="34" t="s">
        <v>55</v>
      </c>
      <c r="AG44" s="34"/>
      <c r="AH44" s="36" t="str">
        <f>IF(B44="","",INDEX(التقرير!$P$31:$P$260,ROW()-4))</f>
        <v>حقق</v>
      </c>
    </row>
    <row r="45" spans="1:34" x14ac:dyDescent="0.3">
      <c r="A45" s="29">
        <v>2568200659</v>
      </c>
      <c r="B45" s="30" t="s">
        <v>97</v>
      </c>
      <c r="C45" s="31" t="s">
        <v>8</v>
      </c>
      <c r="D45" s="32">
        <f t="shared" si="2"/>
        <v>41</v>
      </c>
      <c r="E45" s="31" t="s">
        <v>58</v>
      </c>
      <c r="F45" s="33">
        <v>46250</v>
      </c>
      <c r="G45" s="34"/>
      <c r="H45" s="30"/>
      <c r="I45" s="35">
        <f t="shared" si="3"/>
        <v>294</v>
      </c>
      <c r="J45" s="34">
        <v>259</v>
      </c>
      <c r="K45" s="34">
        <v>20</v>
      </c>
      <c r="L45" s="34">
        <v>20</v>
      </c>
      <c r="M45" s="34">
        <v>15</v>
      </c>
      <c r="N45" s="34"/>
      <c r="O45" s="34"/>
      <c r="P45" s="34"/>
      <c r="Q45" s="34"/>
      <c r="R45" s="34"/>
      <c r="S45" s="34"/>
      <c r="T45" s="34"/>
      <c r="U45" s="34"/>
      <c r="V45" s="34"/>
      <c r="W45" s="34"/>
      <c r="X45" s="34"/>
      <c r="Y45" s="34"/>
      <c r="Z45" s="34"/>
      <c r="AA45" s="34"/>
      <c r="AB45" s="34"/>
      <c r="AC45" s="34"/>
      <c r="AD45" s="34" t="s">
        <v>3</v>
      </c>
      <c r="AE45" s="34" t="s">
        <v>21</v>
      </c>
      <c r="AF45" s="34" t="s">
        <v>55</v>
      </c>
      <c r="AG45" s="34"/>
      <c r="AH45" s="36" t="str">
        <f>IF(B45="","",INDEX(التقرير!$P$31:$P$260,ROW()-4))</f>
        <v>حقق</v>
      </c>
    </row>
    <row r="46" spans="1:34" x14ac:dyDescent="0.3">
      <c r="A46" s="29">
        <v>2607927049</v>
      </c>
      <c r="B46" s="30" t="s">
        <v>98</v>
      </c>
      <c r="C46" s="31" t="s">
        <v>8</v>
      </c>
      <c r="D46" s="32">
        <f t="shared" si="2"/>
        <v>42</v>
      </c>
      <c r="E46" s="31" t="s">
        <v>58</v>
      </c>
      <c r="F46" s="33">
        <v>46293</v>
      </c>
      <c r="G46" s="34"/>
      <c r="H46" s="30"/>
      <c r="I46" s="35">
        <f t="shared" si="3"/>
        <v>275</v>
      </c>
      <c r="J46" s="34">
        <v>259</v>
      </c>
      <c r="K46" s="34">
        <v>15</v>
      </c>
      <c r="L46" s="34">
        <v>0</v>
      </c>
      <c r="M46" s="34">
        <v>16</v>
      </c>
      <c r="N46" s="34"/>
      <c r="O46" s="34"/>
      <c r="P46" s="34"/>
      <c r="Q46" s="34"/>
      <c r="R46" s="34"/>
      <c r="S46" s="34"/>
      <c r="T46" s="34"/>
      <c r="U46" s="34"/>
      <c r="V46" s="34"/>
      <c r="W46" s="34"/>
      <c r="X46" s="34"/>
      <c r="Y46" s="34"/>
      <c r="Z46" s="34"/>
      <c r="AA46" s="34"/>
      <c r="AB46" s="34"/>
      <c r="AC46" s="34"/>
      <c r="AD46" s="34" t="s">
        <v>3</v>
      </c>
      <c r="AE46" s="34" t="s">
        <v>21</v>
      </c>
      <c r="AF46" s="34" t="s">
        <v>55</v>
      </c>
      <c r="AG46" s="34"/>
      <c r="AH46" s="36" t="str">
        <f>IF(B46="","",INDEX(التقرير!$P$31:$P$260,ROW()-4))</f>
        <v>حقق</v>
      </c>
    </row>
    <row r="47" spans="1:34" x14ac:dyDescent="0.3">
      <c r="A47" s="29">
        <v>2609179607</v>
      </c>
      <c r="B47" s="30" t="s">
        <v>99</v>
      </c>
      <c r="C47" s="31" t="s">
        <v>8</v>
      </c>
      <c r="D47" s="32">
        <f t="shared" si="2"/>
        <v>43</v>
      </c>
      <c r="E47" s="31" t="s">
        <v>58</v>
      </c>
      <c r="F47" s="33">
        <v>46204</v>
      </c>
      <c r="G47" s="34"/>
      <c r="H47" s="30"/>
      <c r="I47" s="35">
        <f t="shared" si="3"/>
        <v>300</v>
      </c>
      <c r="J47" s="34">
        <v>257</v>
      </c>
      <c r="K47" s="34">
        <v>23</v>
      </c>
      <c r="L47" s="34">
        <v>21</v>
      </c>
      <c r="M47" s="34">
        <v>22</v>
      </c>
      <c r="N47" s="34"/>
      <c r="O47" s="34"/>
      <c r="P47" s="34"/>
      <c r="Q47" s="34"/>
      <c r="R47" s="34"/>
      <c r="S47" s="34"/>
      <c r="T47" s="34"/>
      <c r="U47" s="34"/>
      <c r="V47" s="34"/>
      <c r="W47" s="34"/>
      <c r="X47" s="34"/>
      <c r="Y47" s="34"/>
      <c r="Z47" s="34"/>
      <c r="AA47" s="34"/>
      <c r="AB47" s="34"/>
      <c r="AC47" s="34"/>
      <c r="AD47" s="34" t="s">
        <v>3</v>
      </c>
      <c r="AE47" s="34" t="s">
        <v>21</v>
      </c>
      <c r="AF47" s="34" t="s">
        <v>55</v>
      </c>
      <c r="AG47" s="34"/>
      <c r="AH47" s="36" t="str">
        <f>IF(B47="","",INDEX(التقرير!$P$31:$P$260,ROW()-4))</f>
        <v>حقق</v>
      </c>
    </row>
    <row r="48" spans="1:34" x14ac:dyDescent="0.3">
      <c r="A48" s="29">
        <v>2586502839</v>
      </c>
      <c r="B48" s="30" t="s">
        <v>100</v>
      </c>
      <c r="C48" s="31" t="s">
        <v>8</v>
      </c>
      <c r="D48" s="32">
        <f t="shared" si="2"/>
        <v>44</v>
      </c>
      <c r="E48" s="31" t="s">
        <v>58</v>
      </c>
      <c r="F48" s="33">
        <v>46204</v>
      </c>
      <c r="G48" s="34"/>
      <c r="H48" s="30"/>
      <c r="I48" s="35">
        <f t="shared" si="3"/>
        <v>298</v>
      </c>
      <c r="J48" s="34">
        <v>256</v>
      </c>
      <c r="K48" s="34">
        <v>19</v>
      </c>
      <c r="L48" s="34">
        <v>25</v>
      </c>
      <c r="M48" s="34">
        <v>17</v>
      </c>
      <c r="N48" s="34"/>
      <c r="O48" s="34"/>
      <c r="P48" s="34"/>
      <c r="Q48" s="34"/>
      <c r="R48" s="34"/>
      <c r="S48" s="34"/>
      <c r="T48" s="34"/>
      <c r="U48" s="34"/>
      <c r="V48" s="34"/>
      <c r="W48" s="34"/>
      <c r="X48" s="34"/>
      <c r="Y48" s="34"/>
      <c r="Z48" s="34"/>
      <c r="AA48" s="34"/>
      <c r="AB48" s="34"/>
      <c r="AC48" s="34"/>
      <c r="AD48" s="34" t="s">
        <v>3</v>
      </c>
      <c r="AE48" s="34" t="s">
        <v>21</v>
      </c>
      <c r="AF48" s="34" t="s">
        <v>55</v>
      </c>
      <c r="AG48" s="34"/>
      <c r="AH48" s="36" t="str">
        <f>IF(B48="","",INDEX(التقرير!$P$31:$P$260,ROW()-4))</f>
        <v>حقق</v>
      </c>
    </row>
    <row r="49" spans="1:34" x14ac:dyDescent="0.3">
      <c r="A49" s="29">
        <v>2553949062</v>
      </c>
      <c r="B49" s="30" t="s">
        <v>101</v>
      </c>
      <c r="C49" s="31" t="s">
        <v>8</v>
      </c>
      <c r="D49" s="32">
        <f t="shared" si="2"/>
        <v>45</v>
      </c>
      <c r="E49" s="31" t="s">
        <v>54</v>
      </c>
      <c r="F49" s="33">
        <v>45316</v>
      </c>
      <c r="G49" s="34"/>
      <c r="H49" s="30"/>
      <c r="I49" s="35">
        <f t="shared" si="3"/>
        <v>286</v>
      </c>
      <c r="J49" s="34">
        <v>249</v>
      </c>
      <c r="K49" s="34">
        <v>20</v>
      </c>
      <c r="L49" s="34">
        <v>21</v>
      </c>
      <c r="M49" s="34">
        <v>16</v>
      </c>
      <c r="N49" s="34"/>
      <c r="O49" s="34"/>
      <c r="P49" s="34"/>
      <c r="Q49" s="34"/>
      <c r="R49" s="34"/>
      <c r="S49" s="34"/>
      <c r="T49" s="34"/>
      <c r="U49" s="34"/>
      <c r="V49" s="34"/>
      <c r="W49" s="34"/>
      <c r="X49" s="34"/>
      <c r="Y49" s="34"/>
      <c r="Z49" s="34"/>
      <c r="AA49" s="34"/>
      <c r="AB49" s="34"/>
      <c r="AC49" s="34"/>
      <c r="AD49" s="34" t="s">
        <v>11</v>
      </c>
      <c r="AE49" s="34" t="s">
        <v>20</v>
      </c>
      <c r="AF49" s="34" t="s">
        <v>55</v>
      </c>
      <c r="AG49" s="34"/>
      <c r="AH49" s="36" t="str">
        <f>IF(B49="","",INDEX(التقرير!$P$31:$P$260,ROW()-4))</f>
        <v>حقق</v>
      </c>
    </row>
    <row r="50" spans="1:34" x14ac:dyDescent="0.3">
      <c r="A50" s="29">
        <v>2557509482</v>
      </c>
      <c r="B50" s="30" t="s">
        <v>102</v>
      </c>
      <c r="C50" s="31" t="s">
        <v>8</v>
      </c>
      <c r="D50" s="32">
        <f t="shared" si="2"/>
        <v>46</v>
      </c>
      <c r="E50" s="31" t="s">
        <v>54</v>
      </c>
      <c r="F50" s="33">
        <v>45322</v>
      </c>
      <c r="G50" s="34"/>
      <c r="H50" s="30"/>
      <c r="I50" s="35">
        <f t="shared" si="3"/>
        <v>288</v>
      </c>
      <c r="J50" s="34">
        <v>247</v>
      </c>
      <c r="K50" s="34">
        <v>24</v>
      </c>
      <c r="L50" s="34">
        <v>22</v>
      </c>
      <c r="M50" s="34">
        <v>19</v>
      </c>
      <c r="N50" s="34"/>
      <c r="O50" s="34"/>
      <c r="P50" s="34"/>
      <c r="Q50" s="34"/>
      <c r="R50" s="34"/>
      <c r="S50" s="34"/>
      <c r="T50" s="34"/>
      <c r="U50" s="34"/>
      <c r="V50" s="34"/>
      <c r="W50" s="34"/>
      <c r="X50" s="34"/>
      <c r="Y50" s="34"/>
      <c r="Z50" s="34"/>
      <c r="AA50" s="34"/>
      <c r="AB50" s="34"/>
      <c r="AC50" s="34"/>
      <c r="AD50" s="34" t="s">
        <v>11</v>
      </c>
      <c r="AE50" s="34" t="s">
        <v>20</v>
      </c>
      <c r="AF50" s="34" t="s">
        <v>55</v>
      </c>
      <c r="AG50" s="34"/>
      <c r="AH50" s="36" t="str">
        <f>IF(B50="","",INDEX(التقرير!$P$31:$P$260,ROW()-4))</f>
        <v>حقق</v>
      </c>
    </row>
    <row r="51" spans="1:34" x14ac:dyDescent="0.3">
      <c r="A51" s="29">
        <v>2568883777</v>
      </c>
      <c r="B51" s="30" t="s">
        <v>103</v>
      </c>
      <c r="C51" s="31" t="s">
        <v>8</v>
      </c>
      <c r="D51" s="32">
        <f t="shared" si="2"/>
        <v>47</v>
      </c>
      <c r="E51" s="31" t="s">
        <v>58</v>
      </c>
      <c r="F51" s="33">
        <v>46204</v>
      </c>
      <c r="G51" s="34"/>
      <c r="H51" s="30"/>
      <c r="I51" s="35">
        <f t="shared" si="3"/>
        <v>283</v>
      </c>
      <c r="J51" s="34">
        <v>245</v>
      </c>
      <c r="K51" s="34">
        <v>18</v>
      </c>
      <c r="L51" s="34">
        <v>19</v>
      </c>
      <c r="M51" s="34">
        <v>19</v>
      </c>
      <c r="N51" s="34"/>
      <c r="O51" s="34"/>
      <c r="P51" s="34"/>
      <c r="Q51" s="34"/>
      <c r="R51" s="34"/>
      <c r="S51" s="34"/>
      <c r="T51" s="34"/>
      <c r="U51" s="34"/>
      <c r="V51" s="34"/>
      <c r="W51" s="34"/>
      <c r="X51" s="34"/>
      <c r="Y51" s="34"/>
      <c r="Z51" s="34"/>
      <c r="AA51" s="34"/>
      <c r="AB51" s="34"/>
      <c r="AC51" s="34"/>
      <c r="AD51" s="34" t="s">
        <v>3</v>
      </c>
      <c r="AE51" s="34" t="s">
        <v>21</v>
      </c>
      <c r="AF51" s="34" t="s">
        <v>55</v>
      </c>
      <c r="AG51" s="34"/>
      <c r="AH51" s="36" t="str">
        <f>IF(B51="","",INDEX(التقرير!$P$31:$P$260,ROW()-4))</f>
        <v>حقق</v>
      </c>
    </row>
    <row r="52" spans="1:34" x14ac:dyDescent="0.3">
      <c r="A52" s="29">
        <v>2562201455</v>
      </c>
      <c r="B52" s="30" t="s">
        <v>104</v>
      </c>
      <c r="C52" s="31" t="s">
        <v>8</v>
      </c>
      <c r="D52" s="32">
        <f t="shared" si="2"/>
        <v>48</v>
      </c>
      <c r="E52" s="31" t="s">
        <v>54</v>
      </c>
      <c r="F52" s="33">
        <v>45351</v>
      </c>
      <c r="G52" s="34"/>
      <c r="H52" s="30"/>
      <c r="I52" s="35">
        <f t="shared" si="3"/>
        <v>278</v>
      </c>
      <c r="J52" s="34">
        <v>244</v>
      </c>
      <c r="K52" s="34">
        <v>15</v>
      </c>
      <c r="L52" s="34">
        <v>15</v>
      </c>
      <c r="M52" s="34">
        <v>19</v>
      </c>
      <c r="N52" s="34"/>
      <c r="O52" s="34"/>
      <c r="P52" s="34"/>
      <c r="Q52" s="34"/>
      <c r="R52" s="34"/>
      <c r="S52" s="34"/>
      <c r="T52" s="34"/>
      <c r="U52" s="34"/>
      <c r="V52" s="34"/>
      <c r="W52" s="34"/>
      <c r="X52" s="34"/>
      <c r="Y52" s="34"/>
      <c r="Z52" s="34"/>
      <c r="AA52" s="34"/>
      <c r="AB52" s="34"/>
      <c r="AC52" s="34"/>
      <c r="AD52" s="34" t="s">
        <v>11</v>
      </c>
      <c r="AE52" s="34" t="s">
        <v>20</v>
      </c>
      <c r="AF52" s="34" t="s">
        <v>55</v>
      </c>
      <c r="AG52" s="34"/>
      <c r="AH52" s="36" t="str">
        <f>IF(B52="","",INDEX(التقرير!$P$31:$P$260,ROW()-4))</f>
        <v>حقق</v>
      </c>
    </row>
    <row r="53" spans="1:34" x14ac:dyDescent="0.3">
      <c r="A53" s="29">
        <v>2600845370</v>
      </c>
      <c r="B53" s="30" t="s">
        <v>105</v>
      </c>
      <c r="C53" s="31" t="s">
        <v>8</v>
      </c>
      <c r="D53" s="32">
        <f t="shared" si="2"/>
        <v>49</v>
      </c>
      <c r="E53" s="31" t="s">
        <v>58</v>
      </c>
      <c r="F53" s="33">
        <v>46204</v>
      </c>
      <c r="G53" s="34"/>
      <c r="H53" s="30"/>
      <c r="I53" s="35">
        <f t="shared" si="3"/>
        <v>284</v>
      </c>
      <c r="J53" s="34">
        <v>243</v>
      </c>
      <c r="K53" s="34">
        <v>18</v>
      </c>
      <c r="L53" s="34">
        <v>20</v>
      </c>
      <c r="M53" s="34">
        <v>21</v>
      </c>
      <c r="N53" s="34"/>
      <c r="O53" s="34"/>
      <c r="P53" s="34"/>
      <c r="Q53" s="34"/>
      <c r="R53" s="34"/>
      <c r="S53" s="34"/>
      <c r="T53" s="34"/>
      <c r="U53" s="34"/>
      <c r="V53" s="34"/>
      <c r="W53" s="34"/>
      <c r="X53" s="34"/>
      <c r="Y53" s="34"/>
      <c r="Z53" s="34"/>
      <c r="AA53" s="34"/>
      <c r="AB53" s="34"/>
      <c r="AC53" s="34"/>
      <c r="AD53" s="34" t="s">
        <v>3</v>
      </c>
      <c r="AE53" s="34" t="s">
        <v>21</v>
      </c>
      <c r="AF53" s="34" t="s">
        <v>55</v>
      </c>
      <c r="AG53" s="34"/>
      <c r="AH53" s="36" t="str">
        <f>IF(B53="","",INDEX(التقرير!$P$31:$P$260,ROW()-4))</f>
        <v>حقق</v>
      </c>
    </row>
    <row r="54" spans="1:34" x14ac:dyDescent="0.3">
      <c r="A54" s="29">
        <v>2600468512</v>
      </c>
      <c r="B54" s="30" t="s">
        <v>106</v>
      </c>
      <c r="C54" s="31" t="s">
        <v>8</v>
      </c>
      <c r="D54" s="32">
        <f t="shared" si="2"/>
        <v>50</v>
      </c>
      <c r="E54" s="31" t="s">
        <v>58</v>
      </c>
      <c r="F54" s="33">
        <v>46204</v>
      </c>
      <c r="G54" s="34"/>
      <c r="H54" s="30"/>
      <c r="I54" s="35">
        <f t="shared" si="3"/>
        <v>287</v>
      </c>
      <c r="J54" s="34">
        <v>241</v>
      </c>
      <c r="K54" s="34">
        <v>16</v>
      </c>
      <c r="L54" s="34">
        <v>24</v>
      </c>
      <c r="M54" s="34">
        <v>22</v>
      </c>
      <c r="N54" s="34"/>
      <c r="O54" s="34"/>
      <c r="P54" s="34"/>
      <c r="Q54" s="34"/>
      <c r="R54" s="34"/>
      <c r="S54" s="34"/>
      <c r="T54" s="34"/>
      <c r="U54" s="34"/>
      <c r="V54" s="34"/>
      <c r="W54" s="34"/>
      <c r="X54" s="34"/>
      <c r="Y54" s="34"/>
      <c r="Z54" s="34"/>
      <c r="AA54" s="34"/>
      <c r="AB54" s="34"/>
      <c r="AC54" s="34"/>
      <c r="AD54" s="34" t="s">
        <v>3</v>
      </c>
      <c r="AE54" s="34" t="s">
        <v>21</v>
      </c>
      <c r="AF54" s="34" t="s">
        <v>55</v>
      </c>
      <c r="AG54" s="34"/>
      <c r="AH54" s="36" t="str">
        <f>IF(B54="","",INDEX(التقرير!$P$31:$P$260,ROW()-4))</f>
        <v>حقق</v>
      </c>
    </row>
    <row r="55" spans="1:34" x14ac:dyDescent="0.3">
      <c r="A55" s="29">
        <v>2613704226</v>
      </c>
      <c r="B55" s="30" t="s">
        <v>107</v>
      </c>
      <c r="C55" s="31" t="s">
        <v>8</v>
      </c>
      <c r="D55" s="32">
        <f t="shared" si="2"/>
        <v>51</v>
      </c>
      <c r="E55" s="31" t="s">
        <v>58</v>
      </c>
      <c r="F55" s="33">
        <v>46204</v>
      </c>
      <c r="G55" s="34"/>
      <c r="H55" s="30" t="s">
        <v>108</v>
      </c>
      <c r="I55" s="35">
        <f t="shared" si="3"/>
        <v>266</v>
      </c>
      <c r="J55" s="34">
        <v>240</v>
      </c>
      <c r="K55" s="34">
        <v>12</v>
      </c>
      <c r="L55" s="34">
        <v>17</v>
      </c>
      <c r="M55" s="34">
        <v>9</v>
      </c>
      <c r="N55" s="34"/>
      <c r="O55" s="34"/>
      <c r="P55" s="34"/>
      <c r="Q55" s="34"/>
      <c r="R55" s="34"/>
      <c r="S55" s="34"/>
      <c r="T55" s="34"/>
      <c r="U55" s="34"/>
      <c r="V55" s="34"/>
      <c r="W55" s="34"/>
      <c r="X55" s="34"/>
      <c r="Y55" s="34"/>
      <c r="Z55" s="34"/>
      <c r="AA55" s="34"/>
      <c r="AB55" s="34"/>
      <c r="AC55" s="34"/>
      <c r="AD55" s="34" t="s">
        <v>3</v>
      </c>
      <c r="AE55" s="34" t="s">
        <v>21</v>
      </c>
      <c r="AF55" s="34" t="s">
        <v>55</v>
      </c>
      <c r="AG55" s="34"/>
      <c r="AH55" s="36" t="str">
        <f>IF(B55="","",INDEX(التقرير!$P$31:$P$260,ROW()-4))</f>
        <v>حقق</v>
      </c>
    </row>
    <row r="56" spans="1:34" x14ac:dyDescent="0.3">
      <c r="A56" s="29">
        <v>2571010418</v>
      </c>
      <c r="B56" s="30" t="s">
        <v>109</v>
      </c>
      <c r="C56" s="31" t="s">
        <v>8</v>
      </c>
      <c r="D56" s="32">
        <f t="shared" si="2"/>
        <v>52</v>
      </c>
      <c r="E56" s="31" t="s">
        <v>58</v>
      </c>
      <c r="F56" s="33">
        <v>46293</v>
      </c>
      <c r="G56" s="34"/>
      <c r="H56" s="30"/>
      <c r="I56" s="35">
        <f t="shared" si="3"/>
        <v>284</v>
      </c>
      <c r="J56" s="34">
        <v>237</v>
      </c>
      <c r="K56" s="34">
        <v>19</v>
      </c>
      <c r="L56" s="34">
        <v>27</v>
      </c>
      <c r="M56" s="34">
        <v>20</v>
      </c>
      <c r="N56" s="34"/>
      <c r="O56" s="34"/>
      <c r="P56" s="34"/>
      <c r="Q56" s="34"/>
      <c r="R56" s="34"/>
      <c r="S56" s="34"/>
      <c r="T56" s="34"/>
      <c r="U56" s="34"/>
      <c r="V56" s="34"/>
      <c r="W56" s="34"/>
      <c r="X56" s="34"/>
      <c r="Y56" s="34"/>
      <c r="Z56" s="34"/>
      <c r="AA56" s="34"/>
      <c r="AB56" s="34"/>
      <c r="AC56" s="34"/>
      <c r="AD56" s="34" t="s">
        <v>3</v>
      </c>
      <c r="AE56" s="34" t="s">
        <v>21</v>
      </c>
      <c r="AF56" s="34" t="s">
        <v>55</v>
      </c>
      <c r="AG56" s="34"/>
      <c r="AH56" s="36" t="str">
        <f>IF(B56="","",INDEX(التقرير!$P$31:$P$260,ROW()-4))</f>
        <v>حقق</v>
      </c>
    </row>
    <row r="57" spans="1:34" x14ac:dyDescent="0.3">
      <c r="A57" s="29">
        <v>2585069020</v>
      </c>
      <c r="B57" s="30" t="s">
        <v>110</v>
      </c>
      <c r="C57" s="31" t="s">
        <v>8</v>
      </c>
      <c r="D57" s="32">
        <f t="shared" si="2"/>
        <v>53</v>
      </c>
      <c r="E57" s="31" t="s">
        <v>58</v>
      </c>
      <c r="F57" s="33">
        <v>46294</v>
      </c>
      <c r="G57" s="34"/>
      <c r="H57" s="30"/>
      <c r="I57" s="35">
        <f t="shared" si="3"/>
        <v>277</v>
      </c>
      <c r="J57" s="34">
        <v>237</v>
      </c>
      <c r="K57" s="34">
        <v>19</v>
      </c>
      <c r="L57" s="34">
        <v>26</v>
      </c>
      <c r="M57" s="34">
        <v>14</v>
      </c>
      <c r="N57" s="34"/>
      <c r="O57" s="34"/>
      <c r="P57" s="34"/>
      <c r="Q57" s="34"/>
      <c r="R57" s="34"/>
      <c r="S57" s="34"/>
      <c r="T57" s="34"/>
      <c r="U57" s="34"/>
      <c r="V57" s="34"/>
      <c r="W57" s="34"/>
      <c r="X57" s="34"/>
      <c r="Y57" s="34"/>
      <c r="Z57" s="34"/>
      <c r="AA57" s="34"/>
      <c r="AB57" s="34"/>
      <c r="AC57" s="34"/>
      <c r="AD57" s="34" t="s">
        <v>3</v>
      </c>
      <c r="AE57" s="34" t="s">
        <v>21</v>
      </c>
      <c r="AF57" s="34" t="s">
        <v>55</v>
      </c>
      <c r="AG57" s="34"/>
      <c r="AH57" s="36" t="str">
        <f>IF(B57="","",INDEX(التقرير!$P$31:$P$260,ROW()-4))</f>
        <v>حقق</v>
      </c>
    </row>
    <row r="58" spans="1:34" x14ac:dyDescent="0.3">
      <c r="A58" s="29">
        <v>2608568529</v>
      </c>
      <c r="B58" s="30" t="s">
        <v>111</v>
      </c>
      <c r="C58" s="31" t="s">
        <v>8</v>
      </c>
      <c r="D58" s="32">
        <f t="shared" si="2"/>
        <v>54</v>
      </c>
      <c r="E58" s="31" t="s">
        <v>54</v>
      </c>
      <c r="F58" s="33">
        <v>46139</v>
      </c>
      <c r="G58" s="34"/>
      <c r="H58" s="30"/>
      <c r="I58" s="35">
        <f t="shared" si="3"/>
        <v>279</v>
      </c>
      <c r="J58" s="34">
        <v>236</v>
      </c>
      <c r="K58" s="34">
        <v>17</v>
      </c>
      <c r="L58" s="34">
        <v>24</v>
      </c>
      <c r="M58" s="34">
        <v>19</v>
      </c>
      <c r="N58" s="34"/>
      <c r="O58" s="34"/>
      <c r="P58" s="34"/>
      <c r="Q58" s="34"/>
      <c r="R58" s="34"/>
      <c r="S58" s="34"/>
      <c r="T58" s="34"/>
      <c r="U58" s="34"/>
      <c r="V58" s="34"/>
      <c r="W58" s="34"/>
      <c r="X58" s="34"/>
      <c r="Y58" s="34"/>
      <c r="Z58" s="34"/>
      <c r="AA58" s="34"/>
      <c r="AB58" s="34"/>
      <c r="AC58" s="34"/>
      <c r="AD58" s="34" t="s">
        <v>11</v>
      </c>
      <c r="AE58" s="34" t="s">
        <v>20</v>
      </c>
      <c r="AF58" s="34" t="s">
        <v>55</v>
      </c>
      <c r="AG58" s="34"/>
      <c r="AH58" s="36" t="str">
        <f>IF(B58="","",INDEX(التقرير!$P$31:$P$260,ROW()-4))</f>
        <v>حقق</v>
      </c>
    </row>
    <row r="59" spans="1:34" x14ac:dyDescent="0.3">
      <c r="A59" s="29">
        <v>2620532297</v>
      </c>
      <c r="B59" s="30" t="s">
        <v>112</v>
      </c>
      <c r="C59" s="31" t="s">
        <v>8</v>
      </c>
      <c r="D59" s="32">
        <f t="shared" si="2"/>
        <v>55</v>
      </c>
      <c r="E59" s="31" t="s">
        <v>58</v>
      </c>
      <c r="F59" s="33">
        <v>46284</v>
      </c>
      <c r="G59" s="34"/>
      <c r="H59" s="30" t="s">
        <v>83</v>
      </c>
      <c r="I59" s="35">
        <f t="shared" si="3"/>
        <v>247</v>
      </c>
      <c r="J59" s="34">
        <v>232</v>
      </c>
      <c r="K59" s="34">
        <v>21</v>
      </c>
      <c r="L59" s="34">
        <v>7</v>
      </c>
      <c r="M59" s="34">
        <v>8</v>
      </c>
      <c r="N59" s="34"/>
      <c r="O59" s="34"/>
      <c r="P59" s="34"/>
      <c r="Q59" s="34"/>
      <c r="R59" s="34"/>
      <c r="S59" s="34"/>
      <c r="T59" s="34"/>
      <c r="U59" s="34"/>
      <c r="V59" s="34"/>
      <c r="W59" s="34"/>
      <c r="X59" s="34"/>
      <c r="Y59" s="34"/>
      <c r="Z59" s="34"/>
      <c r="AA59" s="34"/>
      <c r="AB59" s="34"/>
      <c r="AC59" s="34"/>
      <c r="AD59" s="34" t="s">
        <v>3</v>
      </c>
      <c r="AE59" s="34" t="s">
        <v>21</v>
      </c>
      <c r="AF59" s="34" t="s">
        <v>55</v>
      </c>
      <c r="AG59" s="34"/>
      <c r="AH59" s="36" t="str">
        <f>IF(B59="","",INDEX(التقرير!$P$31:$P$260,ROW()-4))</f>
        <v>قريب</v>
      </c>
    </row>
    <row r="60" spans="1:34" x14ac:dyDescent="0.3">
      <c r="A60" s="29">
        <v>2567275397</v>
      </c>
      <c r="B60" s="30" t="s">
        <v>113</v>
      </c>
      <c r="C60" s="31" t="s">
        <v>8</v>
      </c>
      <c r="D60" s="32">
        <f t="shared" si="2"/>
        <v>56</v>
      </c>
      <c r="E60" s="31" t="s">
        <v>58</v>
      </c>
      <c r="F60" s="33">
        <v>46204</v>
      </c>
      <c r="G60" s="34"/>
      <c r="H60" s="30"/>
      <c r="I60" s="35">
        <f t="shared" si="3"/>
        <v>269</v>
      </c>
      <c r="J60" s="34">
        <v>227</v>
      </c>
      <c r="K60" s="34">
        <v>20</v>
      </c>
      <c r="L60" s="34">
        <v>23</v>
      </c>
      <c r="M60" s="34">
        <v>19</v>
      </c>
      <c r="N60" s="34"/>
      <c r="O60" s="34"/>
      <c r="P60" s="34"/>
      <c r="Q60" s="34"/>
      <c r="R60" s="34"/>
      <c r="S60" s="34"/>
      <c r="T60" s="34"/>
      <c r="U60" s="34"/>
      <c r="V60" s="34"/>
      <c r="W60" s="34"/>
      <c r="X60" s="34"/>
      <c r="Y60" s="34"/>
      <c r="Z60" s="34"/>
      <c r="AA60" s="34"/>
      <c r="AB60" s="34"/>
      <c r="AC60" s="34"/>
      <c r="AD60" s="34" t="s">
        <v>3</v>
      </c>
      <c r="AE60" s="34" t="s">
        <v>21</v>
      </c>
      <c r="AF60" s="34" t="s">
        <v>55</v>
      </c>
      <c r="AG60" s="34"/>
      <c r="AH60" s="36" t="str">
        <f>IF(B60="","",INDEX(التقرير!$P$31:$P$260,ROW()-4))</f>
        <v>حقق</v>
      </c>
    </row>
    <row r="61" spans="1:34" x14ac:dyDescent="0.3">
      <c r="A61" s="29">
        <v>2553949161</v>
      </c>
      <c r="B61" s="30" t="s">
        <v>114</v>
      </c>
      <c r="C61" s="31" t="s">
        <v>8</v>
      </c>
      <c r="D61" s="32">
        <f t="shared" si="2"/>
        <v>57</v>
      </c>
      <c r="E61" s="31" t="s">
        <v>54</v>
      </c>
      <c r="F61" s="33">
        <v>45316</v>
      </c>
      <c r="G61" s="34"/>
      <c r="H61" s="30"/>
      <c r="I61" s="35">
        <f t="shared" si="3"/>
        <v>253</v>
      </c>
      <c r="J61" s="34">
        <v>219</v>
      </c>
      <c r="K61" s="34">
        <v>17</v>
      </c>
      <c r="L61" s="34">
        <v>22</v>
      </c>
      <c r="M61" s="34">
        <v>12</v>
      </c>
      <c r="N61" s="34"/>
      <c r="O61" s="34"/>
      <c r="P61" s="34"/>
      <c r="Q61" s="34"/>
      <c r="R61" s="34"/>
      <c r="S61" s="34"/>
      <c r="T61" s="34"/>
      <c r="U61" s="34"/>
      <c r="V61" s="34"/>
      <c r="W61" s="34"/>
      <c r="X61" s="34"/>
      <c r="Y61" s="34"/>
      <c r="Z61" s="34"/>
      <c r="AA61" s="34"/>
      <c r="AB61" s="34"/>
      <c r="AC61" s="34"/>
      <c r="AD61" s="34" t="s">
        <v>11</v>
      </c>
      <c r="AE61" s="34" t="s">
        <v>20</v>
      </c>
      <c r="AF61" s="34" t="s">
        <v>55</v>
      </c>
      <c r="AG61" s="34"/>
      <c r="AH61" s="36" t="str">
        <f>IF(B61="","",INDEX(التقرير!$P$31:$P$260,ROW()-4))</f>
        <v>قريب</v>
      </c>
    </row>
    <row r="62" spans="1:34" x14ac:dyDescent="0.3">
      <c r="A62" s="29">
        <v>2569646728</v>
      </c>
      <c r="B62" s="30" t="s">
        <v>115</v>
      </c>
      <c r="C62" s="31" t="s">
        <v>8</v>
      </c>
      <c r="D62" s="32">
        <f t="shared" si="2"/>
        <v>58</v>
      </c>
      <c r="E62" s="31" t="s">
        <v>58</v>
      </c>
      <c r="F62" s="33">
        <v>46204</v>
      </c>
      <c r="G62" s="34"/>
      <c r="H62" s="30" t="s">
        <v>259</v>
      </c>
      <c r="I62" s="35">
        <f t="shared" si="3"/>
        <v>239</v>
      </c>
      <c r="J62" s="34">
        <v>218</v>
      </c>
      <c r="K62" s="34">
        <v>25</v>
      </c>
      <c r="L62" s="34">
        <v>16</v>
      </c>
      <c r="M62" s="34">
        <v>5</v>
      </c>
      <c r="N62" s="34"/>
      <c r="O62" s="34"/>
      <c r="P62" s="34"/>
      <c r="Q62" s="34"/>
      <c r="R62" s="34"/>
      <c r="S62" s="34"/>
      <c r="T62" s="34"/>
      <c r="U62" s="34"/>
      <c r="V62" s="34"/>
      <c r="W62" s="34"/>
      <c r="X62" s="34"/>
      <c r="Y62" s="34"/>
      <c r="Z62" s="34"/>
      <c r="AA62" s="34"/>
      <c r="AB62" s="34"/>
      <c r="AC62" s="34"/>
      <c r="AD62" s="34" t="s">
        <v>3</v>
      </c>
      <c r="AE62" s="34" t="s">
        <v>21</v>
      </c>
      <c r="AF62" s="34" t="s">
        <v>55</v>
      </c>
      <c r="AG62" s="34"/>
      <c r="AH62" s="36" t="str">
        <f>IF(B62="","",INDEX(التقرير!$P$31:$P$260,ROW()-4))</f>
        <v>قريب</v>
      </c>
    </row>
    <row r="63" spans="1:34" x14ac:dyDescent="0.3">
      <c r="A63" s="29">
        <v>2532063233</v>
      </c>
      <c r="B63" s="30" t="s">
        <v>116</v>
      </c>
      <c r="C63" s="31" t="s">
        <v>8</v>
      </c>
      <c r="D63" s="32">
        <f t="shared" si="2"/>
        <v>59</v>
      </c>
      <c r="E63" s="31" t="s">
        <v>58</v>
      </c>
      <c r="F63" s="33">
        <v>46255</v>
      </c>
      <c r="G63" s="34"/>
      <c r="H63" s="30" t="s">
        <v>258</v>
      </c>
      <c r="I63" s="35">
        <f t="shared" si="3"/>
        <v>230</v>
      </c>
      <c r="J63" s="34">
        <v>205</v>
      </c>
      <c r="K63" s="34">
        <v>20</v>
      </c>
      <c r="L63" s="34">
        <v>14</v>
      </c>
      <c r="M63" s="34">
        <v>11</v>
      </c>
      <c r="N63" s="34"/>
      <c r="O63" s="34"/>
      <c r="P63" s="34"/>
      <c r="Q63" s="34"/>
      <c r="R63" s="34"/>
      <c r="S63" s="34"/>
      <c r="T63" s="34"/>
      <c r="U63" s="34"/>
      <c r="V63" s="34"/>
      <c r="W63" s="34"/>
      <c r="X63" s="34"/>
      <c r="Y63" s="34"/>
      <c r="Z63" s="34"/>
      <c r="AA63" s="34"/>
      <c r="AB63" s="34"/>
      <c r="AC63" s="34"/>
      <c r="AD63" s="34" t="s">
        <v>3</v>
      </c>
      <c r="AE63" s="34" t="s">
        <v>21</v>
      </c>
      <c r="AF63" s="34" t="s">
        <v>55</v>
      </c>
      <c r="AG63" s="34"/>
      <c r="AH63" s="36" t="str">
        <f>IF(B63="","",INDEX(التقرير!$P$31:$P$260,ROW()-4))</f>
        <v>قريب</v>
      </c>
    </row>
    <row r="64" spans="1:34" x14ac:dyDescent="0.3">
      <c r="A64" s="29">
        <v>2626922260</v>
      </c>
      <c r="B64" s="30" t="s">
        <v>117</v>
      </c>
      <c r="C64" s="31" t="s">
        <v>9</v>
      </c>
      <c r="D64" s="32">
        <f t="shared" si="2"/>
        <v>60</v>
      </c>
      <c r="E64" s="31" t="s">
        <v>54</v>
      </c>
      <c r="F64" s="33">
        <v>46139</v>
      </c>
      <c r="G64" s="34"/>
      <c r="H64" s="30" t="s">
        <v>254</v>
      </c>
      <c r="I64" s="35">
        <f t="shared" si="3"/>
        <v>211</v>
      </c>
      <c r="J64" s="34">
        <v>201</v>
      </c>
      <c r="K64" s="34">
        <v>9</v>
      </c>
      <c r="L64" s="34">
        <v>10</v>
      </c>
      <c r="M64" s="34">
        <v>0</v>
      </c>
      <c r="N64" s="34"/>
      <c r="O64" s="34"/>
      <c r="P64" s="34"/>
      <c r="Q64" s="34"/>
      <c r="R64" s="34"/>
      <c r="S64" s="34"/>
      <c r="T64" s="34"/>
      <c r="U64" s="34"/>
      <c r="V64" s="34"/>
      <c r="W64" s="34"/>
      <c r="X64" s="34"/>
      <c r="Y64" s="34"/>
      <c r="Z64" s="34"/>
      <c r="AA64" s="34"/>
      <c r="AB64" s="34" t="s">
        <v>268</v>
      </c>
      <c r="AC64" s="34"/>
      <c r="AD64" s="34" t="s">
        <v>11</v>
      </c>
      <c r="AE64" s="34" t="s">
        <v>20</v>
      </c>
      <c r="AF64" s="34" t="s">
        <v>55</v>
      </c>
      <c r="AG64" s="34"/>
      <c r="AH64" s="36" t="str">
        <f>IF(B64="","",INDEX(التقرير!$P$31:$P$260,ROW()-4))</f>
        <v>قريب</v>
      </c>
    </row>
    <row r="65" spans="1:34" x14ac:dyDescent="0.3">
      <c r="A65" s="29">
        <v>2616523037</v>
      </c>
      <c r="B65" s="30" t="s">
        <v>119</v>
      </c>
      <c r="C65" s="31" t="s">
        <v>8</v>
      </c>
      <c r="D65" s="32">
        <f t="shared" si="2"/>
        <v>61</v>
      </c>
      <c r="E65" s="31" t="s">
        <v>54</v>
      </c>
      <c r="F65" s="33">
        <v>46139</v>
      </c>
      <c r="G65" s="34"/>
      <c r="H65" s="30" t="s">
        <v>108</v>
      </c>
      <c r="I65" s="35">
        <f t="shared" si="3"/>
        <v>223</v>
      </c>
      <c r="J65" s="34">
        <v>190</v>
      </c>
      <c r="K65" s="34">
        <v>11</v>
      </c>
      <c r="L65" s="34">
        <v>18</v>
      </c>
      <c r="M65" s="34">
        <v>15</v>
      </c>
      <c r="N65" s="34"/>
      <c r="O65" s="34"/>
      <c r="P65" s="34"/>
      <c r="Q65" s="34"/>
      <c r="R65" s="34"/>
      <c r="S65" s="34"/>
      <c r="T65" s="34"/>
      <c r="U65" s="34"/>
      <c r="V65" s="34"/>
      <c r="W65" s="34"/>
      <c r="X65" s="34"/>
      <c r="Y65" s="34"/>
      <c r="Z65" s="34"/>
      <c r="AA65" s="34"/>
      <c r="AB65" s="34"/>
      <c r="AC65" s="34"/>
      <c r="AD65" s="34" t="s">
        <v>11</v>
      </c>
      <c r="AE65" s="34" t="s">
        <v>20</v>
      </c>
      <c r="AF65" s="34" t="s">
        <v>55</v>
      </c>
      <c r="AG65" s="34"/>
      <c r="AH65" s="36" t="str">
        <f>IF(B65="","",INDEX(التقرير!$P$31:$P$260,ROW()-4))</f>
        <v>قريب</v>
      </c>
    </row>
    <row r="66" spans="1:34" x14ac:dyDescent="0.3">
      <c r="A66" s="29">
        <v>2589695374</v>
      </c>
      <c r="B66" s="30" t="s">
        <v>120</v>
      </c>
      <c r="C66" s="31" t="s">
        <v>8</v>
      </c>
      <c r="D66" s="32">
        <f t="shared" si="2"/>
        <v>62</v>
      </c>
      <c r="E66" s="31" t="s">
        <v>58</v>
      </c>
      <c r="F66" s="33">
        <v>46204</v>
      </c>
      <c r="G66" s="34"/>
      <c r="H66" s="30" t="s">
        <v>260</v>
      </c>
      <c r="I66" s="35">
        <f t="shared" si="3"/>
        <v>221</v>
      </c>
      <c r="J66" s="34">
        <v>189</v>
      </c>
      <c r="K66" s="34">
        <v>22</v>
      </c>
      <c r="L66" s="34">
        <v>19</v>
      </c>
      <c r="M66" s="34">
        <v>13</v>
      </c>
      <c r="N66" s="34"/>
      <c r="O66" s="34"/>
      <c r="P66" s="34"/>
      <c r="Q66" s="34"/>
      <c r="R66" s="34"/>
      <c r="S66" s="34"/>
      <c r="T66" s="34"/>
      <c r="U66" s="34"/>
      <c r="V66" s="34"/>
      <c r="W66" s="34"/>
      <c r="X66" s="34"/>
      <c r="Y66" s="34"/>
      <c r="Z66" s="34"/>
      <c r="AA66" s="34"/>
      <c r="AB66" s="34"/>
      <c r="AC66" s="34"/>
      <c r="AD66" s="34" t="s">
        <v>3</v>
      </c>
      <c r="AE66" s="34" t="s">
        <v>21</v>
      </c>
      <c r="AF66" s="34" t="s">
        <v>55</v>
      </c>
      <c r="AG66" s="34"/>
      <c r="AH66" s="36" t="str">
        <f>IF(B66="","",INDEX(التقرير!$P$31:$P$260,ROW()-4))</f>
        <v>قريب</v>
      </c>
    </row>
    <row r="67" spans="1:34" x14ac:dyDescent="0.3">
      <c r="A67" s="29">
        <v>2581785736</v>
      </c>
      <c r="B67" s="30" t="s">
        <v>121</v>
      </c>
      <c r="C67" s="31" t="s">
        <v>8</v>
      </c>
      <c r="D67" s="32">
        <f t="shared" si="2"/>
        <v>63</v>
      </c>
      <c r="E67" s="31" t="s">
        <v>58</v>
      </c>
      <c r="F67" s="33">
        <v>46204</v>
      </c>
      <c r="G67" s="34"/>
      <c r="H67" s="30"/>
      <c r="I67" s="35">
        <f t="shared" si="3"/>
        <v>216</v>
      </c>
      <c r="J67" s="34">
        <v>175</v>
      </c>
      <c r="K67" s="34">
        <v>20</v>
      </c>
      <c r="L67" s="34">
        <v>21</v>
      </c>
      <c r="M67" s="34">
        <v>20</v>
      </c>
      <c r="N67" s="34"/>
      <c r="O67" s="34"/>
      <c r="P67" s="34"/>
      <c r="Q67" s="34"/>
      <c r="R67" s="34"/>
      <c r="S67" s="34"/>
      <c r="T67" s="34"/>
      <c r="U67" s="34"/>
      <c r="V67" s="34"/>
      <c r="W67" s="34"/>
      <c r="X67" s="34"/>
      <c r="Y67" s="34"/>
      <c r="Z67" s="34"/>
      <c r="AA67" s="34"/>
      <c r="AB67" s="34"/>
      <c r="AC67" s="34"/>
      <c r="AD67" s="34" t="s">
        <v>3</v>
      </c>
      <c r="AE67" s="34" t="s">
        <v>21</v>
      </c>
      <c r="AF67" s="34" t="s">
        <v>55</v>
      </c>
      <c r="AG67" s="34"/>
      <c r="AH67" s="36" t="str">
        <f>IF(B67="","",INDEX(التقرير!$P$31:$P$260,ROW()-4))</f>
        <v>قريب</v>
      </c>
    </row>
    <row r="68" spans="1:34" x14ac:dyDescent="0.3">
      <c r="A68" s="29">
        <v>2562021978</v>
      </c>
      <c r="B68" s="30" t="s">
        <v>122</v>
      </c>
      <c r="C68" s="31" t="s">
        <v>8</v>
      </c>
      <c r="D68" s="32">
        <f t="shared" si="2"/>
        <v>64</v>
      </c>
      <c r="E68" s="31" t="s">
        <v>58</v>
      </c>
      <c r="F68" s="33">
        <v>46204</v>
      </c>
      <c r="G68" s="34"/>
      <c r="H68" s="30" t="s">
        <v>83</v>
      </c>
      <c r="I68" s="35">
        <f t="shared" si="3"/>
        <v>184</v>
      </c>
      <c r="J68" s="34">
        <v>152</v>
      </c>
      <c r="K68" s="34">
        <v>17</v>
      </c>
      <c r="L68" s="34">
        <v>20</v>
      </c>
      <c r="M68" s="34">
        <v>12</v>
      </c>
      <c r="N68" s="34"/>
      <c r="O68" s="34"/>
      <c r="P68" s="34"/>
      <c r="Q68" s="34"/>
      <c r="R68" s="34"/>
      <c r="S68" s="34"/>
      <c r="T68" s="34"/>
      <c r="U68" s="34"/>
      <c r="V68" s="34"/>
      <c r="W68" s="34"/>
      <c r="X68" s="34"/>
      <c r="Y68" s="34"/>
      <c r="Z68" s="34"/>
      <c r="AA68" s="34"/>
      <c r="AB68" s="34"/>
      <c r="AC68" s="34"/>
      <c r="AD68" s="34" t="s">
        <v>3</v>
      </c>
      <c r="AE68" s="34" t="s">
        <v>21</v>
      </c>
      <c r="AF68" s="34" t="s">
        <v>55</v>
      </c>
      <c r="AG68" s="34"/>
      <c r="AH68" s="36" t="str">
        <f>IF(B68="","",INDEX(التقرير!$P$31:$P$260,ROW()-4))</f>
        <v>بعيد</v>
      </c>
    </row>
    <row r="69" spans="1:34" x14ac:dyDescent="0.3">
      <c r="A69" s="29">
        <v>2565248214</v>
      </c>
      <c r="B69" s="30" t="s">
        <v>123</v>
      </c>
      <c r="C69" s="31" t="s">
        <v>8</v>
      </c>
      <c r="D69" s="32">
        <f t="shared" ref="D69:D132" si="4">IF(B69="","",ROW()-4)</f>
        <v>65</v>
      </c>
      <c r="E69" s="31" t="s">
        <v>58</v>
      </c>
      <c r="F69" s="33">
        <v>46300</v>
      </c>
      <c r="G69" s="34"/>
      <c r="H69" s="30" t="s">
        <v>258</v>
      </c>
      <c r="I69" s="35">
        <f t="shared" ref="I69:I132" si="5">IF(B69="","",J69+SUM(L69:AA69)+N(AC69))</f>
        <v>164</v>
      </c>
      <c r="J69" s="34">
        <v>138</v>
      </c>
      <c r="K69" s="34">
        <v>20</v>
      </c>
      <c r="L69" s="34">
        <v>12</v>
      </c>
      <c r="M69" s="34">
        <v>14</v>
      </c>
      <c r="N69" s="34"/>
      <c r="O69" s="34"/>
      <c r="P69" s="34"/>
      <c r="Q69" s="34"/>
      <c r="R69" s="34"/>
      <c r="S69" s="34"/>
      <c r="T69" s="34"/>
      <c r="U69" s="34"/>
      <c r="V69" s="34"/>
      <c r="W69" s="34"/>
      <c r="X69" s="34"/>
      <c r="Y69" s="34"/>
      <c r="Z69" s="34"/>
      <c r="AA69" s="34"/>
      <c r="AB69" s="34"/>
      <c r="AC69" s="34"/>
      <c r="AD69" s="34" t="s">
        <v>3</v>
      </c>
      <c r="AE69" s="34" t="s">
        <v>21</v>
      </c>
      <c r="AF69" s="34" t="s">
        <v>55</v>
      </c>
      <c r="AG69" s="34"/>
      <c r="AH69" s="36" t="str">
        <f>IF(B69="","",INDEX(التقرير!$P$31:$P$260,ROW()-4))</f>
        <v>قريب</v>
      </c>
    </row>
    <row r="70" spans="1:34" x14ac:dyDescent="0.3">
      <c r="A70" s="29">
        <v>2608015794</v>
      </c>
      <c r="B70" s="30" t="s">
        <v>124</v>
      </c>
      <c r="C70" s="31" t="s">
        <v>8</v>
      </c>
      <c r="D70" s="32">
        <f t="shared" si="4"/>
        <v>66</v>
      </c>
      <c r="E70" s="31" t="s">
        <v>58</v>
      </c>
      <c r="F70" s="33">
        <v>46259</v>
      </c>
      <c r="G70" s="34"/>
      <c r="H70" s="30" t="s">
        <v>261</v>
      </c>
      <c r="I70" s="35">
        <f t="shared" si="5"/>
        <v>152</v>
      </c>
      <c r="J70" s="34">
        <v>128</v>
      </c>
      <c r="K70" s="34">
        <v>28</v>
      </c>
      <c r="L70" s="34">
        <v>15</v>
      </c>
      <c r="M70" s="34">
        <v>9</v>
      </c>
      <c r="N70" s="34"/>
      <c r="O70" s="34"/>
      <c r="P70" s="34"/>
      <c r="Q70" s="34"/>
      <c r="R70" s="34"/>
      <c r="S70" s="34"/>
      <c r="T70" s="34"/>
      <c r="U70" s="34"/>
      <c r="V70" s="34"/>
      <c r="W70" s="34"/>
      <c r="X70" s="34"/>
      <c r="Y70" s="34"/>
      <c r="Z70" s="34"/>
      <c r="AA70" s="34"/>
      <c r="AB70" s="34"/>
      <c r="AC70" s="34"/>
      <c r="AD70" s="34" t="s">
        <v>3</v>
      </c>
      <c r="AE70" s="34" t="s">
        <v>21</v>
      </c>
      <c r="AF70" s="34" t="s">
        <v>55</v>
      </c>
      <c r="AG70" s="34"/>
      <c r="AH70" s="36" t="str">
        <f>IF(B70="","",INDEX(التقرير!$P$31:$P$260,ROW()-4))</f>
        <v>بعيد</v>
      </c>
    </row>
    <row r="71" spans="1:34" x14ac:dyDescent="0.3">
      <c r="A71" s="29">
        <v>2583732645</v>
      </c>
      <c r="B71" s="30" t="s">
        <v>125</v>
      </c>
      <c r="C71" s="31" t="s">
        <v>8</v>
      </c>
      <c r="D71" s="32">
        <f t="shared" si="4"/>
        <v>67</v>
      </c>
      <c r="E71" s="31" t="s">
        <v>58</v>
      </c>
      <c r="F71" s="33">
        <v>46301</v>
      </c>
      <c r="G71" s="34"/>
      <c r="H71" s="30" t="s">
        <v>108</v>
      </c>
      <c r="I71" s="35">
        <f t="shared" si="5"/>
        <v>114</v>
      </c>
      <c r="J71" s="34">
        <v>86</v>
      </c>
      <c r="K71" s="34">
        <v>11</v>
      </c>
      <c r="L71" s="34">
        <v>12</v>
      </c>
      <c r="M71" s="34">
        <v>16</v>
      </c>
      <c r="N71" s="34"/>
      <c r="O71" s="34"/>
      <c r="P71" s="34"/>
      <c r="Q71" s="34"/>
      <c r="R71" s="34"/>
      <c r="S71" s="34"/>
      <c r="T71" s="34"/>
      <c r="U71" s="34"/>
      <c r="V71" s="34"/>
      <c r="W71" s="34"/>
      <c r="X71" s="34"/>
      <c r="Y71" s="34"/>
      <c r="Z71" s="34"/>
      <c r="AA71" s="34"/>
      <c r="AB71" s="34"/>
      <c r="AC71" s="34"/>
      <c r="AD71" s="34" t="s">
        <v>3</v>
      </c>
      <c r="AE71" s="34" t="s">
        <v>21</v>
      </c>
      <c r="AF71" s="34" t="s">
        <v>55</v>
      </c>
      <c r="AG71" s="34"/>
      <c r="AH71" s="36" t="str">
        <f>IF(B71="","",INDEX(التقرير!$P$31:$P$260,ROW()-4))</f>
        <v>بعيد</v>
      </c>
    </row>
    <row r="72" spans="1:34" x14ac:dyDescent="0.3">
      <c r="A72" s="29">
        <v>2626575647</v>
      </c>
      <c r="B72" s="30" t="s">
        <v>126</v>
      </c>
      <c r="C72" s="31" t="s">
        <v>8</v>
      </c>
      <c r="D72" s="32">
        <f t="shared" si="4"/>
        <v>68</v>
      </c>
      <c r="E72" s="31" t="s">
        <v>58</v>
      </c>
      <c r="F72" s="33">
        <v>46305</v>
      </c>
      <c r="G72" s="34"/>
      <c r="H72" s="30"/>
      <c r="I72" s="35">
        <f t="shared" si="5"/>
        <v>83</v>
      </c>
      <c r="J72" s="34">
        <v>68</v>
      </c>
      <c r="K72" s="34">
        <v>19</v>
      </c>
      <c r="L72" s="34">
        <v>15</v>
      </c>
      <c r="M72" s="34">
        <v>0</v>
      </c>
      <c r="N72" s="34"/>
      <c r="O72" s="34"/>
      <c r="P72" s="34"/>
      <c r="Q72" s="34"/>
      <c r="R72" s="34"/>
      <c r="S72" s="34"/>
      <c r="T72" s="34"/>
      <c r="U72" s="34"/>
      <c r="V72" s="34"/>
      <c r="W72" s="34"/>
      <c r="X72" s="34"/>
      <c r="Y72" s="34"/>
      <c r="Z72" s="34"/>
      <c r="AA72" s="34"/>
      <c r="AB72" s="34"/>
      <c r="AC72" s="34"/>
      <c r="AD72" s="34" t="s">
        <v>3</v>
      </c>
      <c r="AE72" s="34" t="s">
        <v>21</v>
      </c>
      <c r="AF72" s="34" t="s">
        <v>55</v>
      </c>
      <c r="AG72" s="34"/>
      <c r="AH72" s="36" t="str">
        <f>IF(B72="","",INDEX(التقرير!$P$31:$P$260,ROW()-4))</f>
        <v>بعيد</v>
      </c>
    </row>
    <row r="73" spans="1:34" x14ac:dyDescent="0.3">
      <c r="A73" s="29">
        <v>2592846832</v>
      </c>
      <c r="B73" s="30" t="s">
        <v>127</v>
      </c>
      <c r="C73" s="31" t="s">
        <v>8</v>
      </c>
      <c r="D73" s="32">
        <f t="shared" si="4"/>
        <v>69</v>
      </c>
      <c r="E73" s="31" t="s">
        <v>58</v>
      </c>
      <c r="F73" s="33">
        <v>46301</v>
      </c>
      <c r="G73" s="34"/>
      <c r="H73" s="30" t="s">
        <v>108</v>
      </c>
      <c r="I73" s="35">
        <f t="shared" si="5"/>
        <v>97</v>
      </c>
      <c r="J73" s="34">
        <v>64</v>
      </c>
      <c r="K73" s="34">
        <v>13</v>
      </c>
      <c r="L73" s="34">
        <v>16</v>
      </c>
      <c r="M73" s="34">
        <v>17</v>
      </c>
      <c r="N73" s="34"/>
      <c r="O73" s="34"/>
      <c r="P73" s="34"/>
      <c r="Q73" s="34"/>
      <c r="R73" s="34"/>
      <c r="S73" s="34"/>
      <c r="T73" s="34"/>
      <c r="U73" s="34"/>
      <c r="V73" s="34"/>
      <c r="W73" s="34"/>
      <c r="X73" s="34"/>
      <c r="Y73" s="34"/>
      <c r="Z73" s="34"/>
      <c r="AA73" s="34"/>
      <c r="AB73" s="34"/>
      <c r="AC73" s="34"/>
      <c r="AD73" s="34" t="s">
        <v>3</v>
      </c>
      <c r="AE73" s="34" t="s">
        <v>21</v>
      </c>
      <c r="AF73" s="34" t="s">
        <v>55</v>
      </c>
      <c r="AG73" s="34"/>
      <c r="AH73" s="36" t="str">
        <f>IF(B73="","",INDEX(التقرير!$P$31:$P$260,ROW()-4))</f>
        <v>بعيد</v>
      </c>
    </row>
    <row r="74" spans="1:34" x14ac:dyDescent="0.3">
      <c r="A74" s="29">
        <v>2568276055</v>
      </c>
      <c r="B74" s="30" t="s">
        <v>128</v>
      </c>
      <c r="C74" s="31" t="s">
        <v>8</v>
      </c>
      <c r="D74" s="32">
        <f t="shared" si="4"/>
        <v>70</v>
      </c>
      <c r="E74" s="31" t="s">
        <v>58</v>
      </c>
      <c r="F74" s="33">
        <v>46303</v>
      </c>
      <c r="G74" s="34"/>
      <c r="H74" s="30" t="s">
        <v>258</v>
      </c>
      <c r="I74" s="35">
        <f t="shared" si="5"/>
        <v>54</v>
      </c>
      <c r="J74" s="34">
        <v>26</v>
      </c>
      <c r="K74" s="34">
        <v>16</v>
      </c>
      <c r="L74" s="34">
        <v>16</v>
      </c>
      <c r="M74" s="34">
        <v>12</v>
      </c>
      <c r="N74" s="34"/>
      <c r="O74" s="34"/>
      <c r="P74" s="34"/>
      <c r="Q74" s="34"/>
      <c r="R74" s="34"/>
      <c r="S74" s="34"/>
      <c r="T74" s="34"/>
      <c r="U74" s="34"/>
      <c r="V74" s="34"/>
      <c r="W74" s="34"/>
      <c r="X74" s="34"/>
      <c r="Y74" s="34"/>
      <c r="Z74" s="34"/>
      <c r="AA74" s="34"/>
      <c r="AB74" s="34"/>
      <c r="AC74" s="34"/>
      <c r="AD74" s="34" t="s">
        <v>3</v>
      </c>
      <c r="AE74" s="34" t="s">
        <v>21</v>
      </c>
      <c r="AF74" s="34" t="s">
        <v>55</v>
      </c>
      <c r="AG74" s="34"/>
      <c r="AH74" s="36" t="str">
        <f>IF(B74="","",INDEX(التقرير!$P$31:$P$260,ROW()-4))</f>
        <v>بعيد</v>
      </c>
    </row>
    <row r="75" spans="1:34" x14ac:dyDescent="0.3">
      <c r="A75" s="29">
        <v>2516832710</v>
      </c>
      <c r="B75" s="30" t="s">
        <v>129</v>
      </c>
      <c r="C75" s="31" t="s">
        <v>8</v>
      </c>
      <c r="D75" s="32">
        <f t="shared" si="4"/>
        <v>71</v>
      </c>
      <c r="E75" s="31" t="s">
        <v>58</v>
      </c>
      <c r="F75" s="33">
        <v>46303</v>
      </c>
      <c r="G75" s="34"/>
      <c r="H75" s="30" t="s">
        <v>118</v>
      </c>
      <c r="I75" s="35">
        <f t="shared" si="5"/>
        <v>62</v>
      </c>
      <c r="J75" s="34">
        <v>24</v>
      </c>
      <c r="K75" s="34">
        <v>14</v>
      </c>
      <c r="L75" s="34">
        <v>19</v>
      </c>
      <c r="M75" s="34">
        <v>19</v>
      </c>
      <c r="N75" s="34"/>
      <c r="O75" s="34"/>
      <c r="P75" s="34"/>
      <c r="Q75" s="34"/>
      <c r="R75" s="34"/>
      <c r="S75" s="34"/>
      <c r="T75" s="34"/>
      <c r="U75" s="34"/>
      <c r="V75" s="34"/>
      <c r="W75" s="34"/>
      <c r="X75" s="34"/>
      <c r="Y75" s="34"/>
      <c r="Z75" s="34"/>
      <c r="AA75" s="34"/>
      <c r="AB75" s="34"/>
      <c r="AC75" s="34"/>
      <c r="AD75" s="34" t="s">
        <v>3</v>
      </c>
      <c r="AE75" s="34" t="s">
        <v>21</v>
      </c>
      <c r="AF75" s="34" t="s">
        <v>55</v>
      </c>
      <c r="AG75" s="34"/>
      <c r="AH75" s="36" t="str">
        <f>IF(B75="","",INDEX(التقرير!$P$31:$P$260,ROW()-4))</f>
        <v>بعيد</v>
      </c>
    </row>
    <row r="76" spans="1:34" x14ac:dyDescent="0.3">
      <c r="A76" s="29">
        <v>2562667267</v>
      </c>
      <c r="B76" s="30" t="s">
        <v>130</v>
      </c>
      <c r="C76" s="31" t="s">
        <v>8</v>
      </c>
      <c r="D76" s="32">
        <f t="shared" si="4"/>
        <v>72</v>
      </c>
      <c r="E76" s="31"/>
      <c r="F76" s="33">
        <v>45382</v>
      </c>
      <c r="G76" s="34"/>
      <c r="H76" s="30"/>
      <c r="I76" s="35">
        <f t="shared" si="5"/>
        <v>0</v>
      </c>
      <c r="J76" s="34"/>
      <c r="K76" s="34"/>
      <c r="L76" s="34">
        <v>0</v>
      </c>
      <c r="M76" s="34">
        <v>0</v>
      </c>
      <c r="N76" s="34"/>
      <c r="O76" s="34"/>
      <c r="P76" s="34"/>
      <c r="Q76" s="34"/>
      <c r="R76" s="34"/>
      <c r="S76" s="34"/>
      <c r="T76" s="34"/>
      <c r="U76" s="34"/>
      <c r="V76" s="34"/>
      <c r="W76" s="34"/>
      <c r="X76" s="34"/>
      <c r="Y76" s="34"/>
      <c r="Z76" s="34"/>
      <c r="AA76" s="34"/>
      <c r="AB76" s="34"/>
      <c r="AC76" s="34"/>
      <c r="AD76" s="34" t="s">
        <v>11</v>
      </c>
      <c r="AE76" s="34" t="s">
        <v>20</v>
      </c>
      <c r="AF76" s="34" t="s">
        <v>24</v>
      </c>
      <c r="AG76" s="34"/>
      <c r="AH76" s="36" t="str">
        <f>IF(B76="","",INDEX(التقرير!$P$31:$P$260,ROW()-4))</f>
        <v>مستبعد (اجازة)</v>
      </c>
    </row>
    <row r="77" spans="1:34" x14ac:dyDescent="0.3">
      <c r="A77" s="29">
        <v>2555618319</v>
      </c>
      <c r="B77" s="30" t="s">
        <v>131</v>
      </c>
      <c r="C77" s="31" t="s">
        <v>8</v>
      </c>
      <c r="D77" s="32">
        <f t="shared" si="4"/>
        <v>73</v>
      </c>
      <c r="E77" s="31"/>
      <c r="F77" s="33">
        <v>45322</v>
      </c>
      <c r="G77" s="34"/>
      <c r="H77" s="30"/>
      <c r="I77" s="35">
        <f t="shared" si="5"/>
        <v>0</v>
      </c>
      <c r="J77" s="34"/>
      <c r="K77" s="34"/>
      <c r="L77" s="34">
        <v>0</v>
      </c>
      <c r="M77" s="34">
        <v>0</v>
      </c>
      <c r="N77" s="34"/>
      <c r="O77" s="34"/>
      <c r="P77" s="34"/>
      <c r="Q77" s="34"/>
      <c r="R77" s="34"/>
      <c r="S77" s="34"/>
      <c r="T77" s="34"/>
      <c r="U77" s="34"/>
      <c r="V77" s="34"/>
      <c r="W77" s="34"/>
      <c r="X77" s="34"/>
      <c r="Y77" s="34"/>
      <c r="Z77" s="34"/>
      <c r="AA77" s="34"/>
      <c r="AB77" s="34"/>
      <c r="AC77" s="34"/>
      <c r="AD77" s="34" t="s">
        <v>11</v>
      </c>
      <c r="AE77" s="34" t="s">
        <v>20</v>
      </c>
      <c r="AF77" s="34" t="s">
        <v>55</v>
      </c>
      <c r="AG77" s="34"/>
      <c r="AH77" s="36" t="str">
        <f>IF(B77="","",INDEX(التقرير!$P$31:$P$260,ROW()-4))</f>
        <v>بعيد</v>
      </c>
    </row>
    <row r="78" spans="1:34" x14ac:dyDescent="0.3">
      <c r="A78" s="29">
        <v>2641745423</v>
      </c>
      <c r="B78" s="30" t="s">
        <v>132</v>
      </c>
      <c r="C78" s="31" t="s">
        <v>8</v>
      </c>
      <c r="D78" s="32">
        <f t="shared" si="4"/>
        <v>74</v>
      </c>
      <c r="E78" s="31"/>
      <c r="F78" s="33"/>
      <c r="G78" s="34"/>
      <c r="H78" s="30"/>
      <c r="I78" s="35">
        <f t="shared" si="5"/>
        <v>0</v>
      </c>
      <c r="J78" s="34"/>
      <c r="K78" s="34"/>
      <c r="L78" s="34">
        <v>0</v>
      </c>
      <c r="M78" s="34">
        <v>0</v>
      </c>
      <c r="N78" s="34"/>
      <c r="O78" s="34"/>
      <c r="P78" s="34"/>
      <c r="Q78" s="34"/>
      <c r="R78" s="34"/>
      <c r="S78" s="34"/>
      <c r="T78" s="34"/>
      <c r="U78" s="34"/>
      <c r="V78" s="34"/>
      <c r="W78" s="34"/>
      <c r="X78" s="34"/>
      <c r="Y78" s="34"/>
      <c r="Z78" s="34"/>
      <c r="AA78" s="34"/>
      <c r="AB78" s="34"/>
      <c r="AC78" s="34"/>
      <c r="AD78" s="34" t="s">
        <v>3</v>
      </c>
      <c r="AE78" s="34" t="s">
        <v>21</v>
      </c>
      <c r="AF78" s="34" t="s">
        <v>133</v>
      </c>
      <c r="AG78" s="34"/>
      <c r="AH78" s="36" t="str">
        <f>IF(B78="","",INDEX(التقرير!$P$31:$P$260,ROW()-4))</f>
        <v>مستبعد (ترك العمل)</v>
      </c>
    </row>
    <row r="79" spans="1:34" x14ac:dyDescent="0.3">
      <c r="A79" s="29">
        <v>2589282835</v>
      </c>
      <c r="B79" s="30" t="s">
        <v>134</v>
      </c>
      <c r="C79" s="31" t="s">
        <v>8</v>
      </c>
      <c r="D79" s="32">
        <f t="shared" si="4"/>
        <v>75</v>
      </c>
      <c r="E79" s="31"/>
      <c r="F79" s="33">
        <v>46310</v>
      </c>
      <c r="G79" s="34"/>
      <c r="H79" s="30"/>
      <c r="I79" s="35">
        <f t="shared" si="5"/>
        <v>18</v>
      </c>
      <c r="J79" s="34"/>
      <c r="K79" s="34"/>
      <c r="L79" s="34">
        <v>11</v>
      </c>
      <c r="M79" s="34">
        <v>7</v>
      </c>
      <c r="N79" s="34"/>
      <c r="O79" s="34"/>
      <c r="P79" s="34"/>
      <c r="Q79" s="34"/>
      <c r="R79" s="34"/>
      <c r="S79" s="34"/>
      <c r="T79" s="34"/>
      <c r="U79" s="34"/>
      <c r="V79" s="34"/>
      <c r="W79" s="34"/>
      <c r="X79" s="34"/>
      <c r="Y79" s="34"/>
      <c r="Z79" s="34"/>
      <c r="AA79" s="34"/>
      <c r="AB79" s="34"/>
      <c r="AC79" s="34"/>
      <c r="AD79" s="34" t="s">
        <v>11</v>
      </c>
      <c r="AE79" s="34" t="s">
        <v>21</v>
      </c>
      <c r="AF79" s="34" t="s">
        <v>55</v>
      </c>
      <c r="AG79" s="34"/>
      <c r="AH79" s="36" t="str">
        <f>IF(B79="","",INDEX(التقرير!$P$31:$P$260,ROW()-4))</f>
        <v>بعيد</v>
      </c>
    </row>
    <row r="80" spans="1:34" x14ac:dyDescent="0.3">
      <c r="A80" s="29">
        <v>2562204699</v>
      </c>
      <c r="B80" s="30" t="s">
        <v>135</v>
      </c>
      <c r="C80" s="31" t="s">
        <v>9</v>
      </c>
      <c r="D80" s="32">
        <f t="shared" si="4"/>
        <v>76</v>
      </c>
      <c r="E80" s="31" t="s">
        <v>136</v>
      </c>
      <c r="F80" s="33">
        <v>45382</v>
      </c>
      <c r="G80" s="34"/>
      <c r="H80" s="30"/>
      <c r="I80" s="35">
        <f t="shared" si="5"/>
        <v>359</v>
      </c>
      <c r="J80" s="34">
        <v>317</v>
      </c>
      <c r="K80" s="34">
        <v>22</v>
      </c>
      <c r="L80" s="34">
        <v>21</v>
      </c>
      <c r="M80" s="34">
        <v>21</v>
      </c>
      <c r="N80" s="34"/>
      <c r="O80" s="34"/>
      <c r="P80" s="34"/>
      <c r="Q80" s="34"/>
      <c r="R80" s="34"/>
      <c r="S80" s="34"/>
      <c r="T80" s="34"/>
      <c r="U80" s="34"/>
      <c r="V80" s="34"/>
      <c r="W80" s="34"/>
      <c r="X80" s="34"/>
      <c r="Y80" s="34"/>
      <c r="Z80" s="34"/>
      <c r="AA80" s="34"/>
      <c r="AB80" s="34"/>
      <c r="AC80" s="34"/>
      <c r="AD80" s="34" t="s">
        <v>11</v>
      </c>
      <c r="AE80" s="34" t="s">
        <v>20</v>
      </c>
      <c r="AF80" s="34" t="s">
        <v>55</v>
      </c>
      <c r="AG80" s="34"/>
      <c r="AH80" s="36" t="str">
        <f>IF(B80="","",INDEX(التقرير!$P$31:$P$260,ROW()-4))</f>
        <v>حقق</v>
      </c>
    </row>
    <row r="81" spans="1:34" x14ac:dyDescent="0.3">
      <c r="A81" s="29">
        <v>2567991191</v>
      </c>
      <c r="B81" s="30" t="s">
        <v>137</v>
      </c>
      <c r="C81" s="31" t="s">
        <v>9</v>
      </c>
      <c r="D81" s="32">
        <f t="shared" si="4"/>
        <v>77</v>
      </c>
      <c r="E81" s="31" t="s">
        <v>136</v>
      </c>
      <c r="F81" s="33">
        <v>45412</v>
      </c>
      <c r="G81" s="34"/>
      <c r="H81" s="30"/>
      <c r="I81" s="35">
        <f t="shared" si="5"/>
        <v>347</v>
      </c>
      <c r="J81" s="34">
        <v>299</v>
      </c>
      <c r="K81" s="34">
        <v>21</v>
      </c>
      <c r="L81" s="34">
        <v>24</v>
      </c>
      <c r="M81" s="34">
        <v>24</v>
      </c>
      <c r="N81" s="34"/>
      <c r="O81" s="34"/>
      <c r="P81" s="34"/>
      <c r="Q81" s="34"/>
      <c r="R81" s="34"/>
      <c r="S81" s="34"/>
      <c r="T81" s="34"/>
      <c r="U81" s="34"/>
      <c r="V81" s="34"/>
      <c r="W81" s="34"/>
      <c r="X81" s="34"/>
      <c r="Y81" s="34"/>
      <c r="Z81" s="34"/>
      <c r="AA81" s="34"/>
      <c r="AB81" s="34"/>
      <c r="AC81" s="34"/>
      <c r="AD81" s="34" t="s">
        <v>11</v>
      </c>
      <c r="AE81" s="34" t="s">
        <v>20</v>
      </c>
      <c r="AF81" s="34" t="s">
        <v>55</v>
      </c>
      <c r="AG81" s="34"/>
      <c r="AH81" s="36" t="str">
        <f>IF(B81="","",INDEX(التقرير!$P$31:$P$260,ROW()-4))</f>
        <v>حقق</v>
      </c>
    </row>
    <row r="82" spans="1:34" x14ac:dyDescent="0.3">
      <c r="A82" s="29">
        <v>2570718409</v>
      </c>
      <c r="B82" s="30" t="s">
        <v>138</v>
      </c>
      <c r="C82" s="31" t="s">
        <v>9</v>
      </c>
      <c r="D82" s="32">
        <f t="shared" si="4"/>
        <v>78</v>
      </c>
      <c r="E82" s="31" t="s">
        <v>136</v>
      </c>
      <c r="F82" s="33">
        <v>45443</v>
      </c>
      <c r="G82" s="34"/>
      <c r="H82" s="30"/>
      <c r="I82" s="35">
        <f t="shared" si="5"/>
        <v>324</v>
      </c>
      <c r="J82" s="34">
        <v>286</v>
      </c>
      <c r="K82" s="34">
        <v>18</v>
      </c>
      <c r="L82" s="34">
        <v>18</v>
      </c>
      <c r="M82" s="34">
        <v>20</v>
      </c>
      <c r="N82" s="34"/>
      <c r="O82" s="34"/>
      <c r="P82" s="34"/>
      <c r="Q82" s="34"/>
      <c r="R82" s="34"/>
      <c r="S82" s="34"/>
      <c r="T82" s="34"/>
      <c r="U82" s="34"/>
      <c r="V82" s="34"/>
      <c r="W82" s="34"/>
      <c r="X82" s="34"/>
      <c r="Y82" s="34"/>
      <c r="Z82" s="34"/>
      <c r="AA82" s="34"/>
      <c r="AB82" s="34"/>
      <c r="AC82" s="34"/>
      <c r="AD82" s="34" t="s">
        <v>11</v>
      </c>
      <c r="AE82" s="34" t="s">
        <v>20</v>
      </c>
      <c r="AF82" s="34" t="s">
        <v>55</v>
      </c>
      <c r="AG82" s="34"/>
      <c r="AH82" s="36" t="str">
        <f>IF(B82="","",INDEX(التقرير!$P$31:$P$260,ROW()-4))</f>
        <v>حقق</v>
      </c>
    </row>
    <row r="83" spans="1:34" x14ac:dyDescent="0.3">
      <c r="A83" s="29">
        <v>2560884062</v>
      </c>
      <c r="B83" s="30" t="s">
        <v>139</v>
      </c>
      <c r="C83" s="31" t="s">
        <v>9</v>
      </c>
      <c r="D83" s="32">
        <f t="shared" si="4"/>
        <v>79</v>
      </c>
      <c r="E83" s="31" t="s">
        <v>136</v>
      </c>
      <c r="F83" s="33">
        <v>45382</v>
      </c>
      <c r="G83" s="34"/>
      <c r="H83" s="30"/>
      <c r="I83" s="35">
        <f t="shared" si="5"/>
        <v>312</v>
      </c>
      <c r="J83" s="34">
        <v>275</v>
      </c>
      <c r="K83" s="34">
        <v>20</v>
      </c>
      <c r="L83" s="34">
        <v>16</v>
      </c>
      <c r="M83" s="34">
        <v>21</v>
      </c>
      <c r="N83" s="34"/>
      <c r="O83" s="34"/>
      <c r="P83" s="34"/>
      <c r="Q83" s="34"/>
      <c r="R83" s="34"/>
      <c r="S83" s="34"/>
      <c r="T83" s="34"/>
      <c r="U83" s="34"/>
      <c r="V83" s="34"/>
      <c r="W83" s="34"/>
      <c r="X83" s="34"/>
      <c r="Y83" s="34"/>
      <c r="Z83" s="34"/>
      <c r="AA83" s="34"/>
      <c r="AB83" s="34"/>
      <c r="AC83" s="34"/>
      <c r="AD83" s="34" t="s">
        <v>11</v>
      </c>
      <c r="AE83" s="34" t="s">
        <v>20</v>
      </c>
      <c r="AF83" s="34" t="s">
        <v>55</v>
      </c>
      <c r="AG83" s="34"/>
      <c r="AH83" s="36" t="str">
        <f>IF(B83="","",INDEX(التقرير!$P$31:$P$260,ROW()-4))</f>
        <v>حقق</v>
      </c>
    </row>
    <row r="84" spans="1:34" x14ac:dyDescent="0.3">
      <c r="A84" s="29">
        <v>2567989229</v>
      </c>
      <c r="B84" s="30" t="s">
        <v>140</v>
      </c>
      <c r="C84" s="31" t="s">
        <v>9</v>
      </c>
      <c r="D84" s="32">
        <f t="shared" si="4"/>
        <v>80</v>
      </c>
      <c r="E84" s="31" t="s">
        <v>136</v>
      </c>
      <c r="F84" s="33">
        <v>45412</v>
      </c>
      <c r="G84" s="34"/>
      <c r="H84" s="30"/>
      <c r="I84" s="35">
        <f t="shared" si="5"/>
        <v>308</v>
      </c>
      <c r="J84" s="34">
        <v>271</v>
      </c>
      <c r="K84" s="34">
        <v>20</v>
      </c>
      <c r="L84" s="34">
        <v>19</v>
      </c>
      <c r="M84" s="34">
        <v>18</v>
      </c>
      <c r="N84" s="34"/>
      <c r="O84" s="34"/>
      <c r="P84" s="34"/>
      <c r="Q84" s="34"/>
      <c r="R84" s="34"/>
      <c r="S84" s="34"/>
      <c r="T84" s="34"/>
      <c r="U84" s="34"/>
      <c r="V84" s="34"/>
      <c r="W84" s="34"/>
      <c r="X84" s="34"/>
      <c r="Y84" s="34"/>
      <c r="Z84" s="34"/>
      <c r="AA84" s="34"/>
      <c r="AB84" s="34"/>
      <c r="AC84" s="34"/>
      <c r="AD84" s="34" t="s">
        <v>11</v>
      </c>
      <c r="AE84" s="34" t="s">
        <v>20</v>
      </c>
      <c r="AF84" s="34" t="s">
        <v>55</v>
      </c>
      <c r="AG84" s="34"/>
      <c r="AH84" s="36" t="str">
        <f>IF(B84="","",INDEX(التقرير!$P$31:$P$260,ROW()-4))</f>
        <v>حقق</v>
      </c>
    </row>
    <row r="85" spans="1:34" x14ac:dyDescent="0.3">
      <c r="A85" s="29">
        <v>2557508864</v>
      </c>
      <c r="B85" s="30" t="s">
        <v>141</v>
      </c>
      <c r="C85" s="31" t="s">
        <v>9</v>
      </c>
      <c r="D85" s="32">
        <f t="shared" si="4"/>
        <v>81</v>
      </c>
      <c r="E85" s="31" t="s">
        <v>136</v>
      </c>
      <c r="F85" s="33">
        <v>45351</v>
      </c>
      <c r="G85" s="34"/>
      <c r="H85" s="30"/>
      <c r="I85" s="35">
        <f t="shared" si="5"/>
        <v>308</v>
      </c>
      <c r="J85" s="34">
        <v>271</v>
      </c>
      <c r="K85" s="34">
        <v>15</v>
      </c>
      <c r="L85" s="34">
        <v>20</v>
      </c>
      <c r="M85" s="34">
        <v>17</v>
      </c>
      <c r="N85" s="34"/>
      <c r="O85" s="34"/>
      <c r="P85" s="34"/>
      <c r="Q85" s="34"/>
      <c r="R85" s="34"/>
      <c r="S85" s="34"/>
      <c r="T85" s="34"/>
      <c r="U85" s="34"/>
      <c r="V85" s="34"/>
      <c r="W85" s="34"/>
      <c r="X85" s="34"/>
      <c r="Y85" s="34"/>
      <c r="Z85" s="34"/>
      <c r="AA85" s="34"/>
      <c r="AB85" s="34"/>
      <c r="AC85" s="34"/>
      <c r="AD85" s="34" t="s">
        <v>11</v>
      </c>
      <c r="AE85" s="34" t="s">
        <v>20</v>
      </c>
      <c r="AF85" s="34" t="s">
        <v>55</v>
      </c>
      <c r="AG85" s="34"/>
      <c r="AH85" s="36" t="str">
        <f>IF(B85="","",INDEX(التقرير!$P$31:$P$260,ROW()-4))</f>
        <v>حقق</v>
      </c>
    </row>
    <row r="86" spans="1:34" x14ac:dyDescent="0.3">
      <c r="A86" s="29">
        <v>2559188822</v>
      </c>
      <c r="B86" s="30" t="s">
        <v>142</v>
      </c>
      <c r="C86" s="31" t="s">
        <v>9</v>
      </c>
      <c r="D86" s="32">
        <f t="shared" si="4"/>
        <v>82</v>
      </c>
      <c r="E86" s="31" t="s">
        <v>136</v>
      </c>
      <c r="F86" s="33">
        <v>45315</v>
      </c>
      <c r="G86" s="34"/>
      <c r="H86" s="30" t="s">
        <v>143</v>
      </c>
      <c r="I86" s="35">
        <f t="shared" si="5"/>
        <v>270</v>
      </c>
      <c r="J86" s="34">
        <v>270</v>
      </c>
      <c r="K86" s="34">
        <v>0</v>
      </c>
      <c r="L86" s="34">
        <v>0</v>
      </c>
      <c r="M86" s="34">
        <v>0</v>
      </c>
      <c r="N86" s="34"/>
      <c r="O86" s="34"/>
      <c r="P86" s="34"/>
      <c r="Q86" s="34"/>
      <c r="R86" s="34"/>
      <c r="S86" s="34"/>
      <c r="T86" s="34"/>
      <c r="U86" s="34"/>
      <c r="V86" s="34"/>
      <c r="W86" s="34"/>
      <c r="X86" s="34"/>
      <c r="Y86" s="34"/>
      <c r="Z86" s="34"/>
      <c r="AA86" s="34"/>
      <c r="AB86" s="34"/>
      <c r="AC86" s="34"/>
      <c r="AD86" s="34" t="s">
        <v>11</v>
      </c>
      <c r="AE86" s="34" t="s">
        <v>20</v>
      </c>
      <c r="AF86" s="34" t="s">
        <v>55</v>
      </c>
      <c r="AG86" s="34"/>
      <c r="AH86" s="36" t="str">
        <f>IF(B86="","",INDEX(التقرير!$P$31:$P$260,ROW()-4))</f>
        <v>حقق</v>
      </c>
    </row>
    <row r="87" spans="1:34" x14ac:dyDescent="0.3">
      <c r="A87" s="29">
        <v>2548466255</v>
      </c>
      <c r="B87" s="30" t="s">
        <v>144</v>
      </c>
      <c r="C87" s="31" t="s">
        <v>9</v>
      </c>
      <c r="D87" s="32">
        <f t="shared" si="4"/>
        <v>83</v>
      </c>
      <c r="E87" s="31" t="s">
        <v>136</v>
      </c>
      <c r="F87" s="33">
        <v>45351</v>
      </c>
      <c r="G87" s="34"/>
      <c r="H87" s="30"/>
      <c r="I87" s="35">
        <f t="shared" si="5"/>
        <v>298</v>
      </c>
      <c r="J87" s="34">
        <v>259</v>
      </c>
      <c r="K87" s="34">
        <v>16</v>
      </c>
      <c r="L87" s="34">
        <v>19</v>
      </c>
      <c r="M87" s="34">
        <v>20</v>
      </c>
      <c r="N87" s="34"/>
      <c r="O87" s="34"/>
      <c r="P87" s="34"/>
      <c r="Q87" s="34"/>
      <c r="R87" s="34"/>
      <c r="S87" s="34"/>
      <c r="T87" s="34"/>
      <c r="U87" s="34"/>
      <c r="V87" s="34"/>
      <c r="W87" s="34"/>
      <c r="X87" s="34"/>
      <c r="Y87" s="34"/>
      <c r="Z87" s="34"/>
      <c r="AA87" s="34"/>
      <c r="AB87" s="34"/>
      <c r="AC87" s="34"/>
      <c r="AD87" s="34" t="s">
        <v>11</v>
      </c>
      <c r="AE87" s="34" t="s">
        <v>20</v>
      </c>
      <c r="AF87" s="34" t="s">
        <v>55</v>
      </c>
      <c r="AG87" s="34"/>
      <c r="AH87" s="36" t="str">
        <f>IF(B87="","",INDEX(التقرير!$P$31:$P$260,ROW()-4))</f>
        <v>حقق</v>
      </c>
    </row>
    <row r="88" spans="1:34" ht="27.6" x14ac:dyDescent="0.3">
      <c r="A88" s="29">
        <v>2562666103</v>
      </c>
      <c r="B88" s="30" t="s">
        <v>145</v>
      </c>
      <c r="C88" s="31" t="s">
        <v>9</v>
      </c>
      <c r="D88" s="32">
        <f t="shared" si="4"/>
        <v>84</v>
      </c>
      <c r="E88" s="31" t="s">
        <v>136</v>
      </c>
      <c r="F88" s="33">
        <v>45382</v>
      </c>
      <c r="G88" s="34"/>
      <c r="H88" s="30"/>
      <c r="I88" s="35">
        <f t="shared" si="5"/>
        <v>288</v>
      </c>
      <c r="J88" s="34">
        <v>249</v>
      </c>
      <c r="K88" s="34">
        <v>16</v>
      </c>
      <c r="L88" s="34">
        <v>22</v>
      </c>
      <c r="M88" s="34">
        <v>17</v>
      </c>
      <c r="N88" s="34"/>
      <c r="O88" s="34"/>
      <c r="P88" s="34"/>
      <c r="Q88" s="34"/>
      <c r="R88" s="34"/>
      <c r="S88" s="34"/>
      <c r="T88" s="34"/>
      <c r="U88" s="34"/>
      <c r="V88" s="34"/>
      <c r="W88" s="34"/>
      <c r="X88" s="34"/>
      <c r="Y88" s="34"/>
      <c r="Z88" s="34"/>
      <c r="AA88" s="34"/>
      <c r="AB88" s="34"/>
      <c r="AC88" s="34"/>
      <c r="AD88" s="34" t="s">
        <v>11</v>
      </c>
      <c r="AE88" s="34" t="s">
        <v>20</v>
      </c>
      <c r="AF88" s="34" t="s">
        <v>55</v>
      </c>
      <c r="AG88" s="34"/>
      <c r="AH88" s="36" t="str">
        <f>IF(B88="","",INDEX(التقرير!$P$31:$P$260,ROW()-4))</f>
        <v>حقق</v>
      </c>
    </row>
    <row r="89" spans="1:34" x14ac:dyDescent="0.3">
      <c r="A89" s="29">
        <v>2562667341</v>
      </c>
      <c r="B89" s="30" t="s">
        <v>146</v>
      </c>
      <c r="C89" s="31" t="s">
        <v>9</v>
      </c>
      <c r="D89" s="32">
        <f t="shared" si="4"/>
        <v>85</v>
      </c>
      <c r="E89" s="31" t="s">
        <v>136</v>
      </c>
      <c r="F89" s="33">
        <v>45382</v>
      </c>
      <c r="G89" s="34"/>
      <c r="H89" s="30"/>
      <c r="I89" s="35">
        <f t="shared" si="5"/>
        <v>278</v>
      </c>
      <c r="J89" s="34">
        <v>248</v>
      </c>
      <c r="K89" s="34">
        <v>18</v>
      </c>
      <c r="L89" s="34">
        <v>14</v>
      </c>
      <c r="M89" s="34">
        <v>16</v>
      </c>
      <c r="N89" s="34"/>
      <c r="O89" s="34"/>
      <c r="P89" s="34"/>
      <c r="Q89" s="34"/>
      <c r="R89" s="34"/>
      <c r="S89" s="34"/>
      <c r="T89" s="34"/>
      <c r="U89" s="34"/>
      <c r="V89" s="34"/>
      <c r="W89" s="34"/>
      <c r="X89" s="34"/>
      <c r="Y89" s="34"/>
      <c r="Z89" s="34"/>
      <c r="AA89" s="34"/>
      <c r="AB89" s="34"/>
      <c r="AC89" s="34"/>
      <c r="AD89" s="34" t="s">
        <v>11</v>
      </c>
      <c r="AE89" s="34" t="s">
        <v>20</v>
      </c>
      <c r="AF89" s="34" t="s">
        <v>55</v>
      </c>
      <c r="AG89" s="34"/>
      <c r="AH89" s="36" t="str">
        <f>IF(B89="","",INDEX(التقرير!$P$31:$P$260,ROW()-4))</f>
        <v>حقق</v>
      </c>
    </row>
    <row r="90" spans="1:34" x14ac:dyDescent="0.3">
      <c r="A90" s="29">
        <v>2570718912</v>
      </c>
      <c r="B90" s="30" t="s">
        <v>147</v>
      </c>
      <c r="C90" s="31" t="s">
        <v>9</v>
      </c>
      <c r="D90" s="32">
        <f t="shared" si="4"/>
        <v>86</v>
      </c>
      <c r="E90" s="31" t="s">
        <v>136</v>
      </c>
      <c r="F90" s="33">
        <v>45443</v>
      </c>
      <c r="G90" s="34"/>
      <c r="H90" s="30"/>
      <c r="I90" s="35">
        <f t="shared" si="5"/>
        <v>283</v>
      </c>
      <c r="J90" s="34">
        <v>248</v>
      </c>
      <c r="K90" s="34">
        <v>20</v>
      </c>
      <c r="L90" s="34">
        <v>18</v>
      </c>
      <c r="M90" s="34">
        <v>17</v>
      </c>
      <c r="N90" s="34"/>
      <c r="O90" s="34"/>
      <c r="P90" s="34"/>
      <c r="Q90" s="34"/>
      <c r="R90" s="34"/>
      <c r="S90" s="34"/>
      <c r="T90" s="34"/>
      <c r="U90" s="34"/>
      <c r="V90" s="34"/>
      <c r="W90" s="34"/>
      <c r="X90" s="34"/>
      <c r="Y90" s="34"/>
      <c r="Z90" s="34"/>
      <c r="AA90" s="34"/>
      <c r="AB90" s="34"/>
      <c r="AC90" s="34"/>
      <c r="AD90" s="34" t="s">
        <v>11</v>
      </c>
      <c r="AE90" s="34" t="s">
        <v>20</v>
      </c>
      <c r="AF90" s="34" t="s">
        <v>55</v>
      </c>
      <c r="AG90" s="34"/>
      <c r="AH90" s="36" t="str">
        <f>IF(B90="","",INDEX(التقرير!$P$31:$P$260,ROW()-4))</f>
        <v>حقق</v>
      </c>
    </row>
    <row r="91" spans="1:34" ht="27.6" x14ac:dyDescent="0.3">
      <c r="A91" s="29">
        <v>2567988858</v>
      </c>
      <c r="B91" s="30" t="s">
        <v>148</v>
      </c>
      <c r="C91" s="31" t="s">
        <v>9</v>
      </c>
      <c r="D91" s="32">
        <f t="shared" si="4"/>
        <v>87</v>
      </c>
      <c r="E91" s="31" t="s">
        <v>136</v>
      </c>
      <c r="F91" s="33">
        <v>45412</v>
      </c>
      <c r="G91" s="34"/>
      <c r="H91" s="30" t="s">
        <v>149</v>
      </c>
      <c r="I91" s="35">
        <f t="shared" si="5"/>
        <v>272</v>
      </c>
      <c r="J91" s="34">
        <v>241</v>
      </c>
      <c r="K91" s="34">
        <v>14</v>
      </c>
      <c r="L91" s="34">
        <v>21</v>
      </c>
      <c r="M91" s="34">
        <v>10</v>
      </c>
      <c r="N91" s="34"/>
      <c r="O91" s="34"/>
      <c r="P91" s="34"/>
      <c r="Q91" s="34"/>
      <c r="R91" s="34"/>
      <c r="S91" s="34"/>
      <c r="T91" s="34"/>
      <c r="U91" s="34"/>
      <c r="V91" s="34"/>
      <c r="W91" s="34"/>
      <c r="X91" s="34"/>
      <c r="Y91" s="34"/>
      <c r="Z91" s="34"/>
      <c r="AA91" s="34"/>
      <c r="AB91" s="34"/>
      <c r="AC91" s="34"/>
      <c r="AD91" s="34" t="s">
        <v>11</v>
      </c>
      <c r="AE91" s="34" t="s">
        <v>20</v>
      </c>
      <c r="AF91" s="34" t="s">
        <v>55</v>
      </c>
      <c r="AG91" s="34"/>
      <c r="AH91" s="36" t="str">
        <f>IF(B91="","",INDEX(التقرير!$P$31:$P$260,ROW()-4))</f>
        <v>حقق</v>
      </c>
    </row>
    <row r="92" spans="1:34" x14ac:dyDescent="0.3">
      <c r="A92" s="29">
        <v>2591942483</v>
      </c>
      <c r="B92" s="30" t="s">
        <v>150</v>
      </c>
      <c r="C92" s="31" t="s">
        <v>9</v>
      </c>
      <c r="D92" s="32">
        <f t="shared" si="4"/>
        <v>88</v>
      </c>
      <c r="E92" s="31" t="s">
        <v>136</v>
      </c>
      <c r="F92" s="33">
        <v>46159</v>
      </c>
      <c r="G92" s="34"/>
      <c r="H92" s="30"/>
      <c r="I92" s="35">
        <f t="shared" si="5"/>
        <v>271</v>
      </c>
      <c r="J92" s="34">
        <v>241</v>
      </c>
      <c r="K92" s="34">
        <v>18</v>
      </c>
      <c r="L92" s="34">
        <v>14</v>
      </c>
      <c r="M92" s="34">
        <v>16</v>
      </c>
      <c r="N92" s="34"/>
      <c r="O92" s="34"/>
      <c r="P92" s="34"/>
      <c r="Q92" s="34"/>
      <c r="R92" s="34"/>
      <c r="S92" s="34"/>
      <c r="T92" s="34"/>
      <c r="U92" s="34"/>
      <c r="V92" s="34"/>
      <c r="W92" s="34"/>
      <c r="X92" s="34"/>
      <c r="Y92" s="34"/>
      <c r="Z92" s="34"/>
      <c r="AA92" s="34"/>
      <c r="AB92" s="34"/>
      <c r="AC92" s="34"/>
      <c r="AD92" s="34" t="s">
        <v>11</v>
      </c>
      <c r="AE92" s="34" t="s">
        <v>20</v>
      </c>
      <c r="AF92" s="34" t="s">
        <v>55</v>
      </c>
      <c r="AG92" s="34"/>
      <c r="AH92" s="36" t="str">
        <f>IF(B92="","",INDEX(التقرير!$P$31:$P$260,ROW()-4))</f>
        <v>حقق</v>
      </c>
    </row>
    <row r="93" spans="1:34" x14ac:dyDescent="0.3">
      <c r="A93" s="29">
        <v>2560883809</v>
      </c>
      <c r="B93" s="30" t="s">
        <v>151</v>
      </c>
      <c r="C93" s="31" t="s">
        <v>9</v>
      </c>
      <c r="D93" s="32">
        <f t="shared" si="4"/>
        <v>89</v>
      </c>
      <c r="E93" s="31" t="s">
        <v>136</v>
      </c>
      <c r="F93" s="33">
        <v>45382</v>
      </c>
      <c r="G93" s="34"/>
      <c r="H93" s="30"/>
      <c r="I93" s="35">
        <f t="shared" si="5"/>
        <v>273</v>
      </c>
      <c r="J93" s="34">
        <v>232</v>
      </c>
      <c r="K93" s="34">
        <v>18</v>
      </c>
      <c r="L93" s="34">
        <v>21</v>
      </c>
      <c r="M93" s="34">
        <v>20</v>
      </c>
      <c r="N93" s="34"/>
      <c r="O93" s="34"/>
      <c r="P93" s="34"/>
      <c r="Q93" s="34"/>
      <c r="R93" s="34"/>
      <c r="S93" s="34"/>
      <c r="T93" s="34"/>
      <c r="U93" s="34"/>
      <c r="V93" s="34"/>
      <c r="W93" s="34"/>
      <c r="X93" s="34"/>
      <c r="Y93" s="34"/>
      <c r="Z93" s="34"/>
      <c r="AA93" s="34"/>
      <c r="AB93" s="34"/>
      <c r="AC93" s="34"/>
      <c r="AD93" s="34" t="s">
        <v>11</v>
      </c>
      <c r="AE93" s="34" t="s">
        <v>20</v>
      </c>
      <c r="AF93" s="34" t="s">
        <v>55</v>
      </c>
      <c r="AG93" s="34"/>
      <c r="AH93" s="36" t="str">
        <f>IF(B93="","",INDEX(التقرير!$P$31:$P$260,ROW()-4))</f>
        <v>حقق</v>
      </c>
    </row>
    <row r="94" spans="1:34" x14ac:dyDescent="0.3">
      <c r="A94" s="29">
        <v>2562205357</v>
      </c>
      <c r="B94" s="30" t="s">
        <v>152</v>
      </c>
      <c r="C94" s="31" t="s">
        <v>9</v>
      </c>
      <c r="D94" s="32">
        <f t="shared" si="4"/>
        <v>90</v>
      </c>
      <c r="E94" s="31" t="s">
        <v>136</v>
      </c>
      <c r="F94" s="33">
        <v>45351</v>
      </c>
      <c r="G94" s="34"/>
      <c r="H94" s="30"/>
      <c r="I94" s="35">
        <f t="shared" si="5"/>
        <v>243</v>
      </c>
      <c r="J94" s="34">
        <v>214</v>
      </c>
      <c r="K94" s="34">
        <v>19</v>
      </c>
      <c r="L94" s="34">
        <v>9</v>
      </c>
      <c r="M94" s="34">
        <v>20</v>
      </c>
      <c r="N94" s="34"/>
      <c r="O94" s="34"/>
      <c r="P94" s="34"/>
      <c r="Q94" s="34"/>
      <c r="R94" s="34"/>
      <c r="S94" s="34"/>
      <c r="T94" s="34"/>
      <c r="U94" s="34"/>
      <c r="V94" s="34"/>
      <c r="W94" s="34"/>
      <c r="X94" s="34"/>
      <c r="Y94" s="34"/>
      <c r="Z94" s="34"/>
      <c r="AA94" s="34"/>
      <c r="AB94" s="34"/>
      <c r="AC94" s="34"/>
      <c r="AD94" s="34" t="s">
        <v>11</v>
      </c>
      <c r="AE94" s="34" t="s">
        <v>20</v>
      </c>
      <c r="AF94" s="34" t="s">
        <v>55</v>
      </c>
      <c r="AG94" s="34"/>
      <c r="AH94" s="36" t="str">
        <f>IF(B94="","",INDEX(التقرير!$P$31:$P$260,ROW()-4))</f>
        <v>قريب</v>
      </c>
    </row>
    <row r="95" spans="1:34" x14ac:dyDescent="0.3">
      <c r="A95" s="29">
        <v>2566739211</v>
      </c>
      <c r="B95" s="30" t="s">
        <v>153</v>
      </c>
      <c r="C95" s="31" t="s">
        <v>9</v>
      </c>
      <c r="D95" s="32">
        <f t="shared" si="4"/>
        <v>91</v>
      </c>
      <c r="E95" s="31" t="s">
        <v>136</v>
      </c>
      <c r="F95" s="33">
        <v>45626</v>
      </c>
      <c r="G95" s="34"/>
      <c r="H95" s="30" t="s">
        <v>262</v>
      </c>
      <c r="I95" s="35">
        <f t="shared" si="5"/>
        <v>194</v>
      </c>
      <c r="J95" s="34">
        <v>159</v>
      </c>
      <c r="K95" s="34">
        <v>19</v>
      </c>
      <c r="L95" s="34">
        <v>15</v>
      </c>
      <c r="M95" s="34">
        <v>20</v>
      </c>
      <c r="N95" s="34"/>
      <c r="O95" s="34"/>
      <c r="P95" s="34"/>
      <c r="Q95" s="34"/>
      <c r="R95" s="34"/>
      <c r="S95" s="34"/>
      <c r="T95" s="34"/>
      <c r="U95" s="34"/>
      <c r="V95" s="34"/>
      <c r="W95" s="34"/>
      <c r="X95" s="34"/>
      <c r="Y95" s="34"/>
      <c r="Z95" s="34"/>
      <c r="AA95" s="34"/>
      <c r="AB95" s="34"/>
      <c r="AC95" s="34"/>
      <c r="AD95" s="34" t="s">
        <v>11</v>
      </c>
      <c r="AE95" s="34" t="s">
        <v>20</v>
      </c>
      <c r="AF95" s="34" t="s">
        <v>55</v>
      </c>
      <c r="AG95" s="34"/>
      <c r="AH95" s="36" t="str">
        <f>IF(B95="","",INDEX(التقرير!$P$31:$P$260,ROW()-4))</f>
        <v>بعيد</v>
      </c>
    </row>
    <row r="96" spans="1:34" x14ac:dyDescent="0.3">
      <c r="A96" s="29">
        <v>2566741944</v>
      </c>
      <c r="B96" s="30" t="s">
        <v>154</v>
      </c>
      <c r="C96" s="31" t="s">
        <v>9</v>
      </c>
      <c r="D96" s="32">
        <f t="shared" si="4"/>
        <v>92</v>
      </c>
      <c r="E96" s="31" t="s">
        <v>136</v>
      </c>
      <c r="F96" s="33">
        <v>45534</v>
      </c>
      <c r="G96" s="34"/>
      <c r="H96" s="30" t="s">
        <v>262</v>
      </c>
      <c r="I96" s="35">
        <f t="shared" si="5"/>
        <v>196</v>
      </c>
      <c r="J96" s="34">
        <v>159</v>
      </c>
      <c r="K96" s="34">
        <v>19</v>
      </c>
      <c r="L96" s="34">
        <v>17</v>
      </c>
      <c r="M96" s="34">
        <v>20</v>
      </c>
      <c r="N96" s="34"/>
      <c r="O96" s="34"/>
      <c r="P96" s="34"/>
      <c r="Q96" s="34"/>
      <c r="R96" s="34"/>
      <c r="S96" s="34"/>
      <c r="T96" s="34"/>
      <c r="U96" s="34"/>
      <c r="V96" s="34"/>
      <c r="W96" s="34"/>
      <c r="X96" s="34"/>
      <c r="Y96" s="34"/>
      <c r="Z96" s="34"/>
      <c r="AA96" s="34"/>
      <c r="AB96" s="34"/>
      <c r="AC96" s="34"/>
      <c r="AD96" s="34" t="s">
        <v>11</v>
      </c>
      <c r="AE96" s="34" t="s">
        <v>20</v>
      </c>
      <c r="AF96" s="34" t="s">
        <v>55</v>
      </c>
      <c r="AG96" s="34"/>
      <c r="AH96" s="36" t="str">
        <f>IF(B96="","",INDEX(التقرير!$P$31:$P$260,ROW()-4))</f>
        <v>بعيد</v>
      </c>
    </row>
    <row r="97" spans="1:34" ht="27.6" x14ac:dyDescent="0.3">
      <c r="A97" s="29">
        <v>2558042285</v>
      </c>
      <c r="B97" s="30" t="s">
        <v>155</v>
      </c>
      <c r="C97" s="31" t="s">
        <v>9</v>
      </c>
      <c r="D97" s="32">
        <f t="shared" si="4"/>
        <v>93</v>
      </c>
      <c r="E97" s="31" t="s">
        <v>136</v>
      </c>
      <c r="F97" s="33">
        <v>45473</v>
      </c>
      <c r="G97" s="34"/>
      <c r="H97" s="30" t="s">
        <v>263</v>
      </c>
      <c r="I97" s="35">
        <f t="shared" si="5"/>
        <v>86</v>
      </c>
      <c r="J97" s="34">
        <v>57</v>
      </c>
      <c r="K97" s="34">
        <v>13</v>
      </c>
      <c r="L97" s="34">
        <v>20</v>
      </c>
      <c r="M97" s="34">
        <v>9</v>
      </c>
      <c r="N97" s="34"/>
      <c r="O97" s="34"/>
      <c r="P97" s="34"/>
      <c r="Q97" s="34"/>
      <c r="R97" s="34"/>
      <c r="S97" s="34"/>
      <c r="T97" s="34"/>
      <c r="U97" s="34"/>
      <c r="V97" s="34"/>
      <c r="W97" s="34"/>
      <c r="X97" s="34"/>
      <c r="Y97" s="34"/>
      <c r="Z97" s="34"/>
      <c r="AA97" s="34"/>
      <c r="AB97" s="34"/>
      <c r="AC97" s="34"/>
      <c r="AD97" s="34" t="s">
        <v>11</v>
      </c>
      <c r="AE97" s="34" t="s">
        <v>20</v>
      </c>
      <c r="AF97" s="34" t="s">
        <v>55</v>
      </c>
      <c r="AG97" s="34"/>
      <c r="AH97" s="36" t="str">
        <f>IF(B97="","",INDEX(التقرير!$P$31:$P$260,ROW()-4))</f>
        <v>بعيد</v>
      </c>
    </row>
    <row r="98" spans="1:34" x14ac:dyDescent="0.3">
      <c r="A98" s="29">
        <v>2570719662</v>
      </c>
      <c r="B98" s="30" t="s">
        <v>156</v>
      </c>
      <c r="C98" s="31" t="s">
        <v>9</v>
      </c>
      <c r="D98" s="32">
        <f t="shared" si="4"/>
        <v>94</v>
      </c>
      <c r="E98" s="31" t="s">
        <v>136</v>
      </c>
      <c r="F98" s="33">
        <v>45443</v>
      </c>
      <c r="G98" s="34"/>
      <c r="H98" s="30" t="s">
        <v>264</v>
      </c>
      <c r="I98" s="35">
        <f t="shared" si="5"/>
        <v>90</v>
      </c>
      <c r="J98" s="34">
        <v>51</v>
      </c>
      <c r="K98" s="34">
        <v>20</v>
      </c>
      <c r="L98" s="34">
        <v>21</v>
      </c>
      <c r="M98" s="34">
        <v>18</v>
      </c>
      <c r="N98" s="34"/>
      <c r="O98" s="34"/>
      <c r="P98" s="34"/>
      <c r="Q98" s="34"/>
      <c r="R98" s="34"/>
      <c r="S98" s="34"/>
      <c r="T98" s="34"/>
      <c r="U98" s="34"/>
      <c r="V98" s="34"/>
      <c r="W98" s="34"/>
      <c r="X98" s="34"/>
      <c r="Y98" s="34"/>
      <c r="Z98" s="34"/>
      <c r="AA98" s="34"/>
      <c r="AB98" s="34"/>
      <c r="AC98" s="34"/>
      <c r="AD98" s="34" t="s">
        <v>11</v>
      </c>
      <c r="AE98" s="34" t="s">
        <v>20</v>
      </c>
      <c r="AF98" s="34" t="s">
        <v>55</v>
      </c>
      <c r="AG98" s="34"/>
      <c r="AH98" s="36" t="str">
        <f>IF(B98="","",INDEX(التقرير!$P$31:$P$260,ROW()-4))</f>
        <v>بعيد</v>
      </c>
    </row>
    <row r="99" spans="1:34" x14ac:dyDescent="0.3">
      <c r="A99" s="29">
        <v>2624530818</v>
      </c>
      <c r="B99" s="30" t="s">
        <v>157</v>
      </c>
      <c r="C99" s="31" t="s">
        <v>9</v>
      </c>
      <c r="D99" s="32">
        <f t="shared" si="4"/>
        <v>95</v>
      </c>
      <c r="E99" s="31" t="s">
        <v>3</v>
      </c>
      <c r="F99" s="33">
        <v>46301</v>
      </c>
      <c r="G99" s="34"/>
      <c r="H99" s="30" t="s">
        <v>264</v>
      </c>
      <c r="I99" s="35">
        <f t="shared" si="5"/>
        <v>74</v>
      </c>
      <c r="J99" s="34">
        <v>44</v>
      </c>
      <c r="K99" s="34">
        <v>17</v>
      </c>
      <c r="L99" s="34">
        <v>14</v>
      </c>
      <c r="M99" s="34">
        <v>16</v>
      </c>
      <c r="N99" s="34"/>
      <c r="O99" s="34"/>
      <c r="P99" s="34"/>
      <c r="Q99" s="34"/>
      <c r="R99" s="34"/>
      <c r="S99" s="34"/>
      <c r="T99" s="34"/>
      <c r="U99" s="34"/>
      <c r="V99" s="34"/>
      <c r="W99" s="34"/>
      <c r="X99" s="34"/>
      <c r="Y99" s="34"/>
      <c r="Z99" s="34"/>
      <c r="AA99" s="34"/>
      <c r="AB99" s="34"/>
      <c r="AC99" s="34"/>
      <c r="AD99" s="34" t="s">
        <v>3</v>
      </c>
      <c r="AE99" s="34" t="s">
        <v>20</v>
      </c>
      <c r="AF99" s="34" t="s">
        <v>55</v>
      </c>
      <c r="AG99" s="34"/>
      <c r="AH99" s="36" t="str">
        <f>IF(B99="","",INDEX(التقرير!$P$31:$P$260,ROW()-4))</f>
        <v>بعيد</v>
      </c>
    </row>
    <row r="100" spans="1:34" x14ac:dyDescent="0.3">
      <c r="A100" s="29">
        <v>2620943387</v>
      </c>
      <c r="B100" s="30" t="s">
        <v>158</v>
      </c>
      <c r="C100" s="31" t="s">
        <v>9</v>
      </c>
      <c r="D100" s="32">
        <f t="shared" si="4"/>
        <v>96</v>
      </c>
      <c r="E100" s="31" t="s">
        <v>3</v>
      </c>
      <c r="F100" s="33">
        <v>46307</v>
      </c>
      <c r="G100" s="34"/>
      <c r="H100" s="30" t="s">
        <v>265</v>
      </c>
      <c r="I100" s="35">
        <f t="shared" si="5"/>
        <v>84</v>
      </c>
      <c r="J100" s="34">
        <v>44</v>
      </c>
      <c r="K100" s="34">
        <v>21</v>
      </c>
      <c r="L100" s="34">
        <v>20</v>
      </c>
      <c r="M100" s="34">
        <v>20</v>
      </c>
      <c r="N100" s="34"/>
      <c r="O100" s="34"/>
      <c r="P100" s="34"/>
      <c r="Q100" s="34"/>
      <c r="R100" s="34"/>
      <c r="S100" s="34"/>
      <c r="T100" s="34"/>
      <c r="U100" s="34"/>
      <c r="V100" s="34"/>
      <c r="W100" s="34"/>
      <c r="X100" s="34"/>
      <c r="Y100" s="34"/>
      <c r="Z100" s="34"/>
      <c r="AA100" s="34"/>
      <c r="AB100" s="34"/>
      <c r="AC100" s="34"/>
      <c r="AD100" s="34" t="s">
        <v>3</v>
      </c>
      <c r="AE100" s="34" t="s">
        <v>20</v>
      </c>
      <c r="AF100" s="34" t="s">
        <v>55</v>
      </c>
      <c r="AG100" s="34"/>
      <c r="AH100" s="36" t="str">
        <f>IF(B100="","",INDEX(التقرير!$P$31:$P$260,ROW()-4))</f>
        <v>قريب</v>
      </c>
    </row>
    <row r="101" spans="1:34" x14ac:dyDescent="0.3">
      <c r="A101" s="29">
        <v>2619674852</v>
      </c>
      <c r="B101" s="30" t="s">
        <v>159</v>
      </c>
      <c r="C101" s="31" t="s">
        <v>9</v>
      </c>
      <c r="D101" s="32">
        <f t="shared" si="4"/>
        <v>97</v>
      </c>
      <c r="E101" s="31" t="s">
        <v>3</v>
      </c>
      <c r="F101" s="33">
        <v>46307</v>
      </c>
      <c r="G101" s="34"/>
      <c r="H101" s="30" t="s">
        <v>265</v>
      </c>
      <c r="I101" s="35">
        <f t="shared" si="5"/>
        <v>79</v>
      </c>
      <c r="J101" s="34">
        <v>39</v>
      </c>
      <c r="K101" s="34">
        <v>18</v>
      </c>
      <c r="L101" s="34">
        <v>17</v>
      </c>
      <c r="M101" s="34">
        <v>23</v>
      </c>
      <c r="N101" s="34"/>
      <c r="O101" s="34"/>
      <c r="P101" s="34"/>
      <c r="Q101" s="34"/>
      <c r="R101" s="34"/>
      <c r="S101" s="34"/>
      <c r="T101" s="34"/>
      <c r="U101" s="34"/>
      <c r="V101" s="34"/>
      <c r="W101" s="34"/>
      <c r="X101" s="34"/>
      <c r="Y101" s="34"/>
      <c r="Z101" s="34"/>
      <c r="AA101" s="34"/>
      <c r="AB101" s="34"/>
      <c r="AC101" s="34"/>
      <c r="AD101" s="34" t="s">
        <v>3</v>
      </c>
      <c r="AE101" s="34" t="s">
        <v>20</v>
      </c>
      <c r="AF101" s="34" t="s">
        <v>55</v>
      </c>
      <c r="AG101" s="34"/>
      <c r="AH101" s="36" t="str">
        <f>IF(B101="","",INDEX(التقرير!$P$31:$P$260,ROW()-4))</f>
        <v>قريب</v>
      </c>
    </row>
    <row r="102" spans="1:34" x14ac:dyDescent="0.3">
      <c r="A102" s="29">
        <v>2593487362</v>
      </c>
      <c r="B102" s="30" t="s">
        <v>160</v>
      </c>
      <c r="C102" s="31" t="s">
        <v>9</v>
      </c>
      <c r="D102" s="32">
        <f t="shared" si="4"/>
        <v>98</v>
      </c>
      <c r="E102" s="31" t="s">
        <v>3</v>
      </c>
      <c r="F102" s="33">
        <v>46306</v>
      </c>
      <c r="G102" s="34"/>
      <c r="H102" s="30" t="s">
        <v>264</v>
      </c>
      <c r="I102" s="35">
        <f t="shared" si="5"/>
        <v>81</v>
      </c>
      <c r="J102" s="34">
        <v>38</v>
      </c>
      <c r="K102" s="34">
        <v>19</v>
      </c>
      <c r="L102" s="34">
        <v>22</v>
      </c>
      <c r="M102" s="34">
        <v>21</v>
      </c>
      <c r="N102" s="34"/>
      <c r="O102" s="34"/>
      <c r="P102" s="34"/>
      <c r="Q102" s="34"/>
      <c r="R102" s="34"/>
      <c r="S102" s="34"/>
      <c r="T102" s="34"/>
      <c r="U102" s="34"/>
      <c r="V102" s="34"/>
      <c r="W102" s="34"/>
      <c r="X102" s="34"/>
      <c r="Y102" s="34"/>
      <c r="Z102" s="34"/>
      <c r="AA102" s="34"/>
      <c r="AB102" s="34"/>
      <c r="AC102" s="34"/>
      <c r="AD102" s="34" t="s">
        <v>3</v>
      </c>
      <c r="AE102" s="34" t="s">
        <v>20</v>
      </c>
      <c r="AF102" s="34" t="s">
        <v>55</v>
      </c>
      <c r="AG102" s="34"/>
      <c r="AH102" s="36" t="str">
        <f>IF(B102="","",INDEX(التقرير!$P$31:$P$260,ROW()-4))</f>
        <v>بعيد</v>
      </c>
    </row>
    <row r="103" spans="1:34" ht="27.6" x14ac:dyDescent="0.3">
      <c r="A103" s="29">
        <v>2557509342</v>
      </c>
      <c r="B103" s="30" t="s">
        <v>161</v>
      </c>
      <c r="C103" s="31" t="s">
        <v>9</v>
      </c>
      <c r="D103" s="32">
        <f t="shared" si="4"/>
        <v>99</v>
      </c>
      <c r="E103" s="31" t="s">
        <v>136</v>
      </c>
      <c r="F103" s="33">
        <v>45322</v>
      </c>
      <c r="G103" s="34"/>
      <c r="H103" s="30" t="s">
        <v>266</v>
      </c>
      <c r="I103" s="35">
        <f t="shared" si="5"/>
        <v>38</v>
      </c>
      <c r="J103" s="34">
        <v>36</v>
      </c>
      <c r="K103" s="34">
        <v>13</v>
      </c>
      <c r="L103" s="34">
        <v>2</v>
      </c>
      <c r="M103" s="34">
        <v>0</v>
      </c>
      <c r="N103" s="34"/>
      <c r="O103" s="34"/>
      <c r="P103" s="34"/>
      <c r="Q103" s="34"/>
      <c r="R103" s="34"/>
      <c r="S103" s="34"/>
      <c r="T103" s="34"/>
      <c r="U103" s="34"/>
      <c r="V103" s="34"/>
      <c r="W103" s="34"/>
      <c r="X103" s="34"/>
      <c r="Y103" s="34"/>
      <c r="Z103" s="34"/>
      <c r="AA103" s="34"/>
      <c r="AB103" s="34"/>
      <c r="AC103" s="34"/>
      <c r="AD103" s="34" t="s">
        <v>11</v>
      </c>
      <c r="AE103" s="34" t="s">
        <v>20</v>
      </c>
      <c r="AF103" s="34" t="s">
        <v>55</v>
      </c>
      <c r="AG103" s="34"/>
      <c r="AH103" s="36" t="str">
        <f>IF(B103="","",INDEX(التقرير!$P$31:$P$260,ROW()-4))</f>
        <v>بعيد</v>
      </c>
    </row>
    <row r="104" spans="1:34" x14ac:dyDescent="0.3">
      <c r="A104" s="29">
        <v>2567992678</v>
      </c>
      <c r="B104" s="30" t="s">
        <v>162</v>
      </c>
      <c r="C104" s="31" t="s">
        <v>9</v>
      </c>
      <c r="D104" s="32">
        <f t="shared" si="4"/>
        <v>100</v>
      </c>
      <c r="E104" s="31" t="s">
        <v>136</v>
      </c>
      <c r="F104" s="33">
        <v>45412</v>
      </c>
      <c r="G104" s="34"/>
      <c r="H104" s="30" t="s">
        <v>267</v>
      </c>
      <c r="I104" s="35">
        <f t="shared" si="5"/>
        <v>65</v>
      </c>
      <c r="J104" s="34">
        <v>22</v>
      </c>
      <c r="K104" s="34">
        <v>22</v>
      </c>
      <c r="L104" s="34">
        <v>22</v>
      </c>
      <c r="M104" s="34">
        <v>21</v>
      </c>
      <c r="N104" s="34"/>
      <c r="O104" s="34"/>
      <c r="P104" s="34"/>
      <c r="Q104" s="34"/>
      <c r="R104" s="34"/>
      <c r="S104" s="34"/>
      <c r="T104" s="34"/>
      <c r="U104" s="34"/>
      <c r="V104" s="34"/>
      <c r="W104" s="34"/>
      <c r="X104" s="34"/>
      <c r="Y104" s="34"/>
      <c r="Z104" s="34"/>
      <c r="AA104" s="34"/>
      <c r="AB104" s="34"/>
      <c r="AC104" s="34"/>
      <c r="AD104" s="34" t="s">
        <v>11</v>
      </c>
      <c r="AE104" s="34" t="s">
        <v>20</v>
      </c>
      <c r="AF104" s="34" t="s">
        <v>55</v>
      </c>
      <c r="AG104" s="34"/>
      <c r="AH104" s="36" t="str">
        <f>IF(B104="","",INDEX(التقرير!$P$31:$P$260,ROW()-4))</f>
        <v>بعيد</v>
      </c>
    </row>
    <row r="105" spans="1:34" x14ac:dyDescent="0.3">
      <c r="A105" s="29">
        <v>2562666756</v>
      </c>
      <c r="B105" s="30" t="s">
        <v>163</v>
      </c>
      <c r="C105" s="31" t="s">
        <v>9</v>
      </c>
      <c r="D105" s="32">
        <f t="shared" si="4"/>
        <v>101</v>
      </c>
      <c r="E105" s="31"/>
      <c r="F105" s="33">
        <v>45382</v>
      </c>
      <c r="G105" s="34"/>
      <c r="H105" s="30"/>
      <c r="I105" s="35">
        <f t="shared" si="5"/>
        <v>0</v>
      </c>
      <c r="J105" s="34"/>
      <c r="K105" s="34"/>
      <c r="L105" s="34"/>
      <c r="M105" s="34"/>
      <c r="N105" s="34"/>
      <c r="O105" s="34"/>
      <c r="P105" s="34"/>
      <c r="Q105" s="34"/>
      <c r="R105" s="34"/>
      <c r="S105" s="34"/>
      <c r="T105" s="34"/>
      <c r="U105" s="34"/>
      <c r="V105" s="34"/>
      <c r="W105" s="34"/>
      <c r="X105" s="34"/>
      <c r="Y105" s="34"/>
      <c r="Z105" s="34"/>
      <c r="AA105" s="34"/>
      <c r="AB105" s="34"/>
      <c r="AC105" s="34"/>
      <c r="AD105" s="34" t="s">
        <v>11</v>
      </c>
      <c r="AE105" s="34" t="s">
        <v>20</v>
      </c>
      <c r="AF105" s="34" t="s">
        <v>24</v>
      </c>
      <c r="AG105" s="34"/>
      <c r="AH105" s="36" t="str">
        <f>IF(B105="","",INDEX(التقرير!$P$31:$P$260,ROW()-4))</f>
        <v>مستبعد (اجازة)</v>
      </c>
    </row>
    <row r="106" spans="1:34" hidden="1" x14ac:dyDescent="0.3">
      <c r="A106" s="29"/>
      <c r="B106" s="30" t="s">
        <v>164</v>
      </c>
      <c r="C106" s="31" t="s">
        <v>10</v>
      </c>
      <c r="D106" s="32">
        <f t="shared" si="4"/>
        <v>102</v>
      </c>
      <c r="E106" s="31" t="s">
        <v>165</v>
      </c>
      <c r="F106" s="33"/>
      <c r="G106" s="34"/>
      <c r="H106" s="30"/>
      <c r="I106" s="35">
        <f t="shared" si="5"/>
        <v>286</v>
      </c>
      <c r="J106" s="34">
        <v>247</v>
      </c>
      <c r="K106" s="34">
        <v>14</v>
      </c>
      <c r="L106" s="34">
        <v>23</v>
      </c>
      <c r="M106" s="34">
        <v>16</v>
      </c>
      <c r="N106" s="34"/>
      <c r="O106" s="34"/>
      <c r="P106" s="34"/>
      <c r="Q106" s="34"/>
      <c r="R106" s="34"/>
      <c r="S106" s="34"/>
      <c r="T106" s="34"/>
      <c r="U106" s="34"/>
      <c r="V106" s="34"/>
      <c r="W106" s="34"/>
      <c r="X106" s="34"/>
      <c r="Y106" s="34"/>
      <c r="Z106" s="34"/>
      <c r="AA106" s="34"/>
      <c r="AB106" s="34"/>
      <c r="AC106" s="34"/>
      <c r="AD106" s="34" t="s">
        <v>4</v>
      </c>
      <c r="AE106" s="34" t="s">
        <v>21</v>
      </c>
      <c r="AF106" s="34" t="s">
        <v>55</v>
      </c>
      <c r="AG106" s="34"/>
      <c r="AH106" s="36" t="str">
        <f>IF(B106="","",INDEX(التقرير!$P$31:$P$260,ROW()-4))</f>
        <v>حقق</v>
      </c>
    </row>
    <row r="107" spans="1:34" x14ac:dyDescent="0.3">
      <c r="A107" s="29">
        <v>2599265713</v>
      </c>
      <c r="B107" s="30" t="s">
        <v>166</v>
      </c>
      <c r="C107" s="31" t="s">
        <v>10</v>
      </c>
      <c r="D107" s="32">
        <f t="shared" si="4"/>
        <v>103</v>
      </c>
      <c r="E107" s="31" t="s">
        <v>3</v>
      </c>
      <c r="F107" s="33">
        <v>46292</v>
      </c>
      <c r="G107" s="34"/>
      <c r="H107" s="30" t="s">
        <v>255</v>
      </c>
      <c r="I107" s="35">
        <f t="shared" si="5"/>
        <v>259</v>
      </c>
      <c r="J107" s="34">
        <v>220</v>
      </c>
      <c r="K107" s="34">
        <v>20</v>
      </c>
      <c r="L107" s="34">
        <v>19</v>
      </c>
      <c r="M107" s="34">
        <v>20</v>
      </c>
      <c r="N107" s="34"/>
      <c r="O107" s="34"/>
      <c r="P107" s="34"/>
      <c r="Q107" s="34"/>
      <c r="R107" s="34"/>
      <c r="S107" s="34"/>
      <c r="T107" s="34"/>
      <c r="U107" s="34"/>
      <c r="V107" s="34"/>
      <c r="W107" s="34"/>
      <c r="X107" s="34"/>
      <c r="Y107" s="34"/>
      <c r="Z107" s="34"/>
      <c r="AA107" s="34"/>
      <c r="AB107" s="34"/>
      <c r="AC107" s="34"/>
      <c r="AD107" s="34" t="s">
        <v>3</v>
      </c>
      <c r="AE107" s="34" t="s">
        <v>21</v>
      </c>
      <c r="AF107" s="34" t="s">
        <v>55</v>
      </c>
      <c r="AG107" s="34"/>
      <c r="AH107" s="36" t="str">
        <f>IF(B107="","",INDEX(التقرير!$P$31:$P$260,ROW()-4))</f>
        <v>حقق</v>
      </c>
    </row>
    <row r="108" spans="1:34" x14ac:dyDescent="0.3">
      <c r="A108" s="29">
        <v>2644024677</v>
      </c>
      <c r="B108" s="30" t="s">
        <v>167</v>
      </c>
      <c r="C108" s="31" t="s">
        <v>10</v>
      </c>
      <c r="D108" s="32">
        <f t="shared" si="4"/>
        <v>104</v>
      </c>
      <c r="E108" s="31" t="s">
        <v>3</v>
      </c>
      <c r="F108" s="33">
        <v>46289</v>
      </c>
      <c r="G108" s="34"/>
      <c r="H108" s="30" t="s">
        <v>255</v>
      </c>
      <c r="I108" s="35">
        <f t="shared" si="5"/>
        <v>225</v>
      </c>
      <c r="J108" s="34">
        <v>187</v>
      </c>
      <c r="K108" s="34">
        <v>19</v>
      </c>
      <c r="L108" s="34">
        <v>17</v>
      </c>
      <c r="M108" s="34">
        <v>21</v>
      </c>
      <c r="N108" s="34"/>
      <c r="O108" s="34"/>
      <c r="P108" s="34"/>
      <c r="Q108" s="34"/>
      <c r="R108" s="34"/>
      <c r="S108" s="34"/>
      <c r="T108" s="34"/>
      <c r="U108" s="34"/>
      <c r="V108" s="34"/>
      <c r="W108" s="34"/>
      <c r="X108" s="34"/>
      <c r="Y108" s="34"/>
      <c r="Z108" s="34"/>
      <c r="AA108" s="34"/>
      <c r="AB108" s="34"/>
      <c r="AC108" s="34"/>
      <c r="AD108" s="34" t="s">
        <v>3</v>
      </c>
      <c r="AE108" s="34" t="s">
        <v>21</v>
      </c>
      <c r="AF108" s="34" t="s">
        <v>55</v>
      </c>
      <c r="AG108" s="34"/>
      <c r="AH108" s="36" t="str">
        <f>IF(B108="","",INDEX(التقرير!$P$31:$P$260,ROW()-4))</f>
        <v>حقق</v>
      </c>
    </row>
    <row r="109" spans="1:34" hidden="1" x14ac:dyDescent="0.3">
      <c r="A109" s="29"/>
      <c r="B109" s="30" t="s">
        <v>168</v>
      </c>
      <c r="C109" s="31" t="s">
        <v>10</v>
      </c>
      <c r="D109" s="32">
        <f t="shared" si="4"/>
        <v>105</v>
      </c>
      <c r="E109" s="31" t="s">
        <v>169</v>
      </c>
      <c r="F109" s="33"/>
      <c r="G109" s="34"/>
      <c r="H109" s="30"/>
      <c r="I109" s="35">
        <f t="shared" si="5"/>
        <v>208</v>
      </c>
      <c r="J109" s="34">
        <v>177</v>
      </c>
      <c r="K109" s="34">
        <v>24</v>
      </c>
      <c r="L109" s="34">
        <v>10</v>
      </c>
      <c r="M109" s="34">
        <v>21</v>
      </c>
      <c r="N109" s="34"/>
      <c r="O109" s="34"/>
      <c r="P109" s="34"/>
      <c r="Q109" s="34"/>
      <c r="R109" s="34"/>
      <c r="S109" s="34"/>
      <c r="T109" s="34"/>
      <c r="U109" s="34"/>
      <c r="V109" s="34"/>
      <c r="W109" s="34"/>
      <c r="X109" s="34"/>
      <c r="Y109" s="34"/>
      <c r="Z109" s="34"/>
      <c r="AA109" s="34"/>
      <c r="AB109" s="34"/>
      <c r="AC109" s="34"/>
      <c r="AD109" s="34" t="s">
        <v>4</v>
      </c>
      <c r="AE109" s="34" t="s">
        <v>21</v>
      </c>
      <c r="AF109" s="34" t="s">
        <v>55</v>
      </c>
      <c r="AG109" s="34"/>
      <c r="AH109" s="36" t="str">
        <f>IF(B109="","",INDEX(التقرير!$P$31:$P$260,ROW()-4))</f>
        <v>حقق</v>
      </c>
    </row>
    <row r="110" spans="1:34" x14ac:dyDescent="0.3">
      <c r="A110" s="29">
        <v>2562205704</v>
      </c>
      <c r="B110" s="30" t="s">
        <v>170</v>
      </c>
      <c r="C110" s="31" t="s">
        <v>10</v>
      </c>
      <c r="D110" s="32">
        <f t="shared" si="4"/>
        <v>106</v>
      </c>
      <c r="E110" s="31" t="s">
        <v>3</v>
      </c>
      <c r="F110" s="33">
        <v>46204</v>
      </c>
      <c r="G110" s="34"/>
      <c r="H110" s="30" t="s">
        <v>255</v>
      </c>
      <c r="I110" s="35">
        <f t="shared" si="5"/>
        <v>200</v>
      </c>
      <c r="J110" s="34">
        <v>169</v>
      </c>
      <c r="K110" s="34">
        <v>19</v>
      </c>
      <c r="L110" s="34">
        <v>18</v>
      </c>
      <c r="M110" s="34">
        <v>13</v>
      </c>
      <c r="N110" s="34"/>
      <c r="O110" s="34"/>
      <c r="P110" s="34"/>
      <c r="Q110" s="34"/>
      <c r="R110" s="34"/>
      <c r="S110" s="34"/>
      <c r="T110" s="34"/>
      <c r="U110" s="34"/>
      <c r="V110" s="34"/>
      <c r="W110" s="34"/>
      <c r="X110" s="34"/>
      <c r="Y110" s="34"/>
      <c r="Z110" s="34"/>
      <c r="AA110" s="34"/>
      <c r="AB110" s="34"/>
      <c r="AC110" s="34"/>
      <c r="AD110" s="34" t="s">
        <v>3</v>
      </c>
      <c r="AE110" s="34" t="s">
        <v>21</v>
      </c>
      <c r="AF110" s="34" t="s">
        <v>55</v>
      </c>
      <c r="AG110" s="34"/>
      <c r="AH110" s="36" t="str">
        <f>IF(B110="","",INDEX(التقرير!$P$31:$P$260,ROW()-4))</f>
        <v>قريب</v>
      </c>
    </row>
    <row r="111" spans="1:34" x14ac:dyDescent="0.3">
      <c r="A111" s="29">
        <v>2585884493</v>
      </c>
      <c r="B111" s="30" t="s">
        <v>171</v>
      </c>
      <c r="C111" s="31" t="s">
        <v>10</v>
      </c>
      <c r="D111" s="32">
        <f t="shared" si="4"/>
        <v>107</v>
      </c>
      <c r="E111" s="31" t="s">
        <v>3</v>
      </c>
      <c r="F111" s="33">
        <v>46290</v>
      </c>
      <c r="G111" s="34"/>
      <c r="H111" s="30" t="s">
        <v>255</v>
      </c>
      <c r="I111" s="35">
        <f t="shared" si="5"/>
        <v>207</v>
      </c>
      <c r="J111" s="34">
        <v>159</v>
      </c>
      <c r="K111" s="34">
        <v>15</v>
      </c>
      <c r="L111" s="34">
        <v>23</v>
      </c>
      <c r="M111" s="34">
        <v>25</v>
      </c>
      <c r="N111" s="34"/>
      <c r="O111" s="34"/>
      <c r="P111" s="34"/>
      <c r="Q111" s="34"/>
      <c r="R111" s="34"/>
      <c r="S111" s="34"/>
      <c r="T111" s="34"/>
      <c r="U111" s="34"/>
      <c r="V111" s="34"/>
      <c r="W111" s="34"/>
      <c r="X111" s="34"/>
      <c r="Y111" s="34"/>
      <c r="Z111" s="34"/>
      <c r="AA111" s="34"/>
      <c r="AB111" s="34"/>
      <c r="AC111" s="34"/>
      <c r="AD111" s="34" t="s">
        <v>3</v>
      </c>
      <c r="AE111" s="34" t="s">
        <v>21</v>
      </c>
      <c r="AF111" s="34" t="s">
        <v>55</v>
      </c>
      <c r="AG111" s="34"/>
      <c r="AH111" s="36" t="str">
        <f>IF(B111="","",INDEX(التقرير!$P$31:$P$260,ROW()-4))</f>
        <v>حقق</v>
      </c>
    </row>
    <row r="112" spans="1:34" hidden="1" x14ac:dyDescent="0.3">
      <c r="A112" s="29"/>
      <c r="B112" s="30" t="s">
        <v>172</v>
      </c>
      <c r="C112" s="31" t="s">
        <v>10</v>
      </c>
      <c r="D112" s="32">
        <f t="shared" si="4"/>
        <v>108</v>
      </c>
      <c r="E112" s="31" t="s">
        <v>169</v>
      </c>
      <c r="F112" s="33"/>
      <c r="G112" s="34"/>
      <c r="H112" s="30"/>
      <c r="I112" s="35">
        <f t="shared" si="5"/>
        <v>185</v>
      </c>
      <c r="J112" s="34">
        <v>148</v>
      </c>
      <c r="K112" s="34">
        <v>14</v>
      </c>
      <c r="L112" s="34">
        <v>18</v>
      </c>
      <c r="M112" s="34">
        <v>19</v>
      </c>
      <c r="N112" s="34"/>
      <c r="O112" s="34"/>
      <c r="P112" s="34"/>
      <c r="Q112" s="34"/>
      <c r="R112" s="34"/>
      <c r="S112" s="34"/>
      <c r="T112" s="34"/>
      <c r="U112" s="34"/>
      <c r="V112" s="34"/>
      <c r="W112" s="34"/>
      <c r="X112" s="34"/>
      <c r="Y112" s="34"/>
      <c r="Z112" s="34"/>
      <c r="AA112" s="34"/>
      <c r="AB112" s="34"/>
      <c r="AC112" s="34"/>
      <c r="AD112" s="34" t="s">
        <v>4</v>
      </c>
      <c r="AE112" s="34" t="s">
        <v>21</v>
      </c>
      <c r="AF112" s="34" t="s">
        <v>55</v>
      </c>
      <c r="AG112" s="34"/>
      <c r="AH112" s="36" t="str">
        <f>IF(B112="","",INDEX(التقرير!$P$31:$P$260,ROW()-4))</f>
        <v>قريب</v>
      </c>
    </row>
    <row r="113" spans="1:34" hidden="1" x14ac:dyDescent="0.3">
      <c r="A113" s="29"/>
      <c r="B113" s="30" t="s">
        <v>173</v>
      </c>
      <c r="C113" s="31" t="s">
        <v>10</v>
      </c>
      <c r="D113" s="32">
        <f t="shared" si="4"/>
        <v>109</v>
      </c>
      <c r="E113" s="31" t="s">
        <v>169</v>
      </c>
      <c r="F113" s="33"/>
      <c r="G113" s="34"/>
      <c r="H113" s="30"/>
      <c r="I113" s="35">
        <f t="shared" si="5"/>
        <v>185</v>
      </c>
      <c r="J113" s="34">
        <v>144</v>
      </c>
      <c r="K113" s="34">
        <v>12</v>
      </c>
      <c r="L113" s="34">
        <v>13</v>
      </c>
      <c r="M113" s="34">
        <v>28</v>
      </c>
      <c r="N113" s="34"/>
      <c r="O113" s="34"/>
      <c r="P113" s="34"/>
      <c r="Q113" s="34"/>
      <c r="R113" s="34"/>
      <c r="S113" s="34"/>
      <c r="T113" s="34"/>
      <c r="U113" s="34"/>
      <c r="V113" s="34"/>
      <c r="W113" s="34"/>
      <c r="X113" s="34"/>
      <c r="Y113" s="34"/>
      <c r="Z113" s="34"/>
      <c r="AA113" s="34"/>
      <c r="AB113" s="34"/>
      <c r="AC113" s="34"/>
      <c r="AD113" s="34" t="s">
        <v>4</v>
      </c>
      <c r="AE113" s="34" t="s">
        <v>21</v>
      </c>
      <c r="AF113" s="34" t="s">
        <v>55</v>
      </c>
      <c r="AG113" s="34"/>
      <c r="AH113" s="36" t="str">
        <f>IF(B113="","",INDEX(التقرير!$P$31:$P$260,ROW()-4))</f>
        <v>قريب</v>
      </c>
    </row>
    <row r="114" spans="1:34" hidden="1" x14ac:dyDescent="0.3">
      <c r="A114" s="29">
        <v>2499635379</v>
      </c>
      <c r="B114" s="30" t="s">
        <v>174</v>
      </c>
      <c r="C114" s="31" t="s">
        <v>10</v>
      </c>
      <c r="D114" s="32">
        <f t="shared" si="4"/>
        <v>110</v>
      </c>
      <c r="E114" s="31" t="s">
        <v>165</v>
      </c>
      <c r="F114" s="33"/>
      <c r="G114" s="34"/>
      <c r="H114" s="30"/>
      <c r="I114" s="35">
        <f t="shared" si="5"/>
        <v>142</v>
      </c>
      <c r="J114" s="34">
        <v>142</v>
      </c>
      <c r="K114" s="34">
        <v>14</v>
      </c>
      <c r="L114" s="34">
        <v>0</v>
      </c>
      <c r="M114" s="34">
        <v>0</v>
      </c>
      <c r="N114" s="34"/>
      <c r="O114" s="34"/>
      <c r="P114" s="34"/>
      <c r="Q114" s="34"/>
      <c r="R114" s="34"/>
      <c r="S114" s="34"/>
      <c r="T114" s="34"/>
      <c r="U114" s="34"/>
      <c r="V114" s="34"/>
      <c r="W114" s="34"/>
      <c r="X114" s="34"/>
      <c r="Y114" s="34"/>
      <c r="Z114" s="34"/>
      <c r="AA114" s="34"/>
      <c r="AB114" s="34"/>
      <c r="AC114" s="34"/>
      <c r="AD114" s="34" t="s">
        <v>4</v>
      </c>
      <c r="AE114" s="34" t="s">
        <v>21</v>
      </c>
      <c r="AF114" s="34" t="s">
        <v>55</v>
      </c>
      <c r="AG114" s="34"/>
      <c r="AH114" s="36" t="str">
        <f>IF(B114="","",INDEX(التقرير!$P$31:$P$260,ROW()-4))</f>
        <v>بعيد</v>
      </c>
    </row>
    <row r="115" spans="1:34" hidden="1" x14ac:dyDescent="0.3">
      <c r="A115" s="29"/>
      <c r="B115" s="30" t="s">
        <v>175</v>
      </c>
      <c r="C115" s="31" t="s">
        <v>10</v>
      </c>
      <c r="D115" s="32">
        <f t="shared" si="4"/>
        <v>111</v>
      </c>
      <c r="E115" s="31" t="s">
        <v>169</v>
      </c>
      <c r="F115" s="33"/>
      <c r="G115" s="34"/>
      <c r="H115" s="30"/>
      <c r="I115" s="35">
        <f t="shared" si="5"/>
        <v>149</v>
      </c>
      <c r="J115" s="34">
        <v>127</v>
      </c>
      <c r="K115" s="34">
        <v>18</v>
      </c>
      <c r="L115" s="34">
        <v>10</v>
      </c>
      <c r="M115" s="34">
        <v>12</v>
      </c>
      <c r="N115" s="34"/>
      <c r="O115" s="34"/>
      <c r="P115" s="34"/>
      <c r="Q115" s="34"/>
      <c r="R115" s="34"/>
      <c r="S115" s="34"/>
      <c r="T115" s="34"/>
      <c r="U115" s="34"/>
      <c r="V115" s="34"/>
      <c r="W115" s="34"/>
      <c r="X115" s="34"/>
      <c r="Y115" s="34"/>
      <c r="Z115" s="34"/>
      <c r="AA115" s="34"/>
      <c r="AB115" s="34"/>
      <c r="AC115" s="34"/>
      <c r="AD115" s="34" t="s">
        <v>4</v>
      </c>
      <c r="AE115" s="34" t="s">
        <v>21</v>
      </c>
      <c r="AF115" s="34" t="s">
        <v>55</v>
      </c>
      <c r="AG115" s="34"/>
      <c r="AH115" s="36" t="str">
        <f>IF(B115="","",INDEX(التقرير!$P$31:$P$260,ROW()-4))</f>
        <v>بعيد</v>
      </c>
    </row>
    <row r="116" spans="1:34" hidden="1" x14ac:dyDescent="0.3">
      <c r="A116" s="29"/>
      <c r="B116" s="30" t="s">
        <v>176</v>
      </c>
      <c r="C116" s="31" t="s">
        <v>10</v>
      </c>
      <c r="D116" s="32">
        <f t="shared" si="4"/>
        <v>112</v>
      </c>
      <c r="E116" s="31" t="s">
        <v>169</v>
      </c>
      <c r="F116" s="33"/>
      <c r="G116" s="34"/>
      <c r="H116" s="30"/>
      <c r="I116" s="35">
        <f t="shared" si="5"/>
        <v>147</v>
      </c>
      <c r="J116" s="34">
        <v>125</v>
      </c>
      <c r="K116" s="34">
        <v>0</v>
      </c>
      <c r="L116" s="34">
        <v>11</v>
      </c>
      <c r="M116" s="34">
        <v>11</v>
      </c>
      <c r="N116" s="34"/>
      <c r="O116" s="34"/>
      <c r="P116" s="34"/>
      <c r="Q116" s="34"/>
      <c r="R116" s="34"/>
      <c r="S116" s="34"/>
      <c r="T116" s="34"/>
      <c r="U116" s="34"/>
      <c r="V116" s="34"/>
      <c r="W116" s="34"/>
      <c r="X116" s="34"/>
      <c r="Y116" s="34"/>
      <c r="Z116" s="34"/>
      <c r="AA116" s="34"/>
      <c r="AB116" s="34"/>
      <c r="AC116" s="34"/>
      <c r="AD116" s="34" t="s">
        <v>4</v>
      </c>
      <c r="AE116" s="34" t="s">
        <v>21</v>
      </c>
      <c r="AF116" s="34" t="s">
        <v>55</v>
      </c>
      <c r="AG116" s="34"/>
      <c r="AH116" s="36" t="str">
        <f>IF(B116="","",INDEX(التقرير!$P$31:$P$260,ROW()-4))</f>
        <v>بعيد</v>
      </c>
    </row>
    <row r="117" spans="1:34" hidden="1" x14ac:dyDescent="0.3">
      <c r="A117" s="29"/>
      <c r="B117" s="30" t="s">
        <v>177</v>
      </c>
      <c r="C117" s="31" t="s">
        <v>10</v>
      </c>
      <c r="D117" s="32">
        <f t="shared" si="4"/>
        <v>113</v>
      </c>
      <c r="E117" s="31" t="s">
        <v>169</v>
      </c>
      <c r="F117" s="33"/>
      <c r="G117" s="34"/>
      <c r="H117" s="30"/>
      <c r="I117" s="35">
        <f t="shared" si="5"/>
        <v>131</v>
      </c>
      <c r="J117" s="34">
        <v>109</v>
      </c>
      <c r="K117" s="34">
        <v>16</v>
      </c>
      <c r="L117" s="34">
        <v>12</v>
      </c>
      <c r="M117" s="34">
        <v>10</v>
      </c>
      <c r="N117" s="34"/>
      <c r="O117" s="34"/>
      <c r="P117" s="34"/>
      <c r="Q117" s="34"/>
      <c r="R117" s="34"/>
      <c r="S117" s="34"/>
      <c r="T117" s="34"/>
      <c r="U117" s="34"/>
      <c r="V117" s="34"/>
      <c r="W117" s="34"/>
      <c r="X117" s="34"/>
      <c r="Y117" s="34"/>
      <c r="Z117" s="34"/>
      <c r="AA117" s="34"/>
      <c r="AB117" s="34"/>
      <c r="AC117" s="34"/>
      <c r="AD117" s="34" t="s">
        <v>4</v>
      </c>
      <c r="AE117" s="34" t="s">
        <v>21</v>
      </c>
      <c r="AF117" s="34" t="s">
        <v>55</v>
      </c>
      <c r="AG117" s="34"/>
      <c r="AH117" s="36" t="str">
        <f>IF(B117="","",INDEX(التقرير!$P$31:$P$260,ROW()-4))</f>
        <v>بعيد</v>
      </c>
    </row>
    <row r="118" spans="1:34" hidden="1" x14ac:dyDescent="0.3">
      <c r="A118" s="29"/>
      <c r="B118" s="30" t="s">
        <v>178</v>
      </c>
      <c r="C118" s="31" t="s">
        <v>10</v>
      </c>
      <c r="D118" s="32">
        <f t="shared" si="4"/>
        <v>114</v>
      </c>
      <c r="E118" s="31" t="s">
        <v>169</v>
      </c>
      <c r="F118" s="33"/>
      <c r="G118" s="34"/>
      <c r="H118" s="30"/>
      <c r="I118" s="35">
        <f t="shared" si="5"/>
        <v>116</v>
      </c>
      <c r="J118" s="34">
        <v>85</v>
      </c>
      <c r="K118" s="34">
        <v>15</v>
      </c>
      <c r="L118" s="34">
        <v>16</v>
      </c>
      <c r="M118" s="34">
        <v>15</v>
      </c>
      <c r="N118" s="34"/>
      <c r="O118" s="34"/>
      <c r="P118" s="34"/>
      <c r="Q118" s="34"/>
      <c r="R118" s="34"/>
      <c r="S118" s="34"/>
      <c r="T118" s="34"/>
      <c r="U118" s="34"/>
      <c r="V118" s="34"/>
      <c r="W118" s="34"/>
      <c r="X118" s="34"/>
      <c r="Y118" s="34"/>
      <c r="Z118" s="34"/>
      <c r="AA118" s="34"/>
      <c r="AB118" s="34"/>
      <c r="AC118" s="34"/>
      <c r="AD118" s="34" t="s">
        <v>4</v>
      </c>
      <c r="AE118" s="34" t="s">
        <v>21</v>
      </c>
      <c r="AF118" s="34" t="s">
        <v>55</v>
      </c>
      <c r="AG118" s="34"/>
      <c r="AH118" s="36" t="str">
        <f>IF(B118="","",INDEX(التقرير!$P$31:$P$260,ROW()-4))</f>
        <v>بعيد</v>
      </c>
    </row>
    <row r="119" spans="1:34" hidden="1" x14ac:dyDescent="0.3">
      <c r="A119" s="29"/>
      <c r="B119" s="30" t="s">
        <v>179</v>
      </c>
      <c r="C119" s="31" t="s">
        <v>10</v>
      </c>
      <c r="D119" s="32">
        <f t="shared" si="4"/>
        <v>115</v>
      </c>
      <c r="E119" s="31" t="s">
        <v>169</v>
      </c>
      <c r="F119" s="33"/>
      <c r="G119" s="34"/>
      <c r="H119" s="30"/>
      <c r="I119" s="35">
        <f t="shared" si="5"/>
        <v>118</v>
      </c>
      <c r="J119" s="34">
        <v>81</v>
      </c>
      <c r="K119" s="34">
        <v>15</v>
      </c>
      <c r="L119" s="34">
        <v>20</v>
      </c>
      <c r="M119" s="34">
        <v>17</v>
      </c>
      <c r="N119" s="34"/>
      <c r="O119" s="34"/>
      <c r="P119" s="34"/>
      <c r="Q119" s="34"/>
      <c r="R119" s="34"/>
      <c r="S119" s="34"/>
      <c r="T119" s="34"/>
      <c r="U119" s="34"/>
      <c r="V119" s="34"/>
      <c r="W119" s="34"/>
      <c r="X119" s="34"/>
      <c r="Y119" s="34"/>
      <c r="Z119" s="34"/>
      <c r="AA119" s="34"/>
      <c r="AB119" s="34"/>
      <c r="AC119" s="34"/>
      <c r="AD119" s="34" t="s">
        <v>4</v>
      </c>
      <c r="AE119" s="34" t="s">
        <v>21</v>
      </c>
      <c r="AF119" s="34" t="s">
        <v>55</v>
      </c>
      <c r="AG119" s="34"/>
      <c r="AH119" s="36" t="str">
        <f>IF(B119="","",INDEX(التقرير!$P$31:$P$260,ROW()-4))</f>
        <v>بعيد</v>
      </c>
    </row>
    <row r="120" spans="1:34" hidden="1" x14ac:dyDescent="0.3">
      <c r="A120" s="29"/>
      <c r="B120" s="30" t="s">
        <v>180</v>
      </c>
      <c r="C120" s="31" t="s">
        <v>10</v>
      </c>
      <c r="D120" s="32">
        <f t="shared" si="4"/>
        <v>116</v>
      </c>
      <c r="E120" s="31" t="s">
        <v>169</v>
      </c>
      <c r="F120" s="33"/>
      <c r="G120" s="34"/>
      <c r="H120" s="30"/>
      <c r="I120" s="35">
        <f t="shared" si="5"/>
        <v>107</v>
      </c>
      <c r="J120" s="34">
        <v>72</v>
      </c>
      <c r="K120" s="34">
        <v>3</v>
      </c>
      <c r="L120" s="34">
        <v>10</v>
      </c>
      <c r="M120" s="34">
        <v>25</v>
      </c>
      <c r="N120" s="34"/>
      <c r="O120" s="34"/>
      <c r="P120" s="34"/>
      <c r="Q120" s="34"/>
      <c r="R120" s="34"/>
      <c r="S120" s="34"/>
      <c r="T120" s="34"/>
      <c r="U120" s="34"/>
      <c r="V120" s="34"/>
      <c r="W120" s="34"/>
      <c r="X120" s="34"/>
      <c r="Y120" s="34"/>
      <c r="Z120" s="34"/>
      <c r="AA120" s="34"/>
      <c r="AB120" s="34"/>
      <c r="AC120" s="34"/>
      <c r="AD120" s="34" t="s">
        <v>4</v>
      </c>
      <c r="AE120" s="34" t="s">
        <v>21</v>
      </c>
      <c r="AF120" s="34" t="s">
        <v>55</v>
      </c>
      <c r="AG120" s="34"/>
      <c r="AH120" s="36" t="str">
        <f>IF(B120="","",INDEX(التقرير!$P$31:$P$260,ROW()-4))</f>
        <v>بعيد</v>
      </c>
    </row>
    <row r="121" spans="1:34" x14ac:dyDescent="0.3">
      <c r="A121" s="29">
        <v>2571032636</v>
      </c>
      <c r="B121" s="30" t="s">
        <v>181</v>
      </c>
      <c r="C121" s="31" t="s">
        <v>10</v>
      </c>
      <c r="D121" s="32">
        <f t="shared" si="4"/>
        <v>117</v>
      </c>
      <c r="E121" s="31" t="s">
        <v>23</v>
      </c>
      <c r="F121" s="33"/>
      <c r="G121" s="34"/>
      <c r="H121" s="30" t="s">
        <v>23</v>
      </c>
      <c r="I121" s="35">
        <f t="shared" si="5"/>
        <v>62</v>
      </c>
      <c r="J121" s="34">
        <v>62</v>
      </c>
      <c r="K121" s="34">
        <v>0</v>
      </c>
      <c r="L121" s="34">
        <v>0</v>
      </c>
      <c r="M121" s="34">
        <v>0</v>
      </c>
      <c r="N121" s="34"/>
      <c r="O121" s="34"/>
      <c r="P121" s="34"/>
      <c r="Q121" s="34"/>
      <c r="R121" s="34"/>
      <c r="S121" s="34"/>
      <c r="T121" s="34"/>
      <c r="U121" s="34"/>
      <c r="V121" s="34"/>
      <c r="W121" s="34"/>
      <c r="X121" s="34"/>
      <c r="Y121" s="34"/>
      <c r="Z121" s="34"/>
      <c r="AA121" s="34"/>
      <c r="AB121" s="34"/>
      <c r="AC121" s="34"/>
      <c r="AD121" s="34"/>
      <c r="AE121" s="34" t="s">
        <v>21</v>
      </c>
      <c r="AF121" s="34" t="s">
        <v>133</v>
      </c>
      <c r="AG121" s="34"/>
      <c r="AH121" s="36" t="str">
        <f>IF(B121="","",INDEX(التقرير!$P$31:$P$260,ROW()-4))</f>
        <v>مستبعد (ترك العمل)</v>
      </c>
    </row>
    <row r="122" spans="1:34" hidden="1" x14ac:dyDescent="0.3">
      <c r="A122" s="29"/>
      <c r="B122" s="30" t="s">
        <v>182</v>
      </c>
      <c r="C122" s="31" t="s">
        <v>10</v>
      </c>
      <c r="D122" s="32">
        <f t="shared" si="4"/>
        <v>118</v>
      </c>
      <c r="E122" s="31" t="s">
        <v>169</v>
      </c>
      <c r="F122" s="33"/>
      <c r="G122" s="34"/>
      <c r="H122" s="30"/>
      <c r="I122" s="35">
        <f t="shared" si="5"/>
        <v>81</v>
      </c>
      <c r="J122" s="34">
        <v>60</v>
      </c>
      <c r="K122" s="34">
        <v>8</v>
      </c>
      <c r="L122" s="34">
        <v>11</v>
      </c>
      <c r="M122" s="34">
        <v>10</v>
      </c>
      <c r="N122" s="34"/>
      <c r="O122" s="34"/>
      <c r="P122" s="34"/>
      <c r="Q122" s="34"/>
      <c r="R122" s="34"/>
      <c r="S122" s="34"/>
      <c r="T122" s="34"/>
      <c r="U122" s="34"/>
      <c r="V122" s="34"/>
      <c r="W122" s="34"/>
      <c r="X122" s="34"/>
      <c r="Y122" s="34"/>
      <c r="Z122" s="34"/>
      <c r="AA122" s="34"/>
      <c r="AB122" s="34"/>
      <c r="AC122" s="34"/>
      <c r="AD122" s="34" t="s">
        <v>4</v>
      </c>
      <c r="AE122" s="34" t="s">
        <v>21</v>
      </c>
      <c r="AF122" s="34" t="s">
        <v>55</v>
      </c>
      <c r="AG122" s="34"/>
      <c r="AH122" s="36" t="str">
        <f>IF(B122="","",INDEX(التقرير!$P$31:$P$260,ROW()-4))</f>
        <v>بعيد</v>
      </c>
    </row>
    <row r="123" spans="1:34" x14ac:dyDescent="0.3">
      <c r="A123" s="29">
        <v>2527650747</v>
      </c>
      <c r="B123" s="30" t="s">
        <v>183</v>
      </c>
      <c r="C123" s="31" t="s">
        <v>10</v>
      </c>
      <c r="D123" s="32">
        <f t="shared" si="4"/>
        <v>119</v>
      </c>
      <c r="E123" s="31" t="s">
        <v>23</v>
      </c>
      <c r="F123" s="33"/>
      <c r="G123" s="34"/>
      <c r="H123" s="30" t="s">
        <v>23</v>
      </c>
      <c r="I123" s="35">
        <f t="shared" si="5"/>
        <v>59</v>
      </c>
      <c r="J123" s="34">
        <v>59</v>
      </c>
      <c r="K123" s="34">
        <v>0</v>
      </c>
      <c r="L123" s="34">
        <v>0</v>
      </c>
      <c r="M123" s="34">
        <v>0</v>
      </c>
      <c r="N123" s="34"/>
      <c r="O123" s="34"/>
      <c r="P123" s="34"/>
      <c r="Q123" s="34"/>
      <c r="R123" s="34"/>
      <c r="S123" s="34"/>
      <c r="T123" s="34"/>
      <c r="U123" s="34"/>
      <c r="V123" s="34"/>
      <c r="W123" s="34"/>
      <c r="X123" s="34"/>
      <c r="Y123" s="34"/>
      <c r="Z123" s="34"/>
      <c r="AA123" s="34"/>
      <c r="AB123" s="34"/>
      <c r="AC123" s="34"/>
      <c r="AD123" s="34"/>
      <c r="AE123" s="34" t="s">
        <v>21</v>
      </c>
      <c r="AF123" s="34" t="s">
        <v>133</v>
      </c>
      <c r="AG123" s="34"/>
      <c r="AH123" s="36" t="str">
        <f>IF(B123="","",INDEX(التقرير!$P$31:$P$260,ROW()-4))</f>
        <v>مستبعد (ترك العمل)</v>
      </c>
    </row>
    <row r="124" spans="1:34" hidden="1" x14ac:dyDescent="0.3">
      <c r="A124" s="29"/>
      <c r="B124" s="30" t="s">
        <v>184</v>
      </c>
      <c r="C124" s="31" t="s">
        <v>10</v>
      </c>
      <c r="D124" s="32">
        <f t="shared" si="4"/>
        <v>120</v>
      </c>
      <c r="E124" s="31" t="s">
        <v>169</v>
      </c>
      <c r="F124" s="33"/>
      <c r="G124" s="34"/>
      <c r="H124" s="30"/>
      <c r="I124" s="35">
        <f t="shared" si="5"/>
        <v>75</v>
      </c>
      <c r="J124" s="34">
        <v>57</v>
      </c>
      <c r="K124" s="34">
        <v>0</v>
      </c>
      <c r="L124" s="34">
        <v>10</v>
      </c>
      <c r="M124" s="34">
        <v>8</v>
      </c>
      <c r="N124" s="34"/>
      <c r="O124" s="34"/>
      <c r="P124" s="34"/>
      <c r="Q124" s="34"/>
      <c r="R124" s="34"/>
      <c r="S124" s="34"/>
      <c r="T124" s="34"/>
      <c r="U124" s="34"/>
      <c r="V124" s="34"/>
      <c r="W124" s="34"/>
      <c r="X124" s="34"/>
      <c r="Y124" s="34"/>
      <c r="Z124" s="34"/>
      <c r="AA124" s="34"/>
      <c r="AB124" s="34"/>
      <c r="AC124" s="34"/>
      <c r="AD124" s="34" t="s">
        <v>4</v>
      </c>
      <c r="AE124" s="34" t="s">
        <v>21</v>
      </c>
      <c r="AF124" s="34" t="s">
        <v>55</v>
      </c>
      <c r="AG124" s="34"/>
      <c r="AH124" s="36" t="str">
        <f>IF(B124="","",INDEX(التقرير!$P$31:$P$260,ROW()-4))</f>
        <v>بعيد</v>
      </c>
    </row>
    <row r="125" spans="1:34" x14ac:dyDescent="0.3">
      <c r="A125" s="29">
        <v>2015321132</v>
      </c>
      <c r="B125" s="30" t="s">
        <v>185</v>
      </c>
      <c r="C125" s="31" t="s">
        <v>8</v>
      </c>
      <c r="D125" s="32">
        <f t="shared" si="4"/>
        <v>121</v>
      </c>
      <c r="E125" s="31"/>
      <c r="F125" s="33"/>
      <c r="G125" s="34"/>
      <c r="H125" s="30" t="s">
        <v>23</v>
      </c>
      <c r="I125" s="35">
        <f t="shared" si="5"/>
        <v>0</v>
      </c>
      <c r="J125" s="34"/>
      <c r="K125" s="34"/>
      <c r="L125" s="34"/>
      <c r="M125" s="34"/>
      <c r="N125" s="34"/>
      <c r="O125" s="34"/>
      <c r="P125" s="34"/>
      <c r="Q125" s="34"/>
      <c r="R125" s="34"/>
      <c r="S125" s="34"/>
      <c r="T125" s="34"/>
      <c r="U125" s="34"/>
      <c r="V125" s="34"/>
      <c r="W125" s="34"/>
      <c r="X125" s="34"/>
      <c r="Y125" s="34"/>
      <c r="Z125" s="34"/>
      <c r="AA125" s="34"/>
      <c r="AB125" s="34"/>
      <c r="AC125" s="34"/>
      <c r="AD125" s="34" t="s">
        <v>11</v>
      </c>
      <c r="AE125" s="34" t="s">
        <v>186</v>
      </c>
      <c r="AF125" s="34" t="s">
        <v>55</v>
      </c>
      <c r="AG125" s="34"/>
      <c r="AH125" s="36" t="str">
        <f>IF(B125="","",INDEX(التقرير!$P$31:$P$260,ROW()-4))</f>
        <v>بعيد</v>
      </c>
    </row>
    <row r="126" spans="1:34" x14ac:dyDescent="0.3">
      <c r="A126" s="29">
        <v>2548468749</v>
      </c>
      <c r="B126" s="30" t="s">
        <v>187</v>
      </c>
      <c r="C126" s="31" t="s">
        <v>7</v>
      </c>
      <c r="D126" s="32">
        <f t="shared" si="4"/>
        <v>122</v>
      </c>
      <c r="E126" s="31" t="s">
        <v>58</v>
      </c>
      <c r="F126" s="33">
        <v>45351</v>
      </c>
      <c r="G126" s="34"/>
      <c r="H126" s="30" t="s">
        <v>188</v>
      </c>
      <c r="I126" s="35">
        <f t="shared" si="5"/>
        <v>78</v>
      </c>
      <c r="J126" s="34">
        <v>57</v>
      </c>
      <c r="K126" s="34">
        <v>15</v>
      </c>
      <c r="L126" s="34">
        <v>8</v>
      </c>
      <c r="M126" s="34">
        <v>13</v>
      </c>
      <c r="N126" s="34"/>
      <c r="O126" s="34"/>
      <c r="P126" s="34"/>
      <c r="Q126" s="34"/>
      <c r="R126" s="34"/>
      <c r="S126" s="34"/>
      <c r="T126" s="34"/>
      <c r="U126" s="34"/>
      <c r="V126" s="34"/>
      <c r="W126" s="34"/>
      <c r="X126" s="34"/>
      <c r="Y126" s="34"/>
      <c r="Z126" s="34"/>
      <c r="AA126" s="34"/>
      <c r="AB126" s="34"/>
      <c r="AC126" s="34"/>
      <c r="AD126" s="34" t="s">
        <v>11</v>
      </c>
      <c r="AE126" s="34" t="s">
        <v>22</v>
      </c>
      <c r="AF126" s="34" t="s">
        <v>55</v>
      </c>
      <c r="AG126" s="34"/>
      <c r="AH126" s="36" t="str">
        <f>IF(B126="","",INDEX(التقرير!$P$31:$P$260,ROW()-4))</f>
        <v>امازون (شحنات)</v>
      </c>
    </row>
    <row r="127" spans="1:34" x14ac:dyDescent="0.3">
      <c r="A127" s="29">
        <v>2635559079</v>
      </c>
      <c r="B127" s="30" t="s">
        <v>189</v>
      </c>
      <c r="C127" s="31" t="s">
        <v>7</v>
      </c>
      <c r="D127" s="32">
        <f t="shared" si="4"/>
        <v>123</v>
      </c>
      <c r="E127" s="31" t="s">
        <v>58</v>
      </c>
      <c r="F127" s="33">
        <v>46132</v>
      </c>
      <c r="G127" s="34"/>
      <c r="H127" s="30" t="s">
        <v>188</v>
      </c>
      <c r="I127" s="35">
        <f t="shared" si="5"/>
        <v>30</v>
      </c>
      <c r="J127" s="34">
        <v>30</v>
      </c>
      <c r="K127" s="34">
        <v>0</v>
      </c>
      <c r="L127" s="34">
        <v>0</v>
      </c>
      <c r="M127" s="34">
        <v>0</v>
      </c>
      <c r="N127" s="34"/>
      <c r="O127" s="34"/>
      <c r="P127" s="34"/>
      <c r="Q127" s="34"/>
      <c r="R127" s="34"/>
      <c r="S127" s="34"/>
      <c r="T127" s="34"/>
      <c r="U127" s="34"/>
      <c r="V127" s="34"/>
      <c r="W127" s="34"/>
      <c r="X127" s="34"/>
      <c r="Y127" s="34"/>
      <c r="Z127" s="34"/>
      <c r="AA127" s="34"/>
      <c r="AB127" s="34"/>
      <c r="AC127" s="34"/>
      <c r="AD127" s="34" t="s">
        <v>11</v>
      </c>
      <c r="AE127" s="34" t="s">
        <v>22</v>
      </c>
      <c r="AF127" s="34" t="s">
        <v>55</v>
      </c>
      <c r="AG127" s="34"/>
      <c r="AH127" s="36" t="str">
        <f>IF(B127="","",INDEX(التقرير!$P$31:$P$260,ROW()-4))</f>
        <v>امازون (شحنات)</v>
      </c>
    </row>
    <row r="128" spans="1:34" x14ac:dyDescent="0.3">
      <c r="A128" s="29">
        <v>2586503613</v>
      </c>
      <c r="B128" s="30" t="s">
        <v>190</v>
      </c>
      <c r="C128" s="31" t="s">
        <v>7</v>
      </c>
      <c r="D128" s="32">
        <f t="shared" si="4"/>
        <v>124</v>
      </c>
      <c r="E128" s="31"/>
      <c r="F128" s="33">
        <v>45924</v>
      </c>
      <c r="G128" s="34"/>
      <c r="H128" s="30"/>
      <c r="I128" s="35">
        <f t="shared" si="5"/>
        <v>0</v>
      </c>
      <c r="J128" s="34"/>
      <c r="K128" s="34"/>
      <c r="L128" s="34"/>
      <c r="M128" s="34"/>
      <c r="N128" s="34"/>
      <c r="O128" s="34"/>
      <c r="P128" s="34"/>
      <c r="Q128" s="34"/>
      <c r="R128" s="34"/>
      <c r="S128" s="34"/>
      <c r="T128" s="34"/>
      <c r="U128" s="34"/>
      <c r="V128" s="34"/>
      <c r="W128" s="34"/>
      <c r="X128" s="34"/>
      <c r="Y128" s="34"/>
      <c r="Z128" s="34"/>
      <c r="AA128" s="34"/>
      <c r="AB128" s="34"/>
      <c r="AC128" s="34"/>
      <c r="AD128" s="34" t="s">
        <v>11</v>
      </c>
      <c r="AE128" s="34" t="s">
        <v>22</v>
      </c>
      <c r="AF128" s="34" t="s">
        <v>55</v>
      </c>
      <c r="AG128" s="34"/>
      <c r="AH128" s="36" t="str">
        <f>IF(B128="","",INDEX(التقرير!$P$31:$P$260,ROW()-4))</f>
        <v>امازون (شحنات)</v>
      </c>
    </row>
    <row r="129" spans="1:34" ht="27.6" x14ac:dyDescent="0.3">
      <c r="A129" s="29">
        <v>2562202172</v>
      </c>
      <c r="B129" s="30" t="s">
        <v>191</v>
      </c>
      <c r="C129" s="31" t="s">
        <v>7</v>
      </c>
      <c r="D129" s="32">
        <f t="shared" si="4"/>
        <v>125</v>
      </c>
      <c r="E129" s="31"/>
      <c r="F129" s="33">
        <v>45351</v>
      </c>
      <c r="G129" s="34"/>
      <c r="H129" s="30"/>
      <c r="I129" s="35">
        <f t="shared" si="5"/>
        <v>0</v>
      </c>
      <c r="J129" s="34"/>
      <c r="K129" s="34"/>
      <c r="L129" s="34"/>
      <c r="M129" s="34"/>
      <c r="N129" s="34"/>
      <c r="O129" s="34"/>
      <c r="P129" s="34"/>
      <c r="Q129" s="34"/>
      <c r="R129" s="34"/>
      <c r="S129" s="34"/>
      <c r="T129" s="34"/>
      <c r="U129" s="34"/>
      <c r="V129" s="34"/>
      <c r="W129" s="34"/>
      <c r="X129" s="34"/>
      <c r="Y129" s="34"/>
      <c r="Z129" s="34"/>
      <c r="AA129" s="34"/>
      <c r="AB129" s="34"/>
      <c r="AC129" s="34"/>
      <c r="AD129" s="34" t="s">
        <v>11</v>
      </c>
      <c r="AE129" s="34" t="s">
        <v>22</v>
      </c>
      <c r="AF129" s="34" t="s">
        <v>55</v>
      </c>
      <c r="AG129" s="34"/>
      <c r="AH129" s="36" t="str">
        <f>IF(B129="","",INDEX(التقرير!$P$31:$P$260,ROW()-4))</f>
        <v>امازون (شحنات)</v>
      </c>
    </row>
    <row r="130" spans="1:34" ht="27.6" x14ac:dyDescent="0.3">
      <c r="A130" s="29">
        <v>2561738671</v>
      </c>
      <c r="B130" s="30" t="s">
        <v>192</v>
      </c>
      <c r="C130" s="31" t="s">
        <v>7</v>
      </c>
      <c r="D130" s="32">
        <f t="shared" si="4"/>
        <v>126</v>
      </c>
      <c r="E130" s="31"/>
      <c r="F130" s="33">
        <v>45382</v>
      </c>
      <c r="G130" s="34"/>
      <c r="H130" s="30"/>
      <c r="I130" s="35">
        <f t="shared" si="5"/>
        <v>0</v>
      </c>
      <c r="J130" s="34"/>
      <c r="K130" s="34"/>
      <c r="L130" s="34"/>
      <c r="M130" s="34"/>
      <c r="N130" s="34"/>
      <c r="O130" s="34"/>
      <c r="P130" s="34"/>
      <c r="Q130" s="34"/>
      <c r="R130" s="34"/>
      <c r="S130" s="34"/>
      <c r="T130" s="34"/>
      <c r="U130" s="34"/>
      <c r="V130" s="34"/>
      <c r="W130" s="34"/>
      <c r="X130" s="34"/>
      <c r="Y130" s="34"/>
      <c r="Z130" s="34"/>
      <c r="AA130" s="34"/>
      <c r="AB130" s="34"/>
      <c r="AC130" s="34"/>
      <c r="AD130" s="34" t="s">
        <v>11</v>
      </c>
      <c r="AE130" s="34" t="s">
        <v>22</v>
      </c>
      <c r="AF130" s="34" t="s">
        <v>55</v>
      </c>
      <c r="AG130" s="34"/>
      <c r="AH130" s="36" t="str">
        <f>IF(B130="","",INDEX(التقرير!$P$31:$P$260,ROW()-4))</f>
        <v>امازون (شحنات)</v>
      </c>
    </row>
    <row r="131" spans="1:34" ht="27.6" x14ac:dyDescent="0.3">
      <c r="A131" s="29">
        <v>2560883593</v>
      </c>
      <c r="B131" s="30" t="s">
        <v>193</v>
      </c>
      <c r="C131" s="31" t="s">
        <v>7</v>
      </c>
      <c r="D131" s="32">
        <f t="shared" si="4"/>
        <v>127</v>
      </c>
      <c r="E131" s="31"/>
      <c r="F131" s="33">
        <v>45351</v>
      </c>
      <c r="G131" s="34"/>
      <c r="H131" s="30"/>
      <c r="I131" s="35">
        <f t="shared" si="5"/>
        <v>0</v>
      </c>
      <c r="J131" s="34"/>
      <c r="K131" s="34"/>
      <c r="L131" s="34"/>
      <c r="M131" s="34"/>
      <c r="N131" s="34"/>
      <c r="O131" s="34"/>
      <c r="P131" s="34"/>
      <c r="Q131" s="34"/>
      <c r="R131" s="34"/>
      <c r="S131" s="34"/>
      <c r="T131" s="34"/>
      <c r="U131" s="34"/>
      <c r="V131" s="34"/>
      <c r="W131" s="34"/>
      <c r="X131" s="34"/>
      <c r="Y131" s="34"/>
      <c r="Z131" s="34"/>
      <c r="AA131" s="34"/>
      <c r="AB131" s="34"/>
      <c r="AC131" s="34"/>
      <c r="AD131" s="34" t="s">
        <v>11</v>
      </c>
      <c r="AE131" s="34" t="s">
        <v>22</v>
      </c>
      <c r="AF131" s="34" t="s">
        <v>55</v>
      </c>
      <c r="AG131" s="34"/>
      <c r="AH131" s="36" t="str">
        <f>IF(B131="","",INDEX(التقرير!$P$31:$P$260,ROW()-4))</f>
        <v>امازون (شحنات)</v>
      </c>
    </row>
    <row r="132" spans="1:34" ht="27.6" x14ac:dyDescent="0.3">
      <c r="A132" s="29">
        <v>2562203287</v>
      </c>
      <c r="B132" s="30" t="s">
        <v>194</v>
      </c>
      <c r="C132" s="31" t="s">
        <v>7</v>
      </c>
      <c r="D132" s="32">
        <f t="shared" si="4"/>
        <v>128</v>
      </c>
      <c r="E132" s="31"/>
      <c r="F132" s="33">
        <v>45351</v>
      </c>
      <c r="G132" s="34"/>
      <c r="H132" s="30"/>
      <c r="I132" s="35">
        <f t="shared" si="5"/>
        <v>0</v>
      </c>
      <c r="J132" s="34"/>
      <c r="K132" s="34"/>
      <c r="L132" s="34"/>
      <c r="M132" s="34"/>
      <c r="N132" s="34"/>
      <c r="O132" s="34"/>
      <c r="P132" s="34"/>
      <c r="Q132" s="34"/>
      <c r="R132" s="34"/>
      <c r="S132" s="34"/>
      <c r="T132" s="34"/>
      <c r="U132" s="34"/>
      <c r="V132" s="34"/>
      <c r="W132" s="34"/>
      <c r="X132" s="34"/>
      <c r="Y132" s="34"/>
      <c r="Z132" s="34"/>
      <c r="AA132" s="34"/>
      <c r="AB132" s="34"/>
      <c r="AC132" s="34"/>
      <c r="AD132" s="34" t="s">
        <v>11</v>
      </c>
      <c r="AE132" s="34" t="s">
        <v>22</v>
      </c>
      <c r="AF132" s="34" t="s">
        <v>55</v>
      </c>
      <c r="AG132" s="34"/>
      <c r="AH132" s="36" t="str">
        <f>IF(B132="","",INDEX(التقرير!$P$31:$P$260,ROW()-4))</f>
        <v>امازون (شحنات)</v>
      </c>
    </row>
    <row r="133" spans="1:34" ht="27.6" x14ac:dyDescent="0.3">
      <c r="A133" s="29">
        <v>2566854838</v>
      </c>
      <c r="B133" s="30" t="s">
        <v>195</v>
      </c>
      <c r="C133" s="31" t="s">
        <v>7</v>
      </c>
      <c r="D133" s="32">
        <f t="shared" ref="D133:D196" si="6">IF(B133="","",ROW()-4)</f>
        <v>129</v>
      </c>
      <c r="E133" s="31"/>
      <c r="F133" s="33">
        <v>45891</v>
      </c>
      <c r="G133" s="34"/>
      <c r="H133" s="30"/>
      <c r="I133" s="35">
        <f t="shared" ref="I133:I196" si="7">IF(B133="","",J133+SUM(L133:AA133)+N(AC133))</f>
        <v>0</v>
      </c>
      <c r="J133" s="34"/>
      <c r="K133" s="34"/>
      <c r="L133" s="34"/>
      <c r="M133" s="34"/>
      <c r="N133" s="34"/>
      <c r="O133" s="34"/>
      <c r="P133" s="34"/>
      <c r="Q133" s="34"/>
      <c r="R133" s="34"/>
      <c r="S133" s="34"/>
      <c r="T133" s="34"/>
      <c r="U133" s="34"/>
      <c r="V133" s="34"/>
      <c r="W133" s="34"/>
      <c r="X133" s="34"/>
      <c r="Y133" s="34"/>
      <c r="Z133" s="34"/>
      <c r="AA133" s="34"/>
      <c r="AB133" s="34"/>
      <c r="AC133" s="34"/>
      <c r="AD133" s="34" t="s">
        <v>11</v>
      </c>
      <c r="AE133" s="34" t="s">
        <v>22</v>
      </c>
      <c r="AF133" s="34" t="s">
        <v>55</v>
      </c>
      <c r="AG133" s="34"/>
      <c r="AH133" s="36" t="str">
        <f>IF(B133="","",INDEX(التقرير!$P$31:$P$260,ROW()-4))</f>
        <v>امازون (شحنات)</v>
      </c>
    </row>
    <row r="134" spans="1:34" x14ac:dyDescent="0.3">
      <c r="A134" s="29">
        <v>2588700811</v>
      </c>
      <c r="B134" s="30" t="s">
        <v>196</v>
      </c>
      <c r="C134" s="31" t="s">
        <v>7</v>
      </c>
      <c r="D134" s="32">
        <f t="shared" si="6"/>
        <v>130</v>
      </c>
      <c r="E134" s="31"/>
      <c r="F134" s="33">
        <v>45908</v>
      </c>
      <c r="G134" s="34"/>
      <c r="H134" s="30"/>
      <c r="I134" s="35">
        <f t="shared" si="7"/>
        <v>0</v>
      </c>
      <c r="J134" s="34"/>
      <c r="K134" s="34"/>
      <c r="L134" s="34"/>
      <c r="M134" s="34"/>
      <c r="N134" s="34"/>
      <c r="O134" s="34"/>
      <c r="P134" s="34"/>
      <c r="Q134" s="34"/>
      <c r="R134" s="34"/>
      <c r="S134" s="34"/>
      <c r="T134" s="34"/>
      <c r="U134" s="34"/>
      <c r="V134" s="34"/>
      <c r="W134" s="34"/>
      <c r="X134" s="34"/>
      <c r="Y134" s="34"/>
      <c r="Z134" s="34"/>
      <c r="AA134" s="34"/>
      <c r="AB134" s="34"/>
      <c r="AC134" s="34"/>
      <c r="AD134" s="34" t="s">
        <v>11</v>
      </c>
      <c r="AE134" s="34" t="s">
        <v>22</v>
      </c>
      <c r="AF134" s="34" t="s">
        <v>55</v>
      </c>
      <c r="AG134" s="34"/>
      <c r="AH134" s="36" t="str">
        <f>IF(B134="","",INDEX(التقرير!$P$31:$P$260,ROW()-4))</f>
        <v>امازون (شحنات)</v>
      </c>
    </row>
    <row r="135" spans="1:34" x14ac:dyDescent="0.3">
      <c r="A135" s="29">
        <v>2586867471</v>
      </c>
      <c r="B135" s="30" t="s">
        <v>197</v>
      </c>
      <c r="C135" s="31" t="s">
        <v>7</v>
      </c>
      <c r="D135" s="32">
        <f t="shared" si="6"/>
        <v>131</v>
      </c>
      <c r="E135" s="31"/>
      <c r="F135" s="33">
        <v>46079</v>
      </c>
      <c r="G135" s="34"/>
      <c r="H135" s="30"/>
      <c r="I135" s="35">
        <f t="shared" si="7"/>
        <v>0</v>
      </c>
      <c r="J135" s="34"/>
      <c r="K135" s="34"/>
      <c r="L135" s="34"/>
      <c r="M135" s="34"/>
      <c r="N135" s="34"/>
      <c r="O135" s="34"/>
      <c r="P135" s="34"/>
      <c r="Q135" s="34"/>
      <c r="R135" s="34"/>
      <c r="S135" s="34"/>
      <c r="T135" s="34"/>
      <c r="U135" s="34"/>
      <c r="V135" s="34"/>
      <c r="W135" s="34"/>
      <c r="X135" s="34"/>
      <c r="Y135" s="34"/>
      <c r="Z135" s="34"/>
      <c r="AA135" s="34"/>
      <c r="AB135" s="34"/>
      <c r="AC135" s="34"/>
      <c r="AD135" s="34" t="s">
        <v>11</v>
      </c>
      <c r="AE135" s="34" t="s">
        <v>22</v>
      </c>
      <c r="AF135" s="34" t="s">
        <v>55</v>
      </c>
      <c r="AG135" s="34"/>
      <c r="AH135" s="36" t="str">
        <f>IF(B135="","",INDEX(التقرير!$P$31:$P$260,ROW()-4))</f>
        <v>امازون (شحنات)</v>
      </c>
    </row>
    <row r="136" spans="1:34" x14ac:dyDescent="0.3">
      <c r="A136" s="29">
        <v>2556809404</v>
      </c>
      <c r="B136" s="30" t="s">
        <v>198</v>
      </c>
      <c r="C136" s="31" t="s">
        <v>7</v>
      </c>
      <c r="D136" s="32">
        <f t="shared" si="6"/>
        <v>132</v>
      </c>
      <c r="E136" s="31"/>
      <c r="F136" s="33">
        <v>45924</v>
      </c>
      <c r="G136" s="34"/>
      <c r="H136" s="30"/>
      <c r="I136" s="35">
        <f t="shared" si="7"/>
        <v>0</v>
      </c>
      <c r="J136" s="34"/>
      <c r="K136" s="34"/>
      <c r="L136" s="34"/>
      <c r="M136" s="34"/>
      <c r="N136" s="34"/>
      <c r="O136" s="34"/>
      <c r="P136" s="34"/>
      <c r="Q136" s="34"/>
      <c r="R136" s="34"/>
      <c r="S136" s="34"/>
      <c r="T136" s="34"/>
      <c r="U136" s="34"/>
      <c r="V136" s="34"/>
      <c r="W136" s="34"/>
      <c r="X136" s="34"/>
      <c r="Y136" s="34"/>
      <c r="Z136" s="34"/>
      <c r="AA136" s="34"/>
      <c r="AB136" s="34"/>
      <c r="AC136" s="34"/>
      <c r="AD136" s="34" t="s">
        <v>11</v>
      </c>
      <c r="AE136" s="34" t="s">
        <v>22</v>
      </c>
      <c r="AF136" s="34" t="s">
        <v>55</v>
      </c>
      <c r="AG136" s="34"/>
      <c r="AH136" s="36" t="str">
        <f>IF(B136="","",INDEX(التقرير!$P$31:$P$260,ROW()-4))</f>
        <v>امازون (شحنات)</v>
      </c>
    </row>
    <row r="137" spans="1:34" x14ac:dyDescent="0.3">
      <c r="A137" s="29">
        <v>2559106345</v>
      </c>
      <c r="B137" s="30" t="s">
        <v>199</v>
      </c>
      <c r="C137" s="31" t="s">
        <v>7</v>
      </c>
      <c r="D137" s="32">
        <f t="shared" si="6"/>
        <v>133</v>
      </c>
      <c r="E137" s="31"/>
      <c r="F137" s="33">
        <v>45382</v>
      </c>
      <c r="G137" s="34"/>
      <c r="H137" s="30"/>
      <c r="I137" s="35">
        <f t="shared" si="7"/>
        <v>0</v>
      </c>
      <c r="J137" s="34"/>
      <c r="K137" s="34"/>
      <c r="L137" s="34"/>
      <c r="M137" s="34"/>
      <c r="N137" s="34"/>
      <c r="O137" s="34"/>
      <c r="P137" s="34"/>
      <c r="Q137" s="34"/>
      <c r="R137" s="34"/>
      <c r="S137" s="34"/>
      <c r="T137" s="34"/>
      <c r="U137" s="34"/>
      <c r="V137" s="34"/>
      <c r="W137" s="34"/>
      <c r="X137" s="34"/>
      <c r="Y137" s="34"/>
      <c r="Z137" s="34"/>
      <c r="AA137" s="34"/>
      <c r="AB137" s="34"/>
      <c r="AC137" s="34"/>
      <c r="AD137" s="34" t="s">
        <v>11</v>
      </c>
      <c r="AE137" s="34" t="s">
        <v>22</v>
      </c>
      <c r="AF137" s="34" t="s">
        <v>55</v>
      </c>
      <c r="AG137" s="34"/>
      <c r="AH137" s="36" t="str">
        <f>IF(B137="","",INDEX(التقرير!$P$31:$P$260,ROW()-4))</f>
        <v>امازون (شحنات)</v>
      </c>
    </row>
    <row r="138" spans="1:34" x14ac:dyDescent="0.3">
      <c r="A138" s="29">
        <v>2594515492</v>
      </c>
      <c r="B138" s="30" t="s">
        <v>200</v>
      </c>
      <c r="C138" s="31" t="s">
        <v>7</v>
      </c>
      <c r="D138" s="32">
        <f t="shared" si="6"/>
        <v>134</v>
      </c>
      <c r="E138" s="31"/>
      <c r="F138" s="33">
        <v>46138</v>
      </c>
      <c r="G138" s="34"/>
      <c r="H138" s="30"/>
      <c r="I138" s="35">
        <f t="shared" si="7"/>
        <v>0</v>
      </c>
      <c r="J138" s="34"/>
      <c r="K138" s="34"/>
      <c r="L138" s="34"/>
      <c r="M138" s="34"/>
      <c r="N138" s="34"/>
      <c r="O138" s="34"/>
      <c r="P138" s="34"/>
      <c r="Q138" s="34"/>
      <c r="R138" s="34"/>
      <c r="S138" s="34"/>
      <c r="T138" s="34"/>
      <c r="U138" s="34"/>
      <c r="V138" s="34"/>
      <c r="W138" s="34"/>
      <c r="X138" s="34"/>
      <c r="Y138" s="34"/>
      <c r="Z138" s="34"/>
      <c r="AA138" s="34"/>
      <c r="AB138" s="34"/>
      <c r="AC138" s="34"/>
      <c r="AD138" s="34" t="s">
        <v>11</v>
      </c>
      <c r="AE138" s="34" t="s">
        <v>22</v>
      </c>
      <c r="AF138" s="34" t="s">
        <v>55</v>
      </c>
      <c r="AG138" s="34"/>
      <c r="AH138" s="36" t="str">
        <f>IF(B138="","",INDEX(التقرير!$P$31:$P$260,ROW()-4))</f>
        <v>امازون (شحنات)</v>
      </c>
    </row>
    <row r="139" spans="1:34" x14ac:dyDescent="0.3">
      <c r="A139" s="29">
        <v>2594102754</v>
      </c>
      <c r="B139" s="30" t="s">
        <v>201</v>
      </c>
      <c r="C139" s="31" t="s">
        <v>7</v>
      </c>
      <c r="D139" s="32">
        <f t="shared" si="6"/>
        <v>135</v>
      </c>
      <c r="E139" s="31"/>
      <c r="F139" s="33">
        <v>46077</v>
      </c>
      <c r="G139" s="34"/>
      <c r="H139" s="30"/>
      <c r="I139" s="35">
        <f t="shared" si="7"/>
        <v>0</v>
      </c>
      <c r="J139" s="34"/>
      <c r="K139" s="34"/>
      <c r="L139" s="34"/>
      <c r="M139" s="34"/>
      <c r="N139" s="34"/>
      <c r="O139" s="34"/>
      <c r="P139" s="34"/>
      <c r="Q139" s="34"/>
      <c r="R139" s="34"/>
      <c r="S139" s="34"/>
      <c r="T139" s="34"/>
      <c r="U139" s="34"/>
      <c r="V139" s="34"/>
      <c r="W139" s="34"/>
      <c r="X139" s="34"/>
      <c r="Y139" s="34"/>
      <c r="Z139" s="34"/>
      <c r="AA139" s="34"/>
      <c r="AB139" s="34"/>
      <c r="AC139" s="34"/>
      <c r="AD139" s="34" t="s">
        <v>11</v>
      </c>
      <c r="AE139" s="34" t="s">
        <v>22</v>
      </c>
      <c r="AF139" s="34" t="s">
        <v>55</v>
      </c>
      <c r="AG139" s="34"/>
      <c r="AH139" s="36" t="str">
        <f>IF(B139="","",INDEX(التقرير!$P$31:$P$260,ROW()-4))</f>
        <v>امازون (شحنات)</v>
      </c>
    </row>
    <row r="140" spans="1:34" x14ac:dyDescent="0.3">
      <c r="A140" s="29">
        <v>2585189612</v>
      </c>
      <c r="B140" s="30" t="s">
        <v>202</v>
      </c>
      <c r="C140" s="31" t="s">
        <v>7</v>
      </c>
      <c r="D140" s="32">
        <f t="shared" si="6"/>
        <v>136</v>
      </c>
      <c r="E140" s="31"/>
      <c r="F140" s="33">
        <v>46070</v>
      </c>
      <c r="G140" s="34"/>
      <c r="H140" s="30"/>
      <c r="I140" s="35">
        <f t="shared" si="7"/>
        <v>0</v>
      </c>
      <c r="J140" s="34"/>
      <c r="K140" s="34"/>
      <c r="L140" s="34"/>
      <c r="M140" s="34"/>
      <c r="N140" s="34"/>
      <c r="O140" s="34"/>
      <c r="P140" s="34"/>
      <c r="Q140" s="34"/>
      <c r="R140" s="34"/>
      <c r="S140" s="34"/>
      <c r="T140" s="34"/>
      <c r="U140" s="34"/>
      <c r="V140" s="34"/>
      <c r="W140" s="34"/>
      <c r="X140" s="34"/>
      <c r="Y140" s="34"/>
      <c r="Z140" s="34"/>
      <c r="AA140" s="34"/>
      <c r="AB140" s="34"/>
      <c r="AC140" s="34"/>
      <c r="AD140" s="34" t="s">
        <v>11</v>
      </c>
      <c r="AE140" s="34" t="s">
        <v>22</v>
      </c>
      <c r="AF140" s="34" t="s">
        <v>55</v>
      </c>
      <c r="AG140" s="34"/>
      <c r="AH140" s="36" t="str">
        <f>IF(B140="","",INDEX(التقرير!$P$31:$P$260,ROW()-4))</f>
        <v>امازون (شحنات)</v>
      </c>
    </row>
    <row r="141" spans="1:34" ht="27.6" x14ac:dyDescent="0.3">
      <c r="A141" s="29">
        <v>2559107137</v>
      </c>
      <c r="B141" s="30" t="s">
        <v>203</v>
      </c>
      <c r="C141" s="31" t="s">
        <v>7</v>
      </c>
      <c r="D141" s="32">
        <f t="shared" si="6"/>
        <v>137</v>
      </c>
      <c r="E141" s="31"/>
      <c r="F141" s="33">
        <v>45382</v>
      </c>
      <c r="G141" s="34"/>
      <c r="H141" s="30"/>
      <c r="I141" s="35">
        <f t="shared" si="7"/>
        <v>0</v>
      </c>
      <c r="J141" s="34"/>
      <c r="K141" s="34"/>
      <c r="L141" s="34"/>
      <c r="M141" s="34"/>
      <c r="N141" s="34"/>
      <c r="O141" s="34"/>
      <c r="P141" s="34"/>
      <c r="Q141" s="34"/>
      <c r="R141" s="34"/>
      <c r="S141" s="34"/>
      <c r="T141" s="34"/>
      <c r="U141" s="34"/>
      <c r="V141" s="34"/>
      <c r="W141" s="34"/>
      <c r="X141" s="34"/>
      <c r="Y141" s="34"/>
      <c r="Z141" s="34"/>
      <c r="AA141" s="34"/>
      <c r="AB141" s="34"/>
      <c r="AC141" s="34"/>
      <c r="AD141" s="34" t="s">
        <v>11</v>
      </c>
      <c r="AE141" s="34" t="s">
        <v>22</v>
      </c>
      <c r="AF141" s="34" t="s">
        <v>55</v>
      </c>
      <c r="AG141" s="34"/>
      <c r="AH141" s="36" t="str">
        <f>IF(B141="","",INDEX(التقرير!$P$31:$P$260,ROW()-4))</f>
        <v>امازون (شحنات)</v>
      </c>
    </row>
    <row r="142" spans="1:34" ht="27.6" x14ac:dyDescent="0.3">
      <c r="A142" s="29">
        <v>2558834301</v>
      </c>
      <c r="B142" s="30" t="s">
        <v>204</v>
      </c>
      <c r="C142" s="31" t="s">
        <v>7</v>
      </c>
      <c r="D142" s="32">
        <f t="shared" si="6"/>
        <v>138</v>
      </c>
      <c r="E142" s="31"/>
      <c r="F142" s="33">
        <v>45890</v>
      </c>
      <c r="G142" s="34"/>
      <c r="H142" s="30"/>
      <c r="I142" s="35">
        <f t="shared" si="7"/>
        <v>0</v>
      </c>
      <c r="J142" s="34"/>
      <c r="K142" s="34"/>
      <c r="L142" s="34"/>
      <c r="M142" s="34"/>
      <c r="N142" s="34"/>
      <c r="O142" s="34"/>
      <c r="P142" s="34"/>
      <c r="Q142" s="34"/>
      <c r="R142" s="34"/>
      <c r="S142" s="34"/>
      <c r="T142" s="34"/>
      <c r="U142" s="34"/>
      <c r="V142" s="34"/>
      <c r="W142" s="34"/>
      <c r="X142" s="34"/>
      <c r="Y142" s="34"/>
      <c r="Z142" s="34"/>
      <c r="AA142" s="34"/>
      <c r="AB142" s="34"/>
      <c r="AC142" s="34"/>
      <c r="AD142" s="34" t="s">
        <v>11</v>
      </c>
      <c r="AE142" s="34" t="s">
        <v>22</v>
      </c>
      <c r="AF142" s="34" t="s">
        <v>55</v>
      </c>
      <c r="AG142" s="34"/>
      <c r="AH142" s="36" t="str">
        <f>IF(B142="","",INDEX(التقرير!$P$31:$P$260,ROW()-4))</f>
        <v>امازون (شحنات)</v>
      </c>
    </row>
    <row r="143" spans="1:34" ht="27.6" x14ac:dyDescent="0.3">
      <c r="A143" s="29">
        <v>2558830671</v>
      </c>
      <c r="B143" s="30" t="s">
        <v>205</v>
      </c>
      <c r="C143" s="31" t="s">
        <v>7</v>
      </c>
      <c r="D143" s="32">
        <f t="shared" si="6"/>
        <v>139</v>
      </c>
      <c r="E143" s="31"/>
      <c r="F143" s="33">
        <v>45924</v>
      </c>
      <c r="G143" s="34"/>
      <c r="H143" s="30"/>
      <c r="I143" s="35">
        <f t="shared" si="7"/>
        <v>0</v>
      </c>
      <c r="J143" s="34"/>
      <c r="K143" s="34"/>
      <c r="L143" s="34"/>
      <c r="M143" s="34"/>
      <c r="N143" s="34"/>
      <c r="O143" s="34"/>
      <c r="P143" s="34"/>
      <c r="Q143" s="34"/>
      <c r="R143" s="34"/>
      <c r="S143" s="34"/>
      <c r="T143" s="34"/>
      <c r="U143" s="34"/>
      <c r="V143" s="34"/>
      <c r="W143" s="34"/>
      <c r="X143" s="34"/>
      <c r="Y143" s="34"/>
      <c r="Z143" s="34"/>
      <c r="AA143" s="34"/>
      <c r="AB143" s="34"/>
      <c r="AC143" s="34"/>
      <c r="AD143" s="34" t="s">
        <v>11</v>
      </c>
      <c r="AE143" s="34" t="s">
        <v>22</v>
      </c>
      <c r="AF143" s="34" t="s">
        <v>55</v>
      </c>
      <c r="AG143" s="34"/>
      <c r="AH143" s="36" t="str">
        <f>IF(B143="","",INDEX(التقرير!$P$31:$P$260,ROW()-4))</f>
        <v>امازون (شحنات)</v>
      </c>
    </row>
    <row r="144" spans="1:34" x14ac:dyDescent="0.3">
      <c r="A144" s="29">
        <v>2562717062</v>
      </c>
      <c r="B144" s="30" t="s">
        <v>206</v>
      </c>
      <c r="C144" s="31" t="s">
        <v>7</v>
      </c>
      <c r="D144" s="32">
        <f t="shared" si="6"/>
        <v>140</v>
      </c>
      <c r="E144" s="31"/>
      <c r="F144" s="33">
        <v>45382</v>
      </c>
      <c r="G144" s="34"/>
      <c r="H144" s="30"/>
      <c r="I144" s="35">
        <f t="shared" si="7"/>
        <v>0</v>
      </c>
      <c r="J144" s="34"/>
      <c r="K144" s="34"/>
      <c r="L144" s="34"/>
      <c r="M144" s="34"/>
      <c r="N144" s="34"/>
      <c r="O144" s="34"/>
      <c r="P144" s="34"/>
      <c r="Q144" s="34"/>
      <c r="R144" s="34"/>
      <c r="S144" s="34"/>
      <c r="T144" s="34"/>
      <c r="U144" s="34"/>
      <c r="V144" s="34"/>
      <c r="W144" s="34"/>
      <c r="X144" s="34"/>
      <c r="Y144" s="34"/>
      <c r="Z144" s="34"/>
      <c r="AA144" s="34"/>
      <c r="AB144" s="34"/>
      <c r="AC144" s="34"/>
      <c r="AD144" s="34" t="s">
        <v>11</v>
      </c>
      <c r="AE144" s="34" t="s">
        <v>22</v>
      </c>
      <c r="AF144" s="34" t="s">
        <v>55</v>
      </c>
      <c r="AG144" s="34"/>
      <c r="AH144" s="36" t="str">
        <f>IF(B144="","",INDEX(التقرير!$P$31:$P$260,ROW()-4))</f>
        <v>امازون (شحنات)</v>
      </c>
    </row>
    <row r="145" spans="1:34" ht="27.6" x14ac:dyDescent="0.3">
      <c r="A145" s="29">
        <v>2562206330</v>
      </c>
      <c r="B145" s="30" t="s">
        <v>207</v>
      </c>
      <c r="C145" s="31" t="s">
        <v>7</v>
      </c>
      <c r="D145" s="32">
        <f t="shared" si="6"/>
        <v>141</v>
      </c>
      <c r="E145" s="31"/>
      <c r="F145" s="33">
        <v>45382</v>
      </c>
      <c r="G145" s="34"/>
      <c r="H145" s="30"/>
      <c r="I145" s="35">
        <f t="shared" si="7"/>
        <v>0</v>
      </c>
      <c r="J145" s="34"/>
      <c r="K145" s="34"/>
      <c r="L145" s="34"/>
      <c r="M145" s="34"/>
      <c r="N145" s="34"/>
      <c r="O145" s="34"/>
      <c r="P145" s="34"/>
      <c r="Q145" s="34"/>
      <c r="R145" s="34"/>
      <c r="S145" s="34"/>
      <c r="T145" s="34"/>
      <c r="U145" s="34"/>
      <c r="V145" s="34"/>
      <c r="W145" s="34"/>
      <c r="X145" s="34"/>
      <c r="Y145" s="34"/>
      <c r="Z145" s="34"/>
      <c r="AA145" s="34"/>
      <c r="AB145" s="34"/>
      <c r="AC145" s="34"/>
      <c r="AD145" s="34" t="s">
        <v>11</v>
      </c>
      <c r="AE145" s="34" t="s">
        <v>22</v>
      </c>
      <c r="AF145" s="34" t="s">
        <v>55</v>
      </c>
      <c r="AG145" s="34"/>
      <c r="AH145" s="36" t="str">
        <f>IF(B145="","",INDEX(التقرير!$P$31:$P$260,ROW()-4))</f>
        <v>امازون (شحنات)</v>
      </c>
    </row>
    <row r="146" spans="1:34" ht="27.6" x14ac:dyDescent="0.3">
      <c r="A146" s="29">
        <v>2562205761</v>
      </c>
      <c r="B146" s="30" t="s">
        <v>208</v>
      </c>
      <c r="C146" s="31" t="s">
        <v>7</v>
      </c>
      <c r="D146" s="32">
        <f t="shared" si="6"/>
        <v>142</v>
      </c>
      <c r="E146" s="31"/>
      <c r="F146" s="33">
        <v>45382</v>
      </c>
      <c r="G146" s="34"/>
      <c r="H146" s="30"/>
      <c r="I146" s="35">
        <f t="shared" si="7"/>
        <v>0</v>
      </c>
      <c r="J146" s="34"/>
      <c r="K146" s="34"/>
      <c r="L146" s="34"/>
      <c r="M146" s="34"/>
      <c r="N146" s="34"/>
      <c r="O146" s="34"/>
      <c r="P146" s="34"/>
      <c r="Q146" s="34"/>
      <c r="R146" s="34"/>
      <c r="S146" s="34"/>
      <c r="T146" s="34"/>
      <c r="U146" s="34"/>
      <c r="V146" s="34"/>
      <c r="W146" s="34"/>
      <c r="X146" s="34"/>
      <c r="Y146" s="34"/>
      <c r="Z146" s="34"/>
      <c r="AA146" s="34"/>
      <c r="AB146" s="34"/>
      <c r="AC146" s="34"/>
      <c r="AD146" s="34" t="s">
        <v>11</v>
      </c>
      <c r="AE146" s="34" t="s">
        <v>22</v>
      </c>
      <c r="AF146" s="34" t="s">
        <v>55</v>
      </c>
      <c r="AG146" s="34"/>
      <c r="AH146" s="36" t="str">
        <f>IF(B146="","",INDEX(التقرير!$P$31:$P$260,ROW()-4))</f>
        <v>امازون (شحنات)</v>
      </c>
    </row>
    <row r="147" spans="1:34" ht="27.6" x14ac:dyDescent="0.3">
      <c r="A147" s="29">
        <v>2588700563</v>
      </c>
      <c r="B147" s="30" t="s">
        <v>209</v>
      </c>
      <c r="C147" s="31" t="s">
        <v>7</v>
      </c>
      <c r="D147" s="32">
        <f t="shared" si="6"/>
        <v>143</v>
      </c>
      <c r="E147" s="31"/>
      <c r="F147" s="33">
        <v>45890</v>
      </c>
      <c r="G147" s="34"/>
      <c r="H147" s="30"/>
      <c r="I147" s="35">
        <f t="shared" si="7"/>
        <v>0</v>
      </c>
      <c r="J147" s="34"/>
      <c r="K147" s="34"/>
      <c r="L147" s="34"/>
      <c r="M147" s="34"/>
      <c r="N147" s="34"/>
      <c r="O147" s="34"/>
      <c r="P147" s="34"/>
      <c r="Q147" s="34"/>
      <c r="R147" s="34"/>
      <c r="S147" s="34"/>
      <c r="T147" s="34"/>
      <c r="U147" s="34"/>
      <c r="V147" s="34"/>
      <c r="W147" s="34"/>
      <c r="X147" s="34"/>
      <c r="Y147" s="34"/>
      <c r="Z147" s="34"/>
      <c r="AA147" s="34"/>
      <c r="AB147" s="34"/>
      <c r="AC147" s="34"/>
      <c r="AD147" s="34" t="s">
        <v>11</v>
      </c>
      <c r="AE147" s="34" t="s">
        <v>22</v>
      </c>
      <c r="AF147" s="34" t="s">
        <v>24</v>
      </c>
      <c r="AG147" s="34"/>
      <c r="AH147" s="36" t="str">
        <f>IF(B147="","",INDEX(التقرير!$P$31:$P$260,ROW()-4))</f>
        <v>مستبعد (اجازة)</v>
      </c>
    </row>
    <row r="148" spans="1:34" x14ac:dyDescent="0.3">
      <c r="A148" s="29">
        <v>2564307250</v>
      </c>
      <c r="B148" s="30" t="s">
        <v>210</v>
      </c>
      <c r="C148" s="31" t="s">
        <v>7</v>
      </c>
      <c r="D148" s="32">
        <f t="shared" si="6"/>
        <v>144</v>
      </c>
      <c r="E148" s="31"/>
      <c r="F148" s="33">
        <v>45841</v>
      </c>
      <c r="G148" s="34"/>
      <c r="H148" s="30"/>
      <c r="I148" s="35">
        <f t="shared" si="7"/>
        <v>0</v>
      </c>
      <c r="J148" s="34"/>
      <c r="K148" s="34"/>
      <c r="L148" s="34"/>
      <c r="M148" s="34"/>
      <c r="N148" s="34"/>
      <c r="O148" s="34"/>
      <c r="P148" s="34"/>
      <c r="Q148" s="34"/>
      <c r="R148" s="34"/>
      <c r="S148" s="34"/>
      <c r="T148" s="34"/>
      <c r="U148" s="34"/>
      <c r="V148" s="34"/>
      <c r="W148" s="34"/>
      <c r="X148" s="34"/>
      <c r="Y148" s="34"/>
      <c r="Z148" s="34"/>
      <c r="AA148" s="34"/>
      <c r="AB148" s="34"/>
      <c r="AC148" s="34"/>
      <c r="AD148" s="34" t="s">
        <v>11</v>
      </c>
      <c r="AE148" s="34" t="s">
        <v>22</v>
      </c>
      <c r="AF148" s="34" t="s">
        <v>55</v>
      </c>
      <c r="AG148" s="34"/>
      <c r="AH148" s="36" t="str">
        <f>IF(B148="","",INDEX(التقرير!$P$31:$P$260,ROW()-4))</f>
        <v>امازون (شحنات)</v>
      </c>
    </row>
    <row r="149" spans="1:34" x14ac:dyDescent="0.3">
      <c r="A149" s="29">
        <v>2585780618</v>
      </c>
      <c r="B149" s="30" t="s">
        <v>211</v>
      </c>
      <c r="C149" s="31" t="s">
        <v>7</v>
      </c>
      <c r="D149" s="32">
        <f t="shared" si="6"/>
        <v>145</v>
      </c>
      <c r="E149" s="31"/>
      <c r="F149" s="33">
        <v>45891</v>
      </c>
      <c r="G149" s="34"/>
      <c r="H149" s="30"/>
      <c r="I149" s="35">
        <f t="shared" si="7"/>
        <v>0</v>
      </c>
      <c r="J149" s="34"/>
      <c r="K149" s="34"/>
      <c r="L149" s="34"/>
      <c r="M149" s="34"/>
      <c r="N149" s="34"/>
      <c r="O149" s="34"/>
      <c r="P149" s="34"/>
      <c r="Q149" s="34"/>
      <c r="R149" s="34"/>
      <c r="S149" s="34"/>
      <c r="T149" s="34"/>
      <c r="U149" s="34"/>
      <c r="V149" s="34"/>
      <c r="W149" s="34"/>
      <c r="X149" s="34"/>
      <c r="Y149" s="34"/>
      <c r="Z149" s="34"/>
      <c r="AA149" s="34"/>
      <c r="AB149" s="34"/>
      <c r="AC149" s="34"/>
      <c r="AD149" s="34" t="s">
        <v>11</v>
      </c>
      <c r="AE149" s="34" t="s">
        <v>22</v>
      </c>
      <c r="AF149" s="34" t="s">
        <v>55</v>
      </c>
      <c r="AG149" s="34"/>
      <c r="AH149" s="36" t="str">
        <f>IF(B149="","",INDEX(التقرير!$P$31:$P$260,ROW()-4))</f>
        <v>امازون (شحنات)</v>
      </c>
    </row>
    <row r="150" spans="1:34" x14ac:dyDescent="0.3">
      <c r="A150" s="29">
        <v>2540796881</v>
      </c>
      <c r="B150" s="30" t="s">
        <v>212</v>
      </c>
      <c r="C150" s="31" t="s">
        <v>7</v>
      </c>
      <c r="D150" s="32">
        <f t="shared" si="6"/>
        <v>146</v>
      </c>
      <c r="E150" s="31"/>
      <c r="F150" s="33">
        <v>45907</v>
      </c>
      <c r="G150" s="34"/>
      <c r="H150" s="30"/>
      <c r="I150" s="35">
        <f t="shared" si="7"/>
        <v>0</v>
      </c>
      <c r="J150" s="34"/>
      <c r="K150" s="34"/>
      <c r="L150" s="34"/>
      <c r="M150" s="34"/>
      <c r="N150" s="34"/>
      <c r="O150" s="34"/>
      <c r="P150" s="34"/>
      <c r="Q150" s="34"/>
      <c r="R150" s="34"/>
      <c r="S150" s="34"/>
      <c r="T150" s="34"/>
      <c r="U150" s="34"/>
      <c r="V150" s="34"/>
      <c r="W150" s="34"/>
      <c r="X150" s="34"/>
      <c r="Y150" s="34"/>
      <c r="Z150" s="34"/>
      <c r="AA150" s="34"/>
      <c r="AB150" s="34"/>
      <c r="AC150" s="34"/>
      <c r="AD150" s="34" t="s">
        <v>11</v>
      </c>
      <c r="AE150" s="34" t="s">
        <v>22</v>
      </c>
      <c r="AF150" s="34" t="s">
        <v>55</v>
      </c>
      <c r="AG150" s="34"/>
      <c r="AH150" s="36" t="str">
        <f>IF(B150="","",INDEX(التقرير!$P$31:$P$260,ROW()-4))</f>
        <v>امازون (شحنات)</v>
      </c>
    </row>
    <row r="151" spans="1:34" x14ac:dyDescent="0.3">
      <c r="A151" s="29">
        <v>2560885176</v>
      </c>
      <c r="B151" s="30" t="s">
        <v>213</v>
      </c>
      <c r="C151" s="31" t="s">
        <v>7</v>
      </c>
      <c r="D151" s="32">
        <f t="shared" si="6"/>
        <v>147</v>
      </c>
      <c r="E151" s="31"/>
      <c r="F151" s="33">
        <v>45322</v>
      </c>
      <c r="G151" s="34"/>
      <c r="H151" s="30"/>
      <c r="I151" s="35">
        <f t="shared" si="7"/>
        <v>0</v>
      </c>
      <c r="J151" s="34"/>
      <c r="K151" s="34"/>
      <c r="L151" s="34"/>
      <c r="M151" s="34"/>
      <c r="N151" s="34"/>
      <c r="O151" s="34"/>
      <c r="P151" s="34"/>
      <c r="Q151" s="34"/>
      <c r="R151" s="34"/>
      <c r="S151" s="34"/>
      <c r="T151" s="34"/>
      <c r="U151" s="34"/>
      <c r="V151" s="34"/>
      <c r="W151" s="34"/>
      <c r="X151" s="34"/>
      <c r="Y151" s="34"/>
      <c r="Z151" s="34"/>
      <c r="AA151" s="34"/>
      <c r="AB151" s="34"/>
      <c r="AC151" s="34"/>
      <c r="AD151" s="34" t="s">
        <v>11</v>
      </c>
      <c r="AE151" s="34" t="s">
        <v>22</v>
      </c>
      <c r="AF151" s="34" t="s">
        <v>55</v>
      </c>
      <c r="AG151" s="34"/>
      <c r="AH151" s="36" t="str">
        <f>IF(B151="","",INDEX(التقرير!$P$31:$P$260,ROW()-4))</f>
        <v>امازون (شحنات)</v>
      </c>
    </row>
    <row r="152" spans="1:34" x14ac:dyDescent="0.3">
      <c r="A152" s="29">
        <v>2586481174</v>
      </c>
      <c r="B152" s="30" t="s">
        <v>214</v>
      </c>
      <c r="C152" s="31" t="s">
        <v>7</v>
      </c>
      <c r="D152" s="32">
        <f t="shared" si="6"/>
        <v>148</v>
      </c>
      <c r="E152" s="31"/>
      <c r="F152" s="33">
        <v>45833</v>
      </c>
      <c r="G152" s="34"/>
      <c r="H152" s="30"/>
      <c r="I152" s="35">
        <f t="shared" si="7"/>
        <v>0</v>
      </c>
      <c r="J152" s="34"/>
      <c r="K152" s="34"/>
      <c r="L152" s="34"/>
      <c r="M152" s="34"/>
      <c r="N152" s="34"/>
      <c r="O152" s="34"/>
      <c r="P152" s="34"/>
      <c r="Q152" s="34"/>
      <c r="R152" s="34"/>
      <c r="S152" s="34"/>
      <c r="T152" s="34"/>
      <c r="U152" s="34"/>
      <c r="V152" s="34"/>
      <c r="W152" s="34"/>
      <c r="X152" s="34"/>
      <c r="Y152" s="34"/>
      <c r="Z152" s="34"/>
      <c r="AA152" s="34"/>
      <c r="AB152" s="34"/>
      <c r="AC152" s="34"/>
      <c r="AD152" s="34" t="s">
        <v>11</v>
      </c>
      <c r="AE152" s="34" t="s">
        <v>22</v>
      </c>
      <c r="AF152" s="34" t="s">
        <v>55</v>
      </c>
      <c r="AG152" s="34"/>
      <c r="AH152" s="36" t="str">
        <f>IF(B152="","",INDEX(التقرير!$P$31:$P$260,ROW()-4))</f>
        <v>امازون (شحنات)</v>
      </c>
    </row>
    <row r="153" spans="1:34" x14ac:dyDescent="0.3">
      <c r="A153" s="29">
        <v>2586978567</v>
      </c>
      <c r="B153" s="30" t="s">
        <v>215</v>
      </c>
      <c r="C153" s="31" t="s">
        <v>7</v>
      </c>
      <c r="D153" s="32">
        <f t="shared" si="6"/>
        <v>149</v>
      </c>
      <c r="E153" s="31"/>
      <c r="F153" s="33">
        <v>45924</v>
      </c>
      <c r="G153" s="34"/>
      <c r="H153" s="30"/>
      <c r="I153" s="35">
        <f t="shared" si="7"/>
        <v>0</v>
      </c>
      <c r="J153" s="34"/>
      <c r="K153" s="34"/>
      <c r="L153" s="34"/>
      <c r="M153" s="34"/>
      <c r="N153" s="34"/>
      <c r="O153" s="34"/>
      <c r="P153" s="34"/>
      <c r="Q153" s="34"/>
      <c r="R153" s="34"/>
      <c r="S153" s="34"/>
      <c r="T153" s="34"/>
      <c r="U153" s="34"/>
      <c r="V153" s="34"/>
      <c r="W153" s="34"/>
      <c r="X153" s="34"/>
      <c r="Y153" s="34"/>
      <c r="Z153" s="34"/>
      <c r="AA153" s="34"/>
      <c r="AB153" s="34"/>
      <c r="AC153" s="34"/>
      <c r="AD153" s="34" t="s">
        <v>11</v>
      </c>
      <c r="AE153" s="34" t="s">
        <v>22</v>
      </c>
      <c r="AF153" s="34" t="s">
        <v>55</v>
      </c>
      <c r="AG153" s="34"/>
      <c r="AH153" s="36" t="str">
        <f>IF(B153="","",INDEX(التقرير!$P$31:$P$260,ROW()-4))</f>
        <v>امازون (شحنات)</v>
      </c>
    </row>
    <row r="154" spans="1:34" x14ac:dyDescent="0.3">
      <c r="A154" s="29">
        <v>2586780997</v>
      </c>
      <c r="B154" s="30" t="s">
        <v>216</v>
      </c>
      <c r="C154" s="31" t="s">
        <v>7</v>
      </c>
      <c r="D154" s="32">
        <f t="shared" si="6"/>
        <v>150</v>
      </c>
      <c r="E154" s="31"/>
      <c r="F154" s="33">
        <v>46035</v>
      </c>
      <c r="G154" s="34"/>
      <c r="H154" s="30"/>
      <c r="I154" s="35">
        <f t="shared" si="7"/>
        <v>0</v>
      </c>
      <c r="J154" s="34"/>
      <c r="K154" s="34"/>
      <c r="L154" s="34"/>
      <c r="M154" s="34"/>
      <c r="N154" s="34"/>
      <c r="O154" s="34"/>
      <c r="P154" s="34"/>
      <c r="Q154" s="34"/>
      <c r="R154" s="34"/>
      <c r="S154" s="34"/>
      <c r="T154" s="34"/>
      <c r="U154" s="34"/>
      <c r="V154" s="34"/>
      <c r="W154" s="34"/>
      <c r="X154" s="34"/>
      <c r="Y154" s="34"/>
      <c r="Z154" s="34"/>
      <c r="AA154" s="34"/>
      <c r="AB154" s="34"/>
      <c r="AC154" s="34"/>
      <c r="AD154" s="34" t="s">
        <v>11</v>
      </c>
      <c r="AE154" s="34" t="s">
        <v>22</v>
      </c>
      <c r="AF154" s="34" t="s">
        <v>55</v>
      </c>
      <c r="AG154" s="34"/>
      <c r="AH154" s="36" t="str">
        <f>IF(B154="","",INDEX(التقرير!$P$31:$P$260,ROW()-4))</f>
        <v>امازون (شحنات)</v>
      </c>
    </row>
    <row r="155" spans="1:34" x14ac:dyDescent="0.3">
      <c r="A155" s="29">
        <v>2564307391</v>
      </c>
      <c r="B155" s="30" t="s">
        <v>217</v>
      </c>
      <c r="C155" s="31" t="s">
        <v>7</v>
      </c>
      <c r="D155" s="32">
        <f t="shared" si="6"/>
        <v>151</v>
      </c>
      <c r="E155" s="31"/>
      <c r="F155" s="33">
        <v>45851</v>
      </c>
      <c r="G155" s="34"/>
      <c r="H155" s="30"/>
      <c r="I155" s="35">
        <f t="shared" si="7"/>
        <v>0</v>
      </c>
      <c r="J155" s="34"/>
      <c r="K155" s="34"/>
      <c r="L155" s="34"/>
      <c r="M155" s="34"/>
      <c r="N155" s="34"/>
      <c r="O155" s="34"/>
      <c r="P155" s="34"/>
      <c r="Q155" s="34"/>
      <c r="R155" s="34"/>
      <c r="S155" s="34"/>
      <c r="T155" s="34"/>
      <c r="U155" s="34"/>
      <c r="V155" s="34"/>
      <c r="W155" s="34"/>
      <c r="X155" s="34"/>
      <c r="Y155" s="34"/>
      <c r="Z155" s="34"/>
      <c r="AA155" s="34"/>
      <c r="AB155" s="34"/>
      <c r="AC155" s="34"/>
      <c r="AD155" s="34" t="s">
        <v>11</v>
      </c>
      <c r="AE155" s="34" t="s">
        <v>22</v>
      </c>
      <c r="AF155" s="34" t="s">
        <v>55</v>
      </c>
      <c r="AG155" s="34"/>
      <c r="AH155" s="36" t="str">
        <f>IF(B155="","",INDEX(التقرير!$P$31:$P$260,ROW()-4))</f>
        <v>امازون (شحنات)</v>
      </c>
    </row>
    <row r="156" spans="1:34" x14ac:dyDescent="0.3">
      <c r="A156" s="29">
        <v>2560703817</v>
      </c>
      <c r="B156" s="30" t="s">
        <v>218</v>
      </c>
      <c r="C156" s="31" t="s">
        <v>7</v>
      </c>
      <c r="D156" s="32">
        <f t="shared" si="6"/>
        <v>152</v>
      </c>
      <c r="E156" s="31"/>
      <c r="F156" s="33">
        <v>45889</v>
      </c>
      <c r="G156" s="34"/>
      <c r="H156" s="30"/>
      <c r="I156" s="35">
        <f t="shared" si="7"/>
        <v>0</v>
      </c>
      <c r="J156" s="34"/>
      <c r="K156" s="34"/>
      <c r="L156" s="34"/>
      <c r="M156" s="34"/>
      <c r="N156" s="34"/>
      <c r="O156" s="34"/>
      <c r="P156" s="34"/>
      <c r="Q156" s="34"/>
      <c r="R156" s="34"/>
      <c r="S156" s="34"/>
      <c r="T156" s="34"/>
      <c r="U156" s="34"/>
      <c r="V156" s="34"/>
      <c r="W156" s="34"/>
      <c r="X156" s="34"/>
      <c r="Y156" s="34"/>
      <c r="Z156" s="34"/>
      <c r="AA156" s="34"/>
      <c r="AB156" s="34"/>
      <c r="AC156" s="34"/>
      <c r="AD156" s="34" t="s">
        <v>11</v>
      </c>
      <c r="AE156" s="34" t="s">
        <v>22</v>
      </c>
      <c r="AF156" s="34" t="s">
        <v>55</v>
      </c>
      <c r="AG156" s="34"/>
      <c r="AH156" s="36" t="str">
        <f>IF(B156="","",INDEX(التقرير!$P$31:$P$260,ROW()-4))</f>
        <v>امازون (شحنات)</v>
      </c>
    </row>
    <row r="157" spans="1:34" x14ac:dyDescent="0.3">
      <c r="A157" s="29">
        <v>2575936675</v>
      </c>
      <c r="B157" s="30" t="s">
        <v>219</v>
      </c>
      <c r="C157" s="31" t="s">
        <v>7</v>
      </c>
      <c r="D157" s="32">
        <f t="shared" si="6"/>
        <v>153</v>
      </c>
      <c r="E157" s="31"/>
      <c r="F157" s="33">
        <v>45890</v>
      </c>
      <c r="G157" s="34"/>
      <c r="H157" s="30"/>
      <c r="I157" s="35">
        <f t="shared" si="7"/>
        <v>0</v>
      </c>
      <c r="J157" s="34"/>
      <c r="K157" s="34"/>
      <c r="L157" s="34"/>
      <c r="M157" s="34"/>
      <c r="N157" s="34"/>
      <c r="O157" s="34"/>
      <c r="P157" s="34"/>
      <c r="Q157" s="34"/>
      <c r="R157" s="34"/>
      <c r="S157" s="34"/>
      <c r="T157" s="34"/>
      <c r="U157" s="34"/>
      <c r="V157" s="34"/>
      <c r="W157" s="34"/>
      <c r="X157" s="34"/>
      <c r="Y157" s="34"/>
      <c r="Z157" s="34"/>
      <c r="AA157" s="34"/>
      <c r="AB157" s="34"/>
      <c r="AC157" s="34"/>
      <c r="AD157" s="34" t="s">
        <v>11</v>
      </c>
      <c r="AE157" s="34" t="s">
        <v>22</v>
      </c>
      <c r="AF157" s="34" t="s">
        <v>55</v>
      </c>
      <c r="AG157" s="34"/>
      <c r="AH157" s="36" t="str">
        <f>IF(B157="","",INDEX(التقرير!$P$31:$P$260,ROW()-4))</f>
        <v>امازون (شحنات)</v>
      </c>
    </row>
    <row r="158" spans="1:34" x14ac:dyDescent="0.3">
      <c r="A158" s="29">
        <v>2585423763</v>
      </c>
      <c r="B158" s="30" t="s">
        <v>220</v>
      </c>
      <c r="C158" s="31" t="s">
        <v>7</v>
      </c>
      <c r="D158" s="32">
        <f t="shared" si="6"/>
        <v>154</v>
      </c>
      <c r="E158" s="31"/>
      <c r="F158" s="33">
        <v>46139</v>
      </c>
      <c r="G158" s="34"/>
      <c r="H158" s="30"/>
      <c r="I158" s="35">
        <f t="shared" si="7"/>
        <v>0</v>
      </c>
      <c r="J158" s="34"/>
      <c r="K158" s="34"/>
      <c r="L158" s="34"/>
      <c r="M158" s="34"/>
      <c r="N158" s="34"/>
      <c r="O158" s="34"/>
      <c r="P158" s="34"/>
      <c r="Q158" s="34"/>
      <c r="R158" s="34"/>
      <c r="S158" s="34"/>
      <c r="T158" s="34"/>
      <c r="U158" s="34"/>
      <c r="V158" s="34"/>
      <c r="W158" s="34"/>
      <c r="X158" s="34"/>
      <c r="Y158" s="34"/>
      <c r="Z158" s="34"/>
      <c r="AA158" s="34"/>
      <c r="AB158" s="34"/>
      <c r="AC158" s="34"/>
      <c r="AD158" s="34" t="s">
        <v>11</v>
      </c>
      <c r="AE158" s="34" t="s">
        <v>22</v>
      </c>
      <c r="AF158" s="34" t="s">
        <v>55</v>
      </c>
      <c r="AG158" s="34"/>
      <c r="AH158" s="36" t="str">
        <f>IF(B158="","",INDEX(التقرير!$P$31:$P$260,ROW()-4))</f>
        <v>امازون (شحنات)</v>
      </c>
    </row>
    <row r="159" spans="1:34" x14ac:dyDescent="0.3">
      <c r="A159" s="29">
        <v>2586563708</v>
      </c>
      <c r="B159" s="30" t="s">
        <v>221</v>
      </c>
      <c r="C159" s="31" t="s">
        <v>7</v>
      </c>
      <c r="D159" s="32">
        <f t="shared" si="6"/>
        <v>155</v>
      </c>
      <c r="E159" s="31"/>
      <c r="F159" s="33">
        <v>45833</v>
      </c>
      <c r="G159" s="34"/>
      <c r="H159" s="30"/>
      <c r="I159" s="35">
        <f t="shared" si="7"/>
        <v>0</v>
      </c>
      <c r="J159" s="34"/>
      <c r="K159" s="34"/>
      <c r="L159" s="34"/>
      <c r="M159" s="34"/>
      <c r="N159" s="34"/>
      <c r="O159" s="34"/>
      <c r="P159" s="34"/>
      <c r="Q159" s="34"/>
      <c r="R159" s="34"/>
      <c r="S159" s="34"/>
      <c r="T159" s="34"/>
      <c r="U159" s="34"/>
      <c r="V159" s="34"/>
      <c r="W159" s="34"/>
      <c r="X159" s="34"/>
      <c r="Y159" s="34"/>
      <c r="Z159" s="34"/>
      <c r="AA159" s="34"/>
      <c r="AB159" s="34"/>
      <c r="AC159" s="34"/>
      <c r="AD159" s="34" t="s">
        <v>11</v>
      </c>
      <c r="AE159" s="34" t="s">
        <v>22</v>
      </c>
      <c r="AF159" s="34" t="s">
        <v>55</v>
      </c>
      <c r="AG159" s="34"/>
      <c r="AH159" s="36" t="str">
        <f>IF(B159="","",INDEX(التقرير!$P$31:$P$260,ROW()-4))</f>
        <v>امازون (شحنات)</v>
      </c>
    </row>
    <row r="160" spans="1:34" x14ac:dyDescent="0.3">
      <c r="A160" s="29">
        <v>2600302281</v>
      </c>
      <c r="B160" s="30" t="s">
        <v>222</v>
      </c>
      <c r="C160" s="31" t="s">
        <v>7</v>
      </c>
      <c r="D160" s="32">
        <f t="shared" si="6"/>
        <v>156</v>
      </c>
      <c r="E160" s="31"/>
      <c r="F160" s="33">
        <v>45891</v>
      </c>
      <c r="G160" s="34"/>
      <c r="H160" s="30"/>
      <c r="I160" s="35">
        <f t="shared" si="7"/>
        <v>0</v>
      </c>
      <c r="J160" s="34"/>
      <c r="K160" s="34"/>
      <c r="L160" s="34"/>
      <c r="M160" s="34"/>
      <c r="N160" s="34"/>
      <c r="O160" s="34"/>
      <c r="P160" s="34"/>
      <c r="Q160" s="34"/>
      <c r="R160" s="34"/>
      <c r="S160" s="34"/>
      <c r="T160" s="34"/>
      <c r="U160" s="34"/>
      <c r="V160" s="34"/>
      <c r="W160" s="34"/>
      <c r="X160" s="34"/>
      <c r="Y160" s="34"/>
      <c r="Z160" s="34"/>
      <c r="AA160" s="34"/>
      <c r="AB160" s="34"/>
      <c r="AC160" s="34"/>
      <c r="AD160" s="34" t="s">
        <v>11</v>
      </c>
      <c r="AE160" s="34" t="s">
        <v>22</v>
      </c>
      <c r="AF160" s="34" t="s">
        <v>55</v>
      </c>
      <c r="AG160" s="34"/>
      <c r="AH160" s="36" t="str">
        <f>IF(B160="","",INDEX(التقرير!$P$31:$P$260,ROW()-4))</f>
        <v>امازون (شحنات)</v>
      </c>
    </row>
    <row r="161" spans="1:34" x14ac:dyDescent="0.3">
      <c r="A161" s="29">
        <v>2586565455</v>
      </c>
      <c r="B161" s="30" t="s">
        <v>223</v>
      </c>
      <c r="C161" s="31" t="s">
        <v>7</v>
      </c>
      <c r="D161" s="32">
        <f t="shared" si="6"/>
        <v>157</v>
      </c>
      <c r="E161" s="31"/>
      <c r="F161" s="33">
        <v>45889</v>
      </c>
      <c r="G161" s="34"/>
      <c r="H161" s="30"/>
      <c r="I161" s="35">
        <f t="shared" si="7"/>
        <v>0</v>
      </c>
      <c r="J161" s="34"/>
      <c r="K161" s="34"/>
      <c r="L161" s="34"/>
      <c r="M161" s="34"/>
      <c r="N161" s="34"/>
      <c r="O161" s="34"/>
      <c r="P161" s="34"/>
      <c r="Q161" s="34"/>
      <c r="R161" s="34"/>
      <c r="S161" s="34"/>
      <c r="T161" s="34"/>
      <c r="U161" s="34"/>
      <c r="V161" s="34"/>
      <c r="W161" s="34"/>
      <c r="X161" s="34"/>
      <c r="Y161" s="34"/>
      <c r="Z161" s="34"/>
      <c r="AA161" s="34"/>
      <c r="AB161" s="34"/>
      <c r="AC161" s="34"/>
      <c r="AD161" s="34" t="s">
        <v>11</v>
      </c>
      <c r="AE161" s="34" t="s">
        <v>22</v>
      </c>
      <c r="AF161" s="34" t="s">
        <v>55</v>
      </c>
      <c r="AG161" s="34"/>
      <c r="AH161" s="36" t="str">
        <f>IF(B161="","",INDEX(التقرير!$P$31:$P$260,ROW()-4))</f>
        <v>امازون (شحنات)</v>
      </c>
    </row>
    <row r="162" spans="1:34" x14ac:dyDescent="0.3">
      <c r="A162" s="29">
        <v>2578797025</v>
      </c>
      <c r="B162" s="30" t="s">
        <v>224</v>
      </c>
      <c r="C162" s="31" t="s">
        <v>7</v>
      </c>
      <c r="D162" s="32">
        <f t="shared" si="6"/>
        <v>158</v>
      </c>
      <c r="E162" s="31"/>
      <c r="F162" s="33">
        <v>45962</v>
      </c>
      <c r="G162" s="34"/>
      <c r="H162" s="30"/>
      <c r="I162" s="35">
        <f t="shared" si="7"/>
        <v>0</v>
      </c>
      <c r="J162" s="34"/>
      <c r="K162" s="34"/>
      <c r="L162" s="34"/>
      <c r="M162" s="34"/>
      <c r="N162" s="34"/>
      <c r="O162" s="34"/>
      <c r="P162" s="34"/>
      <c r="Q162" s="34"/>
      <c r="R162" s="34"/>
      <c r="S162" s="34"/>
      <c r="T162" s="34"/>
      <c r="U162" s="34"/>
      <c r="V162" s="34"/>
      <c r="W162" s="34"/>
      <c r="X162" s="34"/>
      <c r="Y162" s="34"/>
      <c r="Z162" s="34"/>
      <c r="AA162" s="34"/>
      <c r="AB162" s="34"/>
      <c r="AC162" s="34"/>
      <c r="AD162" s="34" t="s">
        <v>11</v>
      </c>
      <c r="AE162" s="34" t="s">
        <v>22</v>
      </c>
      <c r="AF162" s="34" t="s">
        <v>55</v>
      </c>
      <c r="AG162" s="34"/>
      <c r="AH162" s="36" t="str">
        <f>IF(B162="","",INDEX(التقرير!$P$31:$P$260,ROW()-4))</f>
        <v>امازون (شحنات)</v>
      </c>
    </row>
    <row r="163" spans="1:34" x14ac:dyDescent="0.3">
      <c r="A163" s="29">
        <v>2596558060</v>
      </c>
      <c r="B163" s="30" t="s">
        <v>225</v>
      </c>
      <c r="C163" s="31" t="s">
        <v>7</v>
      </c>
      <c r="D163" s="32">
        <f t="shared" si="6"/>
        <v>159</v>
      </c>
      <c r="E163" s="31"/>
      <c r="F163" s="33">
        <v>45889</v>
      </c>
      <c r="G163" s="34"/>
      <c r="H163" s="30"/>
      <c r="I163" s="35">
        <f t="shared" si="7"/>
        <v>0</v>
      </c>
      <c r="J163" s="34"/>
      <c r="K163" s="34"/>
      <c r="L163" s="34"/>
      <c r="M163" s="34"/>
      <c r="N163" s="34"/>
      <c r="O163" s="34"/>
      <c r="P163" s="34"/>
      <c r="Q163" s="34"/>
      <c r="R163" s="34"/>
      <c r="S163" s="34"/>
      <c r="T163" s="34"/>
      <c r="U163" s="34"/>
      <c r="V163" s="34"/>
      <c r="W163" s="34"/>
      <c r="X163" s="34"/>
      <c r="Y163" s="34"/>
      <c r="Z163" s="34"/>
      <c r="AA163" s="34"/>
      <c r="AB163" s="34"/>
      <c r="AC163" s="34"/>
      <c r="AD163" s="34" t="s">
        <v>11</v>
      </c>
      <c r="AE163" s="34" t="s">
        <v>22</v>
      </c>
      <c r="AF163" s="34" t="s">
        <v>55</v>
      </c>
      <c r="AG163" s="34"/>
      <c r="AH163" s="36" t="str">
        <f>IF(B163="","",INDEX(التقرير!$P$31:$P$260,ROW()-4))</f>
        <v>امازون (شحنات)</v>
      </c>
    </row>
    <row r="164" spans="1:34" x14ac:dyDescent="0.3">
      <c r="A164" s="29">
        <v>2602574606</v>
      </c>
      <c r="B164" s="30" t="s">
        <v>226</v>
      </c>
      <c r="C164" s="31" t="s">
        <v>7</v>
      </c>
      <c r="D164" s="32">
        <f t="shared" si="6"/>
        <v>160</v>
      </c>
      <c r="E164" s="31"/>
      <c r="F164" s="33">
        <v>46138</v>
      </c>
      <c r="G164" s="34"/>
      <c r="H164" s="30"/>
      <c r="I164" s="35">
        <f t="shared" si="7"/>
        <v>0</v>
      </c>
      <c r="J164" s="34"/>
      <c r="K164" s="34"/>
      <c r="L164" s="34"/>
      <c r="M164" s="34"/>
      <c r="N164" s="34"/>
      <c r="O164" s="34"/>
      <c r="P164" s="34"/>
      <c r="Q164" s="34"/>
      <c r="R164" s="34"/>
      <c r="S164" s="34"/>
      <c r="T164" s="34"/>
      <c r="U164" s="34"/>
      <c r="V164" s="34"/>
      <c r="W164" s="34"/>
      <c r="X164" s="34"/>
      <c r="Y164" s="34"/>
      <c r="Z164" s="34"/>
      <c r="AA164" s="34"/>
      <c r="AB164" s="34"/>
      <c r="AC164" s="34"/>
      <c r="AD164" s="34" t="s">
        <v>11</v>
      </c>
      <c r="AE164" s="34" t="s">
        <v>22</v>
      </c>
      <c r="AF164" s="34" t="s">
        <v>55</v>
      </c>
      <c r="AG164" s="34"/>
      <c r="AH164" s="36" t="str">
        <f>IF(B164="","",INDEX(التقرير!$P$31:$P$260,ROW()-4))</f>
        <v>امازون (شحنات)</v>
      </c>
    </row>
    <row r="165" spans="1:34" x14ac:dyDescent="0.3">
      <c r="A165" s="29">
        <v>2573679533</v>
      </c>
      <c r="B165" s="30" t="s">
        <v>227</v>
      </c>
      <c r="C165" s="31" t="s">
        <v>7</v>
      </c>
      <c r="D165" s="32">
        <f t="shared" si="6"/>
        <v>161</v>
      </c>
      <c r="E165" s="31"/>
      <c r="F165" s="33">
        <v>46139</v>
      </c>
      <c r="G165" s="34"/>
      <c r="H165" s="30"/>
      <c r="I165" s="35">
        <f t="shared" si="7"/>
        <v>0</v>
      </c>
      <c r="J165" s="34"/>
      <c r="K165" s="34"/>
      <c r="L165" s="34"/>
      <c r="M165" s="34"/>
      <c r="N165" s="34"/>
      <c r="O165" s="34"/>
      <c r="P165" s="34"/>
      <c r="Q165" s="34"/>
      <c r="R165" s="34"/>
      <c r="S165" s="34"/>
      <c r="T165" s="34"/>
      <c r="U165" s="34"/>
      <c r="V165" s="34"/>
      <c r="W165" s="34"/>
      <c r="X165" s="34"/>
      <c r="Y165" s="34"/>
      <c r="Z165" s="34"/>
      <c r="AA165" s="34"/>
      <c r="AB165" s="34"/>
      <c r="AC165" s="34"/>
      <c r="AD165" s="34" t="s">
        <v>11</v>
      </c>
      <c r="AE165" s="34" t="s">
        <v>22</v>
      </c>
      <c r="AF165" s="34" t="s">
        <v>55</v>
      </c>
      <c r="AG165" s="34"/>
      <c r="AH165" s="36" t="str">
        <f>IF(B165="","",INDEX(التقرير!$P$31:$P$260,ROW()-4))</f>
        <v>امازون (شحنات)</v>
      </c>
    </row>
    <row r="166" spans="1:34" x14ac:dyDescent="0.3">
      <c r="A166" s="29">
        <v>2581879877</v>
      </c>
      <c r="B166" s="30" t="s">
        <v>228</v>
      </c>
      <c r="C166" s="31" t="s">
        <v>7</v>
      </c>
      <c r="D166" s="32">
        <f t="shared" si="6"/>
        <v>162</v>
      </c>
      <c r="E166" s="31"/>
      <c r="F166" s="33">
        <v>46139</v>
      </c>
      <c r="G166" s="34"/>
      <c r="H166" s="30"/>
      <c r="I166" s="35">
        <f t="shared" si="7"/>
        <v>0</v>
      </c>
      <c r="J166" s="34"/>
      <c r="K166" s="34"/>
      <c r="L166" s="34"/>
      <c r="M166" s="34"/>
      <c r="N166" s="34"/>
      <c r="O166" s="34"/>
      <c r="P166" s="34"/>
      <c r="Q166" s="34"/>
      <c r="R166" s="34"/>
      <c r="S166" s="34"/>
      <c r="T166" s="34"/>
      <c r="U166" s="34"/>
      <c r="V166" s="34"/>
      <c r="W166" s="34"/>
      <c r="X166" s="34"/>
      <c r="Y166" s="34"/>
      <c r="Z166" s="34"/>
      <c r="AA166" s="34"/>
      <c r="AB166" s="34"/>
      <c r="AC166" s="34"/>
      <c r="AD166" s="34" t="s">
        <v>11</v>
      </c>
      <c r="AE166" s="34" t="s">
        <v>22</v>
      </c>
      <c r="AF166" s="34" t="s">
        <v>55</v>
      </c>
      <c r="AG166" s="34"/>
      <c r="AH166" s="36" t="str">
        <f>IF(B166="","",INDEX(التقرير!$P$31:$P$260,ROW()-4))</f>
        <v>امازون (شحنات)</v>
      </c>
    </row>
    <row r="167" spans="1:34" x14ac:dyDescent="0.3">
      <c r="A167" s="29">
        <v>2586867489</v>
      </c>
      <c r="B167" s="30" t="s">
        <v>229</v>
      </c>
      <c r="C167" s="31" t="s">
        <v>7</v>
      </c>
      <c r="D167" s="32">
        <f t="shared" si="6"/>
        <v>163</v>
      </c>
      <c r="E167" s="31"/>
      <c r="F167" s="33">
        <v>46204</v>
      </c>
      <c r="G167" s="34"/>
      <c r="H167" s="30"/>
      <c r="I167" s="35">
        <f t="shared" si="7"/>
        <v>0</v>
      </c>
      <c r="J167" s="34"/>
      <c r="K167" s="34"/>
      <c r="L167" s="34"/>
      <c r="M167" s="34"/>
      <c r="N167" s="34"/>
      <c r="O167" s="34"/>
      <c r="P167" s="34"/>
      <c r="Q167" s="34"/>
      <c r="R167" s="34"/>
      <c r="S167" s="34"/>
      <c r="T167" s="34"/>
      <c r="U167" s="34"/>
      <c r="V167" s="34"/>
      <c r="W167" s="34"/>
      <c r="X167" s="34"/>
      <c r="Y167" s="34"/>
      <c r="Z167" s="34"/>
      <c r="AA167" s="34"/>
      <c r="AB167" s="34"/>
      <c r="AC167" s="34"/>
      <c r="AD167" s="34" t="s">
        <v>3</v>
      </c>
      <c r="AE167" s="34" t="s">
        <v>22</v>
      </c>
      <c r="AF167" s="34" t="s">
        <v>55</v>
      </c>
      <c r="AG167" s="34"/>
      <c r="AH167" s="36" t="str">
        <f>IF(B167="","",INDEX(التقرير!$P$31:$P$260,ROW()-4))</f>
        <v>امازون (شحنات)</v>
      </c>
    </row>
    <row r="168" spans="1:34" x14ac:dyDescent="0.3">
      <c r="A168" s="29">
        <v>2570585915</v>
      </c>
      <c r="B168" s="30" t="s">
        <v>230</v>
      </c>
      <c r="C168" s="31" t="s">
        <v>7</v>
      </c>
      <c r="D168" s="32">
        <f t="shared" si="6"/>
        <v>164</v>
      </c>
      <c r="E168" s="31"/>
      <c r="F168" s="33">
        <v>46204</v>
      </c>
      <c r="G168" s="34"/>
      <c r="H168" s="30"/>
      <c r="I168" s="35">
        <f t="shared" si="7"/>
        <v>0</v>
      </c>
      <c r="J168" s="34"/>
      <c r="K168" s="34"/>
      <c r="L168" s="34"/>
      <c r="M168" s="34"/>
      <c r="N168" s="34"/>
      <c r="O168" s="34"/>
      <c r="P168" s="34"/>
      <c r="Q168" s="34"/>
      <c r="R168" s="34"/>
      <c r="S168" s="34"/>
      <c r="T168" s="34"/>
      <c r="U168" s="34"/>
      <c r="V168" s="34"/>
      <c r="W168" s="34"/>
      <c r="X168" s="34"/>
      <c r="Y168" s="34"/>
      <c r="Z168" s="34"/>
      <c r="AA168" s="34"/>
      <c r="AB168" s="34"/>
      <c r="AC168" s="34"/>
      <c r="AD168" s="34" t="s">
        <v>3</v>
      </c>
      <c r="AE168" s="34" t="s">
        <v>22</v>
      </c>
      <c r="AF168" s="34" t="s">
        <v>55</v>
      </c>
      <c r="AG168" s="34"/>
      <c r="AH168" s="36" t="str">
        <f>IF(B168="","",INDEX(التقرير!$P$31:$P$260,ROW()-4))</f>
        <v>امازون (شحنات)</v>
      </c>
    </row>
    <row r="169" spans="1:34" x14ac:dyDescent="0.3">
      <c r="A169" s="29">
        <v>2557191836</v>
      </c>
      <c r="B169" s="30" t="s">
        <v>231</v>
      </c>
      <c r="C169" s="31" t="s">
        <v>7</v>
      </c>
      <c r="D169" s="32">
        <f t="shared" si="6"/>
        <v>165</v>
      </c>
      <c r="E169" s="31"/>
      <c r="F169" s="33">
        <v>46142</v>
      </c>
      <c r="G169" s="34"/>
      <c r="H169" s="30"/>
      <c r="I169" s="35">
        <f t="shared" si="7"/>
        <v>0</v>
      </c>
      <c r="J169" s="34"/>
      <c r="K169" s="34"/>
      <c r="L169" s="34"/>
      <c r="M169" s="34"/>
      <c r="N169" s="34"/>
      <c r="O169" s="34"/>
      <c r="P169" s="34"/>
      <c r="Q169" s="34"/>
      <c r="R169" s="34"/>
      <c r="S169" s="34"/>
      <c r="T169" s="34"/>
      <c r="U169" s="34"/>
      <c r="V169" s="34"/>
      <c r="W169" s="34"/>
      <c r="X169" s="34"/>
      <c r="Y169" s="34"/>
      <c r="Z169" s="34"/>
      <c r="AA169" s="34"/>
      <c r="AB169" s="34"/>
      <c r="AC169" s="34"/>
      <c r="AD169" s="34" t="s">
        <v>11</v>
      </c>
      <c r="AE169" s="34" t="s">
        <v>22</v>
      </c>
      <c r="AF169" s="34" t="s">
        <v>55</v>
      </c>
      <c r="AG169" s="34"/>
      <c r="AH169" s="36" t="str">
        <f>IF(B169="","",INDEX(التقرير!$P$31:$P$260,ROW()-4))</f>
        <v>امازون (شحنات)</v>
      </c>
    </row>
    <row r="170" spans="1:34" x14ac:dyDescent="0.3">
      <c r="A170" s="29">
        <v>2587774726</v>
      </c>
      <c r="B170" s="30" t="s">
        <v>232</v>
      </c>
      <c r="C170" s="31" t="s">
        <v>7</v>
      </c>
      <c r="D170" s="32">
        <f t="shared" si="6"/>
        <v>166</v>
      </c>
      <c r="E170" s="31"/>
      <c r="F170" s="33">
        <v>46158</v>
      </c>
      <c r="G170" s="34"/>
      <c r="H170" s="30"/>
      <c r="I170" s="35">
        <f t="shared" si="7"/>
        <v>0</v>
      </c>
      <c r="J170" s="34"/>
      <c r="K170" s="34"/>
      <c r="L170" s="34"/>
      <c r="M170" s="34"/>
      <c r="N170" s="34"/>
      <c r="O170" s="34"/>
      <c r="P170" s="34"/>
      <c r="Q170" s="34"/>
      <c r="R170" s="34"/>
      <c r="S170" s="34"/>
      <c r="T170" s="34"/>
      <c r="U170" s="34"/>
      <c r="V170" s="34"/>
      <c r="W170" s="34"/>
      <c r="X170" s="34"/>
      <c r="Y170" s="34"/>
      <c r="Z170" s="34"/>
      <c r="AA170" s="34"/>
      <c r="AB170" s="34"/>
      <c r="AC170" s="34"/>
      <c r="AD170" s="34" t="s">
        <v>11</v>
      </c>
      <c r="AE170" s="34" t="s">
        <v>22</v>
      </c>
      <c r="AF170" s="34" t="s">
        <v>55</v>
      </c>
      <c r="AG170" s="34"/>
      <c r="AH170" s="36" t="str">
        <f>IF(B170="","",INDEX(التقرير!$P$31:$P$260,ROW()-4))</f>
        <v>امازون (شحنات)</v>
      </c>
    </row>
    <row r="171" spans="1:34" x14ac:dyDescent="0.3">
      <c r="A171" s="29">
        <v>2583315326</v>
      </c>
      <c r="B171" s="30" t="s">
        <v>233</v>
      </c>
      <c r="C171" s="31" t="s">
        <v>7</v>
      </c>
      <c r="D171" s="32">
        <f t="shared" si="6"/>
        <v>167</v>
      </c>
      <c r="E171" s="31"/>
      <c r="F171" s="33">
        <v>46077</v>
      </c>
      <c r="G171" s="34"/>
      <c r="H171" s="30"/>
      <c r="I171" s="35">
        <f t="shared" si="7"/>
        <v>0</v>
      </c>
      <c r="J171" s="34"/>
      <c r="K171" s="34"/>
      <c r="L171" s="34"/>
      <c r="M171" s="34"/>
      <c r="N171" s="34"/>
      <c r="O171" s="34"/>
      <c r="P171" s="34"/>
      <c r="Q171" s="34"/>
      <c r="R171" s="34"/>
      <c r="S171" s="34"/>
      <c r="T171" s="34"/>
      <c r="U171" s="34"/>
      <c r="V171" s="34"/>
      <c r="W171" s="34"/>
      <c r="X171" s="34"/>
      <c r="Y171" s="34"/>
      <c r="Z171" s="34"/>
      <c r="AA171" s="34"/>
      <c r="AB171" s="34"/>
      <c r="AC171" s="34"/>
      <c r="AD171" s="34" t="s">
        <v>11</v>
      </c>
      <c r="AE171" s="34" t="s">
        <v>22</v>
      </c>
      <c r="AF171" s="34" t="s">
        <v>55</v>
      </c>
      <c r="AG171" s="34"/>
      <c r="AH171" s="36" t="str">
        <f>IF(B171="","",INDEX(التقرير!$P$31:$P$260,ROW()-4))</f>
        <v>امازون (شحنات)</v>
      </c>
    </row>
    <row r="172" spans="1:34" x14ac:dyDescent="0.3">
      <c r="A172" s="29">
        <v>2562206058</v>
      </c>
      <c r="B172" s="30" t="s">
        <v>234</v>
      </c>
      <c r="C172" s="31" t="s">
        <v>7</v>
      </c>
      <c r="D172" s="32">
        <f t="shared" si="6"/>
        <v>168</v>
      </c>
      <c r="E172" s="31"/>
      <c r="F172" s="33">
        <v>45351</v>
      </c>
      <c r="G172" s="34"/>
      <c r="H172" s="30"/>
      <c r="I172" s="35">
        <f t="shared" si="7"/>
        <v>0</v>
      </c>
      <c r="J172" s="34"/>
      <c r="K172" s="34"/>
      <c r="L172" s="34"/>
      <c r="M172" s="34"/>
      <c r="N172" s="34"/>
      <c r="O172" s="34"/>
      <c r="P172" s="34"/>
      <c r="Q172" s="34"/>
      <c r="R172" s="34"/>
      <c r="S172" s="34"/>
      <c r="T172" s="34"/>
      <c r="U172" s="34"/>
      <c r="V172" s="34"/>
      <c r="W172" s="34"/>
      <c r="X172" s="34"/>
      <c r="Y172" s="34"/>
      <c r="Z172" s="34"/>
      <c r="AA172" s="34"/>
      <c r="AB172" s="34"/>
      <c r="AC172" s="34"/>
      <c r="AD172" s="34" t="s">
        <v>11</v>
      </c>
      <c r="AE172" s="34" t="s">
        <v>22</v>
      </c>
      <c r="AF172" s="34" t="s">
        <v>55</v>
      </c>
      <c r="AG172" s="34"/>
      <c r="AH172" s="36" t="str">
        <f>IF(B172="","",INDEX(التقرير!$P$31:$P$260,ROW()-4))</f>
        <v>امازون (شحنات)</v>
      </c>
    </row>
    <row r="173" spans="1:34" x14ac:dyDescent="0.3">
      <c r="A173" s="29">
        <v>2552546232</v>
      </c>
      <c r="B173" s="30" t="s">
        <v>235</v>
      </c>
      <c r="C173" s="31" t="s">
        <v>7</v>
      </c>
      <c r="D173" s="32">
        <f t="shared" si="6"/>
        <v>169</v>
      </c>
      <c r="E173" s="31"/>
      <c r="F173" s="33">
        <v>45351</v>
      </c>
      <c r="G173" s="34"/>
      <c r="H173" s="30"/>
      <c r="I173" s="35">
        <f t="shared" si="7"/>
        <v>0</v>
      </c>
      <c r="J173" s="34"/>
      <c r="K173" s="34"/>
      <c r="L173" s="34"/>
      <c r="M173" s="34"/>
      <c r="N173" s="34"/>
      <c r="O173" s="34"/>
      <c r="P173" s="34"/>
      <c r="Q173" s="34"/>
      <c r="R173" s="34"/>
      <c r="S173" s="34"/>
      <c r="T173" s="34"/>
      <c r="U173" s="34"/>
      <c r="V173" s="34"/>
      <c r="W173" s="34"/>
      <c r="X173" s="34"/>
      <c r="Y173" s="34"/>
      <c r="Z173" s="34"/>
      <c r="AA173" s="34"/>
      <c r="AB173" s="34"/>
      <c r="AC173" s="34"/>
      <c r="AD173" s="34" t="s">
        <v>11</v>
      </c>
      <c r="AE173" s="34" t="s">
        <v>22</v>
      </c>
      <c r="AF173" s="34" t="s">
        <v>55</v>
      </c>
      <c r="AG173" s="34"/>
      <c r="AH173" s="36" t="str">
        <f>IF(B173="","",INDEX(التقرير!$P$31:$P$260,ROW()-4))</f>
        <v>امازون (شحنات)</v>
      </c>
    </row>
    <row r="174" spans="1:34" x14ac:dyDescent="0.3">
      <c r="A174" s="29">
        <v>2575175340</v>
      </c>
      <c r="B174" s="30" t="s">
        <v>236</v>
      </c>
      <c r="C174" s="31" t="s">
        <v>7</v>
      </c>
      <c r="D174" s="32">
        <f t="shared" si="6"/>
        <v>170</v>
      </c>
      <c r="E174" s="31"/>
      <c r="F174" s="33">
        <v>46147</v>
      </c>
      <c r="G174" s="34"/>
      <c r="H174" s="30"/>
      <c r="I174" s="35">
        <f t="shared" si="7"/>
        <v>0</v>
      </c>
      <c r="J174" s="34"/>
      <c r="K174" s="34"/>
      <c r="L174" s="34"/>
      <c r="M174" s="34"/>
      <c r="N174" s="34"/>
      <c r="O174" s="34"/>
      <c r="P174" s="34"/>
      <c r="Q174" s="34"/>
      <c r="R174" s="34"/>
      <c r="S174" s="34"/>
      <c r="T174" s="34"/>
      <c r="U174" s="34"/>
      <c r="V174" s="34"/>
      <c r="W174" s="34"/>
      <c r="X174" s="34"/>
      <c r="Y174" s="34"/>
      <c r="Z174" s="34"/>
      <c r="AA174" s="34"/>
      <c r="AB174" s="34"/>
      <c r="AC174" s="34"/>
      <c r="AD174" s="34" t="s">
        <v>11</v>
      </c>
      <c r="AE174" s="34" t="s">
        <v>22</v>
      </c>
      <c r="AF174" s="34" t="s">
        <v>55</v>
      </c>
      <c r="AG174" s="34"/>
      <c r="AH174" s="36" t="str">
        <f>IF(B174="","",INDEX(التقرير!$P$31:$P$260,ROW()-4))</f>
        <v>امازون (شحنات)</v>
      </c>
    </row>
    <row r="175" spans="1:34" x14ac:dyDescent="0.3">
      <c r="A175" s="29">
        <v>2581308950</v>
      </c>
      <c r="B175" s="30" t="s">
        <v>237</v>
      </c>
      <c r="C175" s="31" t="s">
        <v>7</v>
      </c>
      <c r="D175" s="32">
        <f t="shared" si="6"/>
        <v>171</v>
      </c>
      <c r="E175" s="31"/>
      <c r="F175" s="33">
        <v>46138</v>
      </c>
      <c r="G175" s="34"/>
      <c r="H175" s="30"/>
      <c r="I175" s="35">
        <f t="shared" si="7"/>
        <v>0</v>
      </c>
      <c r="J175" s="34"/>
      <c r="K175" s="34"/>
      <c r="L175" s="34"/>
      <c r="M175" s="34"/>
      <c r="N175" s="34"/>
      <c r="O175" s="34"/>
      <c r="P175" s="34"/>
      <c r="Q175" s="34"/>
      <c r="R175" s="34"/>
      <c r="S175" s="34"/>
      <c r="T175" s="34"/>
      <c r="U175" s="34"/>
      <c r="V175" s="34"/>
      <c r="W175" s="34"/>
      <c r="X175" s="34"/>
      <c r="Y175" s="34"/>
      <c r="Z175" s="34"/>
      <c r="AA175" s="34"/>
      <c r="AB175" s="34"/>
      <c r="AC175" s="34"/>
      <c r="AD175" s="34" t="s">
        <v>11</v>
      </c>
      <c r="AE175" s="34" t="s">
        <v>22</v>
      </c>
      <c r="AF175" s="34" t="s">
        <v>55</v>
      </c>
      <c r="AG175" s="34"/>
      <c r="AH175" s="36" t="str">
        <f>IF(B175="","",INDEX(التقرير!$P$31:$P$260,ROW()-4))</f>
        <v>امازون (شحنات)</v>
      </c>
    </row>
    <row r="176" spans="1:34" x14ac:dyDescent="0.3">
      <c r="A176" s="29">
        <v>2583917600</v>
      </c>
      <c r="B176" s="30" t="s">
        <v>238</v>
      </c>
      <c r="C176" s="31" t="s">
        <v>7</v>
      </c>
      <c r="D176" s="32">
        <f t="shared" si="6"/>
        <v>172</v>
      </c>
      <c r="E176" s="31"/>
      <c r="F176" s="33">
        <v>45596</v>
      </c>
      <c r="G176" s="34"/>
      <c r="H176" s="30"/>
      <c r="I176" s="35">
        <f t="shared" si="7"/>
        <v>0</v>
      </c>
      <c r="J176" s="34"/>
      <c r="K176" s="34"/>
      <c r="L176" s="34"/>
      <c r="M176" s="34"/>
      <c r="N176" s="34"/>
      <c r="O176" s="34"/>
      <c r="P176" s="34"/>
      <c r="Q176" s="34"/>
      <c r="R176" s="34"/>
      <c r="S176" s="34"/>
      <c r="T176" s="34"/>
      <c r="U176" s="34"/>
      <c r="V176" s="34"/>
      <c r="W176" s="34"/>
      <c r="X176" s="34"/>
      <c r="Y176" s="34"/>
      <c r="Z176" s="34"/>
      <c r="AA176" s="34"/>
      <c r="AB176" s="34"/>
      <c r="AC176" s="34"/>
      <c r="AD176" s="34" t="s">
        <v>11</v>
      </c>
      <c r="AE176" s="34" t="s">
        <v>22</v>
      </c>
      <c r="AF176" s="34" t="s">
        <v>55</v>
      </c>
      <c r="AG176" s="34"/>
      <c r="AH176" s="36" t="str">
        <f>IF(B176="","",INDEX(التقرير!$P$31:$P$260,ROW()-4))</f>
        <v>امازون (شحنات)</v>
      </c>
    </row>
    <row r="177" spans="1:34" x14ac:dyDescent="0.3">
      <c r="A177" s="29">
        <v>2567989856</v>
      </c>
      <c r="B177" s="30" t="s">
        <v>239</v>
      </c>
      <c r="C177" s="31" t="s">
        <v>7</v>
      </c>
      <c r="D177" s="32">
        <f t="shared" si="6"/>
        <v>173</v>
      </c>
      <c r="E177" s="31"/>
      <c r="F177" s="33">
        <v>45412</v>
      </c>
      <c r="G177" s="34"/>
      <c r="H177" s="30"/>
      <c r="I177" s="35">
        <f t="shared" si="7"/>
        <v>0</v>
      </c>
      <c r="J177" s="34"/>
      <c r="K177" s="34"/>
      <c r="L177" s="34"/>
      <c r="M177" s="34"/>
      <c r="N177" s="34"/>
      <c r="O177" s="34"/>
      <c r="P177" s="34"/>
      <c r="Q177" s="34"/>
      <c r="R177" s="34"/>
      <c r="S177" s="34"/>
      <c r="T177" s="34"/>
      <c r="U177" s="34"/>
      <c r="V177" s="34"/>
      <c r="W177" s="34"/>
      <c r="X177" s="34"/>
      <c r="Y177" s="34"/>
      <c r="Z177" s="34"/>
      <c r="AA177" s="34"/>
      <c r="AB177" s="34"/>
      <c r="AC177" s="34"/>
      <c r="AD177" s="34" t="s">
        <v>11</v>
      </c>
      <c r="AE177" s="34" t="s">
        <v>22</v>
      </c>
      <c r="AF177" s="34" t="s">
        <v>24</v>
      </c>
      <c r="AG177" s="34"/>
      <c r="AH177" s="36" t="str">
        <f>IF(B177="","",INDEX(التقرير!$P$31:$P$260,ROW()-4))</f>
        <v>مستبعد (اجازة)</v>
      </c>
    </row>
    <row r="178" spans="1:34" x14ac:dyDescent="0.3">
      <c r="A178" s="29">
        <v>2646556874</v>
      </c>
      <c r="B178" s="30" t="s">
        <v>269</v>
      </c>
      <c r="C178" s="31" t="s">
        <v>8</v>
      </c>
      <c r="D178" s="32">
        <f t="shared" si="6"/>
        <v>174</v>
      </c>
      <c r="E178" s="31"/>
      <c r="F178" s="33">
        <v>46310</v>
      </c>
      <c r="G178" s="34"/>
      <c r="H178" s="30"/>
      <c r="I178" s="35">
        <f t="shared" si="7"/>
        <v>0</v>
      </c>
      <c r="J178" s="34"/>
      <c r="K178" s="34"/>
      <c r="L178" s="34"/>
      <c r="M178" s="34"/>
      <c r="N178" s="34"/>
      <c r="O178" s="34"/>
      <c r="P178" s="34"/>
      <c r="Q178" s="34"/>
      <c r="R178" s="34"/>
      <c r="S178" s="34"/>
      <c r="T178" s="34"/>
      <c r="U178" s="34"/>
      <c r="V178" s="34"/>
      <c r="W178" s="34"/>
      <c r="X178" s="34"/>
      <c r="Y178" s="34"/>
      <c r="Z178" s="34"/>
      <c r="AA178" s="34"/>
      <c r="AB178" s="34"/>
      <c r="AC178" s="34"/>
      <c r="AD178" s="34" t="s">
        <v>3</v>
      </c>
      <c r="AE178" s="34" t="s">
        <v>21</v>
      </c>
      <c r="AF178" s="34" t="s">
        <v>55</v>
      </c>
      <c r="AG178" s="34"/>
      <c r="AH178" s="36" t="str">
        <f>IF(B178="","",INDEX(التقرير!$P$31:$P$260,ROW()-4))</f>
        <v>بعيد</v>
      </c>
    </row>
    <row r="179" spans="1:34" x14ac:dyDescent="0.3">
      <c r="A179" s="29"/>
      <c r="B179" s="30"/>
      <c r="C179" s="31"/>
      <c r="D179" s="32" t="str">
        <f t="shared" si="6"/>
        <v/>
      </c>
      <c r="E179" s="31"/>
      <c r="F179" s="33"/>
      <c r="G179" s="34"/>
      <c r="H179" s="30"/>
      <c r="I179" s="35" t="str">
        <f t="shared" si="7"/>
        <v/>
      </c>
      <c r="J179" s="34"/>
      <c r="K179" s="34"/>
      <c r="L179" s="34"/>
      <c r="M179" s="34"/>
      <c r="N179" s="34"/>
      <c r="O179" s="34"/>
      <c r="P179" s="34"/>
      <c r="Q179" s="34"/>
      <c r="R179" s="34"/>
      <c r="S179" s="34"/>
      <c r="T179" s="34"/>
      <c r="U179" s="34"/>
      <c r="V179" s="34"/>
      <c r="W179" s="34"/>
      <c r="X179" s="34"/>
      <c r="Y179" s="34"/>
      <c r="Z179" s="34"/>
      <c r="AA179" s="34"/>
      <c r="AB179" s="34"/>
      <c r="AC179" s="34"/>
      <c r="AD179" s="34"/>
      <c r="AE179" s="34"/>
      <c r="AF179" s="34"/>
      <c r="AG179" s="34"/>
      <c r="AH179" s="36" t="str">
        <f>IF(B179="","",INDEX(التقرير!$P$31:$P$260,ROW()-4))</f>
        <v/>
      </c>
    </row>
    <row r="180" spans="1:34" x14ac:dyDescent="0.3">
      <c r="A180" s="29"/>
      <c r="B180" s="30"/>
      <c r="C180" s="31"/>
      <c r="D180" s="32" t="str">
        <f t="shared" si="6"/>
        <v/>
      </c>
      <c r="E180" s="31"/>
      <c r="F180" s="33"/>
      <c r="G180" s="34"/>
      <c r="H180" s="30"/>
      <c r="I180" s="35" t="str">
        <f t="shared" si="7"/>
        <v/>
      </c>
      <c r="J180" s="34"/>
      <c r="K180" s="34"/>
      <c r="L180" s="34"/>
      <c r="M180" s="34"/>
      <c r="N180" s="34"/>
      <c r="O180" s="34"/>
      <c r="P180" s="34"/>
      <c r="Q180" s="34"/>
      <c r="R180" s="34"/>
      <c r="S180" s="34"/>
      <c r="T180" s="34"/>
      <c r="U180" s="34"/>
      <c r="V180" s="34"/>
      <c r="W180" s="34"/>
      <c r="X180" s="34"/>
      <c r="Y180" s="34"/>
      <c r="Z180" s="34"/>
      <c r="AA180" s="34"/>
      <c r="AB180" s="34"/>
      <c r="AC180" s="34"/>
      <c r="AD180" s="34"/>
      <c r="AE180" s="34"/>
      <c r="AF180" s="34"/>
      <c r="AG180" s="34"/>
      <c r="AH180" s="36" t="str">
        <f>IF(B180="","",INDEX(التقرير!$P$31:$P$260,ROW()-4))</f>
        <v/>
      </c>
    </row>
    <row r="181" spans="1:34" x14ac:dyDescent="0.3">
      <c r="A181" s="29"/>
      <c r="B181" s="30"/>
      <c r="C181" s="31"/>
      <c r="D181" s="32" t="str">
        <f t="shared" si="6"/>
        <v/>
      </c>
      <c r="E181" s="31"/>
      <c r="F181" s="33"/>
      <c r="G181" s="34"/>
      <c r="H181" s="30"/>
      <c r="I181" s="35" t="str">
        <f t="shared" si="7"/>
        <v/>
      </c>
      <c r="J181" s="34"/>
      <c r="K181" s="34"/>
      <c r="L181" s="34"/>
      <c r="M181" s="34"/>
      <c r="N181" s="34"/>
      <c r="O181" s="34"/>
      <c r="P181" s="34"/>
      <c r="Q181" s="34"/>
      <c r="R181" s="34"/>
      <c r="S181" s="34"/>
      <c r="T181" s="34"/>
      <c r="U181" s="34"/>
      <c r="V181" s="34"/>
      <c r="W181" s="34"/>
      <c r="X181" s="34"/>
      <c r="Y181" s="34"/>
      <c r="Z181" s="34"/>
      <c r="AA181" s="34"/>
      <c r="AB181" s="34"/>
      <c r="AC181" s="34"/>
      <c r="AD181" s="34"/>
      <c r="AE181" s="34"/>
      <c r="AF181" s="34"/>
      <c r="AG181" s="34"/>
      <c r="AH181" s="36" t="str">
        <f>IF(B181="","",INDEX(التقرير!$P$31:$P$260,ROW()-4))</f>
        <v/>
      </c>
    </row>
    <row r="182" spans="1:34" x14ac:dyDescent="0.3">
      <c r="A182" s="29"/>
      <c r="B182" s="30"/>
      <c r="C182" s="31"/>
      <c r="D182" s="32" t="str">
        <f t="shared" si="6"/>
        <v/>
      </c>
      <c r="E182" s="31"/>
      <c r="F182" s="33"/>
      <c r="G182" s="34"/>
      <c r="H182" s="30"/>
      <c r="I182" s="35" t="str">
        <f t="shared" si="7"/>
        <v/>
      </c>
      <c r="J182" s="34"/>
      <c r="K182" s="34"/>
      <c r="L182" s="34"/>
      <c r="M182" s="34"/>
      <c r="N182" s="34"/>
      <c r="O182" s="34"/>
      <c r="P182" s="34"/>
      <c r="Q182" s="34"/>
      <c r="R182" s="34"/>
      <c r="S182" s="34"/>
      <c r="T182" s="34"/>
      <c r="U182" s="34"/>
      <c r="V182" s="34"/>
      <c r="W182" s="34"/>
      <c r="X182" s="34"/>
      <c r="Y182" s="34"/>
      <c r="Z182" s="34"/>
      <c r="AA182" s="34"/>
      <c r="AB182" s="34"/>
      <c r="AC182" s="34"/>
      <c r="AD182" s="34"/>
      <c r="AE182" s="34"/>
      <c r="AF182" s="34"/>
      <c r="AG182" s="34"/>
      <c r="AH182" s="36" t="str">
        <f>IF(B182="","",INDEX(التقرير!$P$31:$P$260,ROW()-4))</f>
        <v/>
      </c>
    </row>
    <row r="183" spans="1:34" x14ac:dyDescent="0.3">
      <c r="A183" s="29"/>
      <c r="B183" s="30"/>
      <c r="C183" s="31"/>
      <c r="D183" s="32" t="str">
        <f t="shared" si="6"/>
        <v/>
      </c>
      <c r="E183" s="31"/>
      <c r="F183" s="33"/>
      <c r="G183" s="34"/>
      <c r="H183" s="30"/>
      <c r="I183" s="35" t="str">
        <f t="shared" si="7"/>
        <v/>
      </c>
      <c r="J183" s="34"/>
      <c r="K183" s="34"/>
      <c r="L183" s="34"/>
      <c r="M183" s="34"/>
      <c r="N183" s="34"/>
      <c r="O183" s="34"/>
      <c r="P183" s="34"/>
      <c r="Q183" s="34"/>
      <c r="R183" s="34"/>
      <c r="S183" s="34"/>
      <c r="T183" s="34"/>
      <c r="U183" s="34"/>
      <c r="V183" s="34"/>
      <c r="W183" s="34"/>
      <c r="X183" s="34"/>
      <c r="Y183" s="34"/>
      <c r="Z183" s="34"/>
      <c r="AA183" s="34"/>
      <c r="AB183" s="34"/>
      <c r="AC183" s="34"/>
      <c r="AD183" s="34"/>
      <c r="AE183" s="34"/>
      <c r="AF183" s="34"/>
      <c r="AG183" s="34"/>
      <c r="AH183" s="36" t="str">
        <f>IF(B183="","",INDEX(التقرير!$P$31:$P$260,ROW()-4))</f>
        <v/>
      </c>
    </row>
    <row r="184" spans="1:34" x14ac:dyDescent="0.3">
      <c r="A184" s="29"/>
      <c r="B184" s="30"/>
      <c r="C184" s="31"/>
      <c r="D184" s="32" t="str">
        <f t="shared" si="6"/>
        <v/>
      </c>
      <c r="E184" s="31"/>
      <c r="F184" s="33"/>
      <c r="G184" s="34"/>
      <c r="H184" s="30"/>
      <c r="I184" s="35" t="str">
        <f t="shared" si="7"/>
        <v/>
      </c>
      <c r="J184" s="34"/>
      <c r="K184" s="34"/>
      <c r="L184" s="34"/>
      <c r="M184" s="34"/>
      <c r="N184" s="34"/>
      <c r="O184" s="34"/>
      <c r="P184" s="34"/>
      <c r="Q184" s="34"/>
      <c r="R184" s="34"/>
      <c r="S184" s="34"/>
      <c r="T184" s="34"/>
      <c r="U184" s="34"/>
      <c r="V184" s="34"/>
      <c r="W184" s="34"/>
      <c r="X184" s="34"/>
      <c r="Y184" s="34"/>
      <c r="Z184" s="34"/>
      <c r="AA184" s="34"/>
      <c r="AB184" s="34"/>
      <c r="AC184" s="34"/>
      <c r="AD184" s="34"/>
      <c r="AE184" s="34"/>
      <c r="AF184" s="34"/>
      <c r="AG184" s="34"/>
      <c r="AH184" s="36" t="str">
        <f>IF(B184="","",INDEX(التقرير!$P$31:$P$260,ROW()-4))</f>
        <v/>
      </c>
    </row>
    <row r="185" spans="1:34" x14ac:dyDescent="0.3">
      <c r="A185" s="29"/>
      <c r="B185" s="30"/>
      <c r="C185" s="31"/>
      <c r="D185" s="32" t="str">
        <f t="shared" si="6"/>
        <v/>
      </c>
      <c r="E185" s="31"/>
      <c r="F185" s="33"/>
      <c r="G185" s="34"/>
      <c r="H185" s="30"/>
      <c r="I185" s="35" t="str">
        <f t="shared" si="7"/>
        <v/>
      </c>
      <c r="J185" s="34"/>
      <c r="K185" s="34"/>
      <c r="L185" s="34"/>
      <c r="M185" s="34"/>
      <c r="N185" s="34"/>
      <c r="O185" s="34"/>
      <c r="P185" s="34"/>
      <c r="Q185" s="34"/>
      <c r="R185" s="34"/>
      <c r="S185" s="34"/>
      <c r="T185" s="34"/>
      <c r="U185" s="34"/>
      <c r="V185" s="34"/>
      <c r="W185" s="34"/>
      <c r="X185" s="34"/>
      <c r="Y185" s="34"/>
      <c r="Z185" s="34"/>
      <c r="AA185" s="34"/>
      <c r="AB185" s="34"/>
      <c r="AC185" s="34"/>
      <c r="AD185" s="34"/>
      <c r="AE185" s="34"/>
      <c r="AF185" s="34"/>
      <c r="AG185" s="34"/>
      <c r="AH185" s="36" t="str">
        <f>IF(B185="","",INDEX(التقرير!$P$31:$P$260,ROW()-4))</f>
        <v/>
      </c>
    </row>
    <row r="186" spans="1:34" x14ac:dyDescent="0.3">
      <c r="A186" s="29"/>
      <c r="B186" s="30"/>
      <c r="C186" s="31"/>
      <c r="D186" s="32" t="str">
        <f t="shared" si="6"/>
        <v/>
      </c>
      <c r="E186" s="31"/>
      <c r="F186" s="33"/>
      <c r="G186" s="34"/>
      <c r="H186" s="30"/>
      <c r="I186" s="35" t="str">
        <f t="shared" si="7"/>
        <v/>
      </c>
      <c r="J186" s="34"/>
      <c r="K186" s="34"/>
      <c r="L186" s="34"/>
      <c r="M186" s="34"/>
      <c r="N186" s="34"/>
      <c r="O186" s="34"/>
      <c r="P186" s="34"/>
      <c r="Q186" s="34"/>
      <c r="R186" s="34"/>
      <c r="S186" s="34"/>
      <c r="T186" s="34"/>
      <c r="U186" s="34"/>
      <c r="V186" s="34"/>
      <c r="W186" s="34"/>
      <c r="X186" s="34"/>
      <c r="Y186" s="34"/>
      <c r="Z186" s="34"/>
      <c r="AA186" s="34"/>
      <c r="AB186" s="34"/>
      <c r="AC186" s="34"/>
      <c r="AD186" s="34"/>
      <c r="AE186" s="34"/>
      <c r="AF186" s="34"/>
      <c r="AG186" s="34"/>
      <c r="AH186" s="36" t="str">
        <f>IF(B186="","",INDEX(التقرير!$P$31:$P$260,ROW()-4))</f>
        <v/>
      </c>
    </row>
    <row r="187" spans="1:34" x14ac:dyDescent="0.3">
      <c r="A187" s="29"/>
      <c r="B187" s="30"/>
      <c r="C187" s="31"/>
      <c r="D187" s="32" t="str">
        <f t="shared" si="6"/>
        <v/>
      </c>
      <c r="E187" s="31"/>
      <c r="F187" s="33"/>
      <c r="G187" s="34"/>
      <c r="H187" s="30"/>
      <c r="I187" s="35" t="str">
        <f t="shared" si="7"/>
        <v/>
      </c>
      <c r="J187" s="34"/>
      <c r="K187" s="34"/>
      <c r="L187" s="34"/>
      <c r="M187" s="34"/>
      <c r="N187" s="34"/>
      <c r="O187" s="34"/>
      <c r="P187" s="34"/>
      <c r="Q187" s="34"/>
      <c r="R187" s="34"/>
      <c r="S187" s="34"/>
      <c r="T187" s="34"/>
      <c r="U187" s="34"/>
      <c r="V187" s="34"/>
      <c r="W187" s="34"/>
      <c r="X187" s="34"/>
      <c r="Y187" s="34"/>
      <c r="Z187" s="34"/>
      <c r="AA187" s="34"/>
      <c r="AB187" s="34"/>
      <c r="AC187" s="34"/>
      <c r="AD187" s="34"/>
      <c r="AE187" s="34"/>
      <c r="AF187" s="34"/>
      <c r="AG187" s="34"/>
      <c r="AH187" s="36" t="str">
        <f>IF(B187="","",INDEX(التقرير!$P$31:$P$260,ROW()-4))</f>
        <v/>
      </c>
    </row>
    <row r="188" spans="1:34" x14ac:dyDescent="0.3">
      <c r="A188" s="29"/>
      <c r="B188" s="30"/>
      <c r="C188" s="31"/>
      <c r="D188" s="32" t="str">
        <f t="shared" si="6"/>
        <v/>
      </c>
      <c r="E188" s="31"/>
      <c r="F188" s="33"/>
      <c r="G188" s="34"/>
      <c r="H188" s="30"/>
      <c r="I188" s="35" t="str">
        <f t="shared" si="7"/>
        <v/>
      </c>
      <c r="J188" s="34"/>
      <c r="K188" s="34"/>
      <c r="L188" s="34"/>
      <c r="M188" s="34"/>
      <c r="N188" s="34"/>
      <c r="O188" s="34"/>
      <c r="P188" s="34"/>
      <c r="Q188" s="34"/>
      <c r="R188" s="34"/>
      <c r="S188" s="34"/>
      <c r="T188" s="34"/>
      <c r="U188" s="34"/>
      <c r="V188" s="34"/>
      <c r="W188" s="34"/>
      <c r="X188" s="34"/>
      <c r="Y188" s="34"/>
      <c r="Z188" s="34"/>
      <c r="AA188" s="34"/>
      <c r="AB188" s="34"/>
      <c r="AC188" s="34"/>
      <c r="AD188" s="34"/>
      <c r="AE188" s="34"/>
      <c r="AF188" s="34"/>
      <c r="AG188" s="34"/>
      <c r="AH188" s="36" t="str">
        <f>IF(B188="","",INDEX(التقرير!$P$31:$P$260,ROW()-4))</f>
        <v/>
      </c>
    </row>
    <row r="189" spans="1:34" x14ac:dyDescent="0.3">
      <c r="A189" s="29"/>
      <c r="B189" s="30"/>
      <c r="C189" s="31"/>
      <c r="D189" s="32" t="str">
        <f t="shared" si="6"/>
        <v/>
      </c>
      <c r="E189" s="31"/>
      <c r="F189" s="33"/>
      <c r="G189" s="34"/>
      <c r="H189" s="30"/>
      <c r="I189" s="35" t="str">
        <f t="shared" si="7"/>
        <v/>
      </c>
      <c r="J189" s="34"/>
      <c r="K189" s="34"/>
      <c r="L189" s="34"/>
      <c r="M189" s="34"/>
      <c r="N189" s="34"/>
      <c r="O189" s="34"/>
      <c r="P189" s="34"/>
      <c r="Q189" s="34"/>
      <c r="R189" s="34"/>
      <c r="S189" s="34"/>
      <c r="T189" s="34"/>
      <c r="U189" s="34"/>
      <c r="V189" s="34"/>
      <c r="W189" s="34"/>
      <c r="X189" s="34"/>
      <c r="Y189" s="34"/>
      <c r="Z189" s="34"/>
      <c r="AA189" s="34"/>
      <c r="AB189" s="34"/>
      <c r="AC189" s="34"/>
      <c r="AD189" s="34"/>
      <c r="AE189" s="34"/>
      <c r="AF189" s="34"/>
      <c r="AG189" s="34"/>
      <c r="AH189" s="36" t="str">
        <f>IF(B189="","",INDEX(التقرير!$P$31:$P$260,ROW()-4))</f>
        <v/>
      </c>
    </row>
    <row r="190" spans="1:34" x14ac:dyDescent="0.3">
      <c r="A190" s="29"/>
      <c r="B190" s="30"/>
      <c r="C190" s="31"/>
      <c r="D190" s="32" t="str">
        <f t="shared" si="6"/>
        <v/>
      </c>
      <c r="E190" s="31"/>
      <c r="F190" s="33"/>
      <c r="G190" s="34"/>
      <c r="H190" s="30"/>
      <c r="I190" s="35" t="str">
        <f t="shared" si="7"/>
        <v/>
      </c>
      <c r="J190" s="34"/>
      <c r="K190" s="34"/>
      <c r="L190" s="34"/>
      <c r="M190" s="34"/>
      <c r="N190" s="34"/>
      <c r="O190" s="34"/>
      <c r="P190" s="34"/>
      <c r="Q190" s="34"/>
      <c r="R190" s="34"/>
      <c r="S190" s="34"/>
      <c r="T190" s="34"/>
      <c r="U190" s="34"/>
      <c r="V190" s="34"/>
      <c r="W190" s="34"/>
      <c r="X190" s="34"/>
      <c r="Y190" s="34"/>
      <c r="Z190" s="34"/>
      <c r="AA190" s="34"/>
      <c r="AB190" s="34"/>
      <c r="AC190" s="34"/>
      <c r="AD190" s="34"/>
      <c r="AE190" s="34"/>
      <c r="AF190" s="34"/>
      <c r="AG190" s="34"/>
      <c r="AH190" s="36" t="str">
        <f>IF(B190="","",INDEX(التقرير!$P$31:$P$260,ROW()-4))</f>
        <v/>
      </c>
    </row>
    <row r="191" spans="1:34" x14ac:dyDescent="0.3">
      <c r="A191" s="29"/>
      <c r="B191" s="30"/>
      <c r="C191" s="31"/>
      <c r="D191" s="32" t="str">
        <f t="shared" si="6"/>
        <v/>
      </c>
      <c r="E191" s="31"/>
      <c r="F191" s="33"/>
      <c r="G191" s="34"/>
      <c r="H191" s="30"/>
      <c r="I191" s="35" t="str">
        <f t="shared" si="7"/>
        <v/>
      </c>
      <c r="J191" s="34"/>
      <c r="K191" s="34"/>
      <c r="L191" s="34"/>
      <c r="M191" s="34"/>
      <c r="N191" s="34"/>
      <c r="O191" s="34"/>
      <c r="P191" s="34"/>
      <c r="Q191" s="34"/>
      <c r="R191" s="34"/>
      <c r="S191" s="34"/>
      <c r="T191" s="34"/>
      <c r="U191" s="34"/>
      <c r="V191" s="34"/>
      <c r="W191" s="34"/>
      <c r="X191" s="34"/>
      <c r="Y191" s="34"/>
      <c r="Z191" s="34"/>
      <c r="AA191" s="34"/>
      <c r="AB191" s="34"/>
      <c r="AC191" s="34"/>
      <c r="AD191" s="34"/>
      <c r="AE191" s="34"/>
      <c r="AF191" s="34"/>
      <c r="AG191" s="34"/>
      <c r="AH191" s="36" t="str">
        <f>IF(B191="","",INDEX(التقرير!$P$31:$P$260,ROW()-4))</f>
        <v/>
      </c>
    </row>
    <row r="192" spans="1:34" x14ac:dyDescent="0.3">
      <c r="A192" s="29"/>
      <c r="B192" s="30"/>
      <c r="C192" s="31"/>
      <c r="D192" s="32" t="str">
        <f t="shared" si="6"/>
        <v/>
      </c>
      <c r="E192" s="31"/>
      <c r="F192" s="33"/>
      <c r="G192" s="34"/>
      <c r="H192" s="30"/>
      <c r="I192" s="35" t="str">
        <f t="shared" si="7"/>
        <v/>
      </c>
      <c r="J192" s="34"/>
      <c r="K192" s="34"/>
      <c r="L192" s="34"/>
      <c r="M192" s="34"/>
      <c r="N192" s="34"/>
      <c r="O192" s="34"/>
      <c r="P192" s="34"/>
      <c r="Q192" s="34"/>
      <c r="R192" s="34"/>
      <c r="S192" s="34"/>
      <c r="T192" s="34"/>
      <c r="U192" s="34"/>
      <c r="V192" s="34"/>
      <c r="W192" s="34"/>
      <c r="X192" s="34"/>
      <c r="Y192" s="34"/>
      <c r="Z192" s="34"/>
      <c r="AA192" s="34"/>
      <c r="AB192" s="34"/>
      <c r="AC192" s="34"/>
      <c r="AD192" s="34"/>
      <c r="AE192" s="34"/>
      <c r="AF192" s="34"/>
      <c r="AG192" s="34"/>
      <c r="AH192" s="36" t="str">
        <f>IF(B192="","",INDEX(التقرير!$P$31:$P$260,ROW()-4))</f>
        <v/>
      </c>
    </row>
    <row r="193" spans="1:34" x14ac:dyDescent="0.3">
      <c r="A193" s="29"/>
      <c r="B193" s="30"/>
      <c r="C193" s="31"/>
      <c r="D193" s="32" t="str">
        <f t="shared" si="6"/>
        <v/>
      </c>
      <c r="E193" s="31"/>
      <c r="F193" s="33"/>
      <c r="G193" s="34"/>
      <c r="H193" s="30"/>
      <c r="I193" s="35" t="str">
        <f t="shared" si="7"/>
        <v/>
      </c>
      <c r="J193" s="34"/>
      <c r="K193" s="34"/>
      <c r="L193" s="34"/>
      <c r="M193" s="34"/>
      <c r="N193" s="34"/>
      <c r="O193" s="34"/>
      <c r="P193" s="34"/>
      <c r="Q193" s="34"/>
      <c r="R193" s="34"/>
      <c r="S193" s="34"/>
      <c r="T193" s="34"/>
      <c r="U193" s="34"/>
      <c r="V193" s="34"/>
      <c r="W193" s="34"/>
      <c r="X193" s="34"/>
      <c r="Y193" s="34"/>
      <c r="Z193" s="34"/>
      <c r="AA193" s="34"/>
      <c r="AB193" s="34"/>
      <c r="AC193" s="34"/>
      <c r="AD193" s="34"/>
      <c r="AE193" s="34"/>
      <c r="AF193" s="34"/>
      <c r="AG193" s="34"/>
      <c r="AH193" s="36" t="str">
        <f>IF(B193="","",INDEX(التقرير!$P$31:$P$260,ROW()-4))</f>
        <v/>
      </c>
    </row>
    <row r="194" spans="1:34" x14ac:dyDescent="0.3">
      <c r="A194" s="29"/>
      <c r="B194" s="30"/>
      <c r="C194" s="31"/>
      <c r="D194" s="32" t="str">
        <f t="shared" si="6"/>
        <v/>
      </c>
      <c r="E194" s="31"/>
      <c r="F194" s="33"/>
      <c r="G194" s="34"/>
      <c r="H194" s="30"/>
      <c r="I194" s="35" t="str">
        <f t="shared" si="7"/>
        <v/>
      </c>
      <c r="J194" s="34"/>
      <c r="K194" s="34"/>
      <c r="L194" s="34"/>
      <c r="M194" s="34"/>
      <c r="N194" s="34"/>
      <c r="O194" s="34"/>
      <c r="P194" s="34"/>
      <c r="Q194" s="34"/>
      <c r="R194" s="34"/>
      <c r="S194" s="34"/>
      <c r="T194" s="34"/>
      <c r="U194" s="34"/>
      <c r="V194" s="34"/>
      <c r="W194" s="34"/>
      <c r="X194" s="34"/>
      <c r="Y194" s="34"/>
      <c r="Z194" s="34"/>
      <c r="AA194" s="34"/>
      <c r="AB194" s="34"/>
      <c r="AC194" s="34"/>
      <c r="AD194" s="34"/>
      <c r="AE194" s="34"/>
      <c r="AF194" s="34"/>
      <c r="AG194" s="34"/>
      <c r="AH194" s="36" t="str">
        <f>IF(B194="","",INDEX(التقرير!$P$31:$P$260,ROW()-4))</f>
        <v/>
      </c>
    </row>
    <row r="195" spans="1:34" x14ac:dyDescent="0.3">
      <c r="A195" s="29"/>
      <c r="B195" s="30"/>
      <c r="C195" s="31"/>
      <c r="D195" s="32" t="str">
        <f t="shared" si="6"/>
        <v/>
      </c>
      <c r="E195" s="31"/>
      <c r="F195" s="33"/>
      <c r="G195" s="34"/>
      <c r="H195" s="30"/>
      <c r="I195" s="35" t="str">
        <f t="shared" si="7"/>
        <v/>
      </c>
      <c r="J195" s="34"/>
      <c r="K195" s="34"/>
      <c r="L195" s="34"/>
      <c r="M195" s="34"/>
      <c r="N195" s="34"/>
      <c r="O195" s="34"/>
      <c r="P195" s="34"/>
      <c r="Q195" s="34"/>
      <c r="R195" s="34"/>
      <c r="S195" s="34"/>
      <c r="T195" s="34"/>
      <c r="U195" s="34"/>
      <c r="V195" s="34"/>
      <c r="W195" s="34"/>
      <c r="X195" s="34"/>
      <c r="Y195" s="34"/>
      <c r="Z195" s="34"/>
      <c r="AA195" s="34"/>
      <c r="AB195" s="34"/>
      <c r="AC195" s="34"/>
      <c r="AD195" s="34"/>
      <c r="AE195" s="34"/>
      <c r="AF195" s="34"/>
      <c r="AG195" s="34"/>
      <c r="AH195" s="36" t="str">
        <f>IF(B195="","",INDEX(التقرير!$P$31:$P$260,ROW()-4))</f>
        <v/>
      </c>
    </row>
    <row r="196" spans="1:34" x14ac:dyDescent="0.3">
      <c r="A196" s="29"/>
      <c r="B196" s="30"/>
      <c r="C196" s="31"/>
      <c r="D196" s="32" t="str">
        <f t="shared" si="6"/>
        <v/>
      </c>
      <c r="E196" s="31"/>
      <c r="F196" s="33"/>
      <c r="G196" s="34"/>
      <c r="H196" s="30"/>
      <c r="I196" s="35" t="str">
        <f t="shared" si="7"/>
        <v/>
      </c>
      <c r="J196" s="34"/>
      <c r="K196" s="34"/>
      <c r="L196" s="34"/>
      <c r="M196" s="34"/>
      <c r="N196" s="34"/>
      <c r="O196" s="34"/>
      <c r="P196" s="34"/>
      <c r="Q196" s="34"/>
      <c r="R196" s="34"/>
      <c r="S196" s="34"/>
      <c r="T196" s="34"/>
      <c r="U196" s="34"/>
      <c r="V196" s="34"/>
      <c r="W196" s="34"/>
      <c r="X196" s="34"/>
      <c r="Y196" s="34"/>
      <c r="Z196" s="34"/>
      <c r="AA196" s="34"/>
      <c r="AB196" s="34"/>
      <c r="AC196" s="34"/>
      <c r="AD196" s="34"/>
      <c r="AE196" s="34"/>
      <c r="AF196" s="34"/>
      <c r="AG196" s="34"/>
      <c r="AH196" s="36" t="str">
        <f>IF(B196="","",INDEX(التقرير!$P$31:$P$260,ROW()-4))</f>
        <v/>
      </c>
    </row>
    <row r="197" spans="1:34" x14ac:dyDescent="0.3">
      <c r="A197" s="29"/>
      <c r="B197" s="30"/>
      <c r="C197" s="31"/>
      <c r="D197" s="32" t="str">
        <f t="shared" ref="D197:D234" si="8">IF(B197="","",ROW()-4)</f>
        <v/>
      </c>
      <c r="E197" s="31"/>
      <c r="F197" s="33"/>
      <c r="G197" s="34"/>
      <c r="H197" s="30"/>
      <c r="I197" s="35" t="str">
        <f t="shared" ref="I197:I234" si="9">IF(B197="","",J197+SUM(L197:AA197)+N(AC197))</f>
        <v/>
      </c>
      <c r="J197" s="34"/>
      <c r="K197" s="34"/>
      <c r="L197" s="34"/>
      <c r="M197" s="34"/>
      <c r="N197" s="34"/>
      <c r="O197" s="34"/>
      <c r="P197" s="34"/>
      <c r="Q197" s="34"/>
      <c r="R197" s="34"/>
      <c r="S197" s="34"/>
      <c r="T197" s="34"/>
      <c r="U197" s="34"/>
      <c r="V197" s="34"/>
      <c r="W197" s="34"/>
      <c r="X197" s="34"/>
      <c r="Y197" s="34"/>
      <c r="Z197" s="34"/>
      <c r="AA197" s="34"/>
      <c r="AB197" s="34"/>
      <c r="AC197" s="34"/>
      <c r="AD197" s="34"/>
      <c r="AE197" s="34"/>
      <c r="AF197" s="34"/>
      <c r="AG197" s="34"/>
      <c r="AH197" s="36" t="str">
        <f>IF(B197="","",INDEX(التقرير!$P$31:$P$260,ROW()-4))</f>
        <v/>
      </c>
    </row>
    <row r="198" spans="1:34" x14ac:dyDescent="0.3">
      <c r="A198" s="29"/>
      <c r="B198" s="30"/>
      <c r="C198" s="31"/>
      <c r="D198" s="32" t="str">
        <f t="shared" si="8"/>
        <v/>
      </c>
      <c r="E198" s="31"/>
      <c r="F198" s="33"/>
      <c r="G198" s="34"/>
      <c r="H198" s="30"/>
      <c r="I198" s="35" t="str">
        <f t="shared" si="9"/>
        <v/>
      </c>
      <c r="J198" s="34"/>
      <c r="K198" s="34"/>
      <c r="L198" s="34"/>
      <c r="M198" s="34"/>
      <c r="N198" s="34"/>
      <c r="O198" s="34"/>
      <c r="P198" s="34"/>
      <c r="Q198" s="34"/>
      <c r="R198" s="34"/>
      <c r="S198" s="34"/>
      <c r="T198" s="34"/>
      <c r="U198" s="34"/>
      <c r="V198" s="34"/>
      <c r="W198" s="34"/>
      <c r="X198" s="34"/>
      <c r="Y198" s="34"/>
      <c r="Z198" s="34"/>
      <c r="AA198" s="34"/>
      <c r="AB198" s="34"/>
      <c r="AC198" s="34"/>
      <c r="AD198" s="34"/>
      <c r="AE198" s="34"/>
      <c r="AF198" s="34"/>
      <c r="AG198" s="34"/>
      <c r="AH198" s="36" t="str">
        <f>IF(B198="","",INDEX(التقرير!$P$31:$P$260,ROW()-4))</f>
        <v/>
      </c>
    </row>
    <row r="199" spans="1:34" x14ac:dyDescent="0.3">
      <c r="A199" s="29"/>
      <c r="B199" s="30"/>
      <c r="C199" s="31"/>
      <c r="D199" s="32" t="str">
        <f t="shared" si="8"/>
        <v/>
      </c>
      <c r="E199" s="31"/>
      <c r="F199" s="33"/>
      <c r="G199" s="34"/>
      <c r="H199" s="30"/>
      <c r="I199" s="35" t="str">
        <f t="shared" si="9"/>
        <v/>
      </c>
      <c r="J199" s="34"/>
      <c r="K199" s="34"/>
      <c r="L199" s="34"/>
      <c r="M199" s="34"/>
      <c r="N199" s="34"/>
      <c r="O199" s="34"/>
      <c r="P199" s="34"/>
      <c r="Q199" s="34"/>
      <c r="R199" s="34"/>
      <c r="S199" s="34"/>
      <c r="T199" s="34"/>
      <c r="U199" s="34"/>
      <c r="V199" s="34"/>
      <c r="W199" s="34"/>
      <c r="X199" s="34"/>
      <c r="Y199" s="34"/>
      <c r="Z199" s="34"/>
      <c r="AA199" s="34"/>
      <c r="AB199" s="34"/>
      <c r="AC199" s="34"/>
      <c r="AD199" s="34"/>
      <c r="AE199" s="34"/>
      <c r="AF199" s="34"/>
      <c r="AG199" s="34"/>
      <c r="AH199" s="36" t="str">
        <f>IF(B199="","",INDEX(التقرير!$P$31:$P$260,ROW()-4))</f>
        <v/>
      </c>
    </row>
    <row r="200" spans="1:34" x14ac:dyDescent="0.3">
      <c r="A200" s="29"/>
      <c r="B200" s="30"/>
      <c r="C200" s="31"/>
      <c r="D200" s="32" t="str">
        <f t="shared" si="8"/>
        <v/>
      </c>
      <c r="E200" s="31"/>
      <c r="F200" s="33"/>
      <c r="G200" s="34"/>
      <c r="H200" s="30"/>
      <c r="I200" s="35" t="str">
        <f t="shared" si="9"/>
        <v/>
      </c>
      <c r="J200" s="34"/>
      <c r="K200" s="34"/>
      <c r="L200" s="34"/>
      <c r="M200" s="34"/>
      <c r="N200" s="34"/>
      <c r="O200" s="34"/>
      <c r="P200" s="34"/>
      <c r="Q200" s="34"/>
      <c r="R200" s="34"/>
      <c r="S200" s="34"/>
      <c r="T200" s="34"/>
      <c r="U200" s="34"/>
      <c r="V200" s="34"/>
      <c r="W200" s="34"/>
      <c r="X200" s="34"/>
      <c r="Y200" s="34"/>
      <c r="Z200" s="34"/>
      <c r="AA200" s="34"/>
      <c r="AB200" s="34"/>
      <c r="AC200" s="34"/>
      <c r="AD200" s="34"/>
      <c r="AE200" s="34"/>
      <c r="AF200" s="34"/>
      <c r="AG200" s="34"/>
      <c r="AH200" s="36" t="str">
        <f>IF(B200="","",INDEX(التقرير!$P$31:$P$260,ROW()-4))</f>
        <v/>
      </c>
    </row>
    <row r="201" spans="1:34" x14ac:dyDescent="0.3">
      <c r="A201" s="29"/>
      <c r="B201" s="30"/>
      <c r="C201" s="31"/>
      <c r="D201" s="32" t="str">
        <f t="shared" si="8"/>
        <v/>
      </c>
      <c r="E201" s="31"/>
      <c r="F201" s="33"/>
      <c r="G201" s="34"/>
      <c r="H201" s="30"/>
      <c r="I201" s="35" t="str">
        <f t="shared" si="9"/>
        <v/>
      </c>
      <c r="J201" s="34"/>
      <c r="K201" s="34"/>
      <c r="L201" s="34"/>
      <c r="M201" s="34"/>
      <c r="N201" s="34"/>
      <c r="O201" s="34"/>
      <c r="P201" s="34"/>
      <c r="Q201" s="34"/>
      <c r="R201" s="34"/>
      <c r="S201" s="34"/>
      <c r="T201" s="34"/>
      <c r="U201" s="34"/>
      <c r="V201" s="34"/>
      <c r="W201" s="34"/>
      <c r="X201" s="34"/>
      <c r="Y201" s="34"/>
      <c r="Z201" s="34"/>
      <c r="AA201" s="34"/>
      <c r="AB201" s="34"/>
      <c r="AC201" s="34"/>
      <c r="AD201" s="34"/>
      <c r="AE201" s="34"/>
      <c r="AF201" s="34"/>
      <c r="AG201" s="34"/>
      <c r="AH201" s="36" t="str">
        <f>IF(B201="","",INDEX(التقرير!$P$31:$P$260,ROW()-4))</f>
        <v/>
      </c>
    </row>
    <row r="202" spans="1:34" x14ac:dyDescent="0.3">
      <c r="A202" s="29"/>
      <c r="B202" s="30"/>
      <c r="C202" s="31"/>
      <c r="D202" s="32" t="str">
        <f t="shared" si="8"/>
        <v/>
      </c>
      <c r="E202" s="31"/>
      <c r="F202" s="33"/>
      <c r="G202" s="34"/>
      <c r="H202" s="30"/>
      <c r="I202" s="35" t="str">
        <f t="shared" si="9"/>
        <v/>
      </c>
      <c r="J202" s="34"/>
      <c r="K202" s="34"/>
      <c r="L202" s="34"/>
      <c r="M202" s="34"/>
      <c r="N202" s="34"/>
      <c r="O202" s="34"/>
      <c r="P202" s="34"/>
      <c r="Q202" s="34"/>
      <c r="R202" s="34"/>
      <c r="S202" s="34"/>
      <c r="T202" s="34"/>
      <c r="U202" s="34"/>
      <c r="V202" s="34"/>
      <c r="W202" s="34"/>
      <c r="X202" s="34"/>
      <c r="Y202" s="34"/>
      <c r="Z202" s="34"/>
      <c r="AA202" s="34"/>
      <c r="AB202" s="34"/>
      <c r="AC202" s="34"/>
      <c r="AD202" s="34"/>
      <c r="AE202" s="34"/>
      <c r="AF202" s="34"/>
      <c r="AG202" s="34"/>
      <c r="AH202" s="36" t="str">
        <f>IF(B202="","",INDEX(التقرير!$P$31:$P$260,ROW()-4))</f>
        <v/>
      </c>
    </row>
    <row r="203" spans="1:34" x14ac:dyDescent="0.3">
      <c r="A203" s="29"/>
      <c r="B203" s="30"/>
      <c r="C203" s="31"/>
      <c r="D203" s="32" t="str">
        <f t="shared" si="8"/>
        <v/>
      </c>
      <c r="E203" s="31"/>
      <c r="F203" s="33"/>
      <c r="G203" s="34"/>
      <c r="H203" s="30"/>
      <c r="I203" s="35" t="str">
        <f t="shared" si="9"/>
        <v/>
      </c>
      <c r="J203" s="34"/>
      <c r="K203" s="34"/>
      <c r="L203" s="34"/>
      <c r="M203" s="34"/>
      <c r="N203" s="34"/>
      <c r="O203" s="34"/>
      <c r="P203" s="34"/>
      <c r="Q203" s="34"/>
      <c r="R203" s="34"/>
      <c r="S203" s="34"/>
      <c r="T203" s="34"/>
      <c r="U203" s="34"/>
      <c r="V203" s="34"/>
      <c r="W203" s="34"/>
      <c r="X203" s="34"/>
      <c r="Y203" s="34"/>
      <c r="Z203" s="34"/>
      <c r="AA203" s="34"/>
      <c r="AB203" s="34"/>
      <c r="AC203" s="34"/>
      <c r="AD203" s="34"/>
      <c r="AE203" s="34"/>
      <c r="AF203" s="34"/>
      <c r="AG203" s="34"/>
      <c r="AH203" s="36" t="str">
        <f>IF(B203="","",INDEX(التقرير!$P$31:$P$260,ROW()-4))</f>
        <v/>
      </c>
    </row>
    <row r="204" spans="1:34" x14ac:dyDescent="0.3">
      <c r="A204" s="29"/>
      <c r="B204" s="30"/>
      <c r="C204" s="31"/>
      <c r="D204" s="32" t="str">
        <f t="shared" si="8"/>
        <v/>
      </c>
      <c r="E204" s="31"/>
      <c r="F204" s="33"/>
      <c r="G204" s="34"/>
      <c r="H204" s="30"/>
      <c r="I204" s="35" t="str">
        <f t="shared" si="9"/>
        <v/>
      </c>
      <c r="J204" s="34"/>
      <c r="K204" s="34"/>
      <c r="L204" s="34"/>
      <c r="M204" s="34"/>
      <c r="N204" s="34"/>
      <c r="O204" s="34"/>
      <c r="P204" s="34"/>
      <c r="Q204" s="34"/>
      <c r="R204" s="34"/>
      <c r="S204" s="34"/>
      <c r="T204" s="34"/>
      <c r="U204" s="34"/>
      <c r="V204" s="34"/>
      <c r="W204" s="34"/>
      <c r="X204" s="34"/>
      <c r="Y204" s="34"/>
      <c r="Z204" s="34"/>
      <c r="AA204" s="34"/>
      <c r="AB204" s="34"/>
      <c r="AC204" s="34"/>
      <c r="AD204" s="34"/>
      <c r="AE204" s="34"/>
      <c r="AF204" s="34"/>
      <c r="AG204" s="34"/>
      <c r="AH204" s="36" t="str">
        <f>IF(B204="","",INDEX(التقرير!$P$31:$P$260,ROW()-4))</f>
        <v/>
      </c>
    </row>
    <row r="205" spans="1:34" x14ac:dyDescent="0.3">
      <c r="A205" s="29"/>
      <c r="B205" s="30"/>
      <c r="C205" s="31"/>
      <c r="D205" s="32" t="str">
        <f t="shared" si="8"/>
        <v/>
      </c>
      <c r="E205" s="31"/>
      <c r="F205" s="33"/>
      <c r="G205" s="34"/>
      <c r="H205" s="30"/>
      <c r="I205" s="35" t="str">
        <f t="shared" si="9"/>
        <v/>
      </c>
      <c r="J205" s="34"/>
      <c r="K205" s="34"/>
      <c r="L205" s="34"/>
      <c r="M205" s="34"/>
      <c r="N205" s="34"/>
      <c r="O205" s="34"/>
      <c r="P205" s="34"/>
      <c r="Q205" s="34"/>
      <c r="R205" s="34"/>
      <c r="S205" s="34"/>
      <c r="T205" s="34"/>
      <c r="U205" s="34"/>
      <c r="V205" s="34"/>
      <c r="W205" s="34"/>
      <c r="X205" s="34"/>
      <c r="Y205" s="34"/>
      <c r="Z205" s="34"/>
      <c r="AA205" s="34"/>
      <c r="AB205" s="34"/>
      <c r="AC205" s="34"/>
      <c r="AD205" s="34"/>
      <c r="AE205" s="34"/>
      <c r="AF205" s="34"/>
      <c r="AG205" s="34"/>
      <c r="AH205" s="36" t="str">
        <f>IF(B205="","",INDEX(التقرير!$P$31:$P$260,ROW()-4))</f>
        <v/>
      </c>
    </row>
    <row r="206" spans="1:34" x14ac:dyDescent="0.3">
      <c r="A206" s="29"/>
      <c r="B206" s="30"/>
      <c r="C206" s="31"/>
      <c r="D206" s="32" t="str">
        <f t="shared" si="8"/>
        <v/>
      </c>
      <c r="E206" s="31"/>
      <c r="F206" s="33"/>
      <c r="G206" s="34"/>
      <c r="H206" s="30"/>
      <c r="I206" s="35" t="str">
        <f t="shared" si="9"/>
        <v/>
      </c>
      <c r="J206" s="34"/>
      <c r="K206" s="34"/>
      <c r="L206" s="34"/>
      <c r="M206" s="34"/>
      <c r="N206" s="34"/>
      <c r="O206" s="34"/>
      <c r="P206" s="34"/>
      <c r="Q206" s="34"/>
      <c r="R206" s="34"/>
      <c r="S206" s="34"/>
      <c r="T206" s="34"/>
      <c r="U206" s="34"/>
      <c r="V206" s="34"/>
      <c r="W206" s="34"/>
      <c r="X206" s="34"/>
      <c r="Y206" s="34"/>
      <c r="Z206" s="34"/>
      <c r="AA206" s="34"/>
      <c r="AB206" s="34"/>
      <c r="AC206" s="34"/>
      <c r="AD206" s="34"/>
      <c r="AE206" s="34"/>
      <c r="AF206" s="34"/>
      <c r="AG206" s="34"/>
      <c r="AH206" s="36" t="str">
        <f>IF(B206="","",INDEX(التقرير!$P$31:$P$260,ROW()-4))</f>
        <v/>
      </c>
    </row>
    <row r="207" spans="1:34" x14ac:dyDescent="0.3">
      <c r="A207" s="29"/>
      <c r="B207" s="30"/>
      <c r="C207" s="31"/>
      <c r="D207" s="32" t="str">
        <f t="shared" si="8"/>
        <v/>
      </c>
      <c r="E207" s="31"/>
      <c r="F207" s="33"/>
      <c r="G207" s="34"/>
      <c r="H207" s="30"/>
      <c r="I207" s="35" t="str">
        <f t="shared" si="9"/>
        <v/>
      </c>
      <c r="J207" s="34"/>
      <c r="K207" s="34"/>
      <c r="L207" s="34"/>
      <c r="M207" s="34"/>
      <c r="N207" s="34"/>
      <c r="O207" s="34"/>
      <c r="P207" s="34"/>
      <c r="Q207" s="34"/>
      <c r="R207" s="34"/>
      <c r="S207" s="34"/>
      <c r="T207" s="34"/>
      <c r="U207" s="34"/>
      <c r="V207" s="34"/>
      <c r="W207" s="34"/>
      <c r="X207" s="34"/>
      <c r="Y207" s="34"/>
      <c r="Z207" s="34"/>
      <c r="AA207" s="34"/>
      <c r="AB207" s="34"/>
      <c r="AC207" s="34"/>
      <c r="AD207" s="34"/>
      <c r="AE207" s="34"/>
      <c r="AF207" s="34"/>
      <c r="AG207" s="34"/>
      <c r="AH207" s="36" t="str">
        <f>IF(B207="","",INDEX(التقرير!$P$31:$P$260,ROW()-4))</f>
        <v/>
      </c>
    </row>
    <row r="208" spans="1:34" x14ac:dyDescent="0.3">
      <c r="A208" s="29"/>
      <c r="B208" s="30"/>
      <c r="C208" s="31"/>
      <c r="D208" s="32" t="str">
        <f t="shared" si="8"/>
        <v/>
      </c>
      <c r="E208" s="31"/>
      <c r="F208" s="33"/>
      <c r="G208" s="34"/>
      <c r="H208" s="30"/>
      <c r="I208" s="35" t="str">
        <f t="shared" si="9"/>
        <v/>
      </c>
      <c r="J208" s="34"/>
      <c r="K208" s="34"/>
      <c r="L208" s="34"/>
      <c r="M208" s="34"/>
      <c r="N208" s="34"/>
      <c r="O208" s="34"/>
      <c r="P208" s="34"/>
      <c r="Q208" s="34"/>
      <c r="R208" s="34"/>
      <c r="S208" s="34"/>
      <c r="T208" s="34"/>
      <c r="U208" s="34"/>
      <c r="V208" s="34"/>
      <c r="W208" s="34"/>
      <c r="X208" s="34"/>
      <c r="Y208" s="34"/>
      <c r="Z208" s="34"/>
      <c r="AA208" s="34"/>
      <c r="AB208" s="34"/>
      <c r="AC208" s="34"/>
      <c r="AD208" s="34"/>
      <c r="AE208" s="34"/>
      <c r="AF208" s="34"/>
      <c r="AG208" s="34"/>
      <c r="AH208" s="36" t="str">
        <f>IF(B208="","",INDEX(التقرير!$P$31:$P$260,ROW()-4))</f>
        <v/>
      </c>
    </row>
    <row r="209" spans="1:34" x14ac:dyDescent="0.3">
      <c r="A209" s="29"/>
      <c r="B209" s="30"/>
      <c r="C209" s="31"/>
      <c r="D209" s="32" t="str">
        <f t="shared" si="8"/>
        <v/>
      </c>
      <c r="E209" s="31"/>
      <c r="F209" s="33"/>
      <c r="G209" s="34"/>
      <c r="H209" s="30"/>
      <c r="I209" s="35" t="str">
        <f t="shared" si="9"/>
        <v/>
      </c>
      <c r="J209" s="34"/>
      <c r="K209" s="34"/>
      <c r="L209" s="34"/>
      <c r="M209" s="34"/>
      <c r="N209" s="34"/>
      <c r="O209" s="34"/>
      <c r="P209" s="34"/>
      <c r="Q209" s="34"/>
      <c r="R209" s="34"/>
      <c r="S209" s="34"/>
      <c r="T209" s="34"/>
      <c r="U209" s="34"/>
      <c r="V209" s="34"/>
      <c r="W209" s="34"/>
      <c r="X209" s="34"/>
      <c r="Y209" s="34"/>
      <c r="Z209" s="34"/>
      <c r="AA209" s="34"/>
      <c r="AB209" s="34"/>
      <c r="AC209" s="34"/>
      <c r="AD209" s="34"/>
      <c r="AE209" s="34"/>
      <c r="AF209" s="34"/>
      <c r="AG209" s="34"/>
      <c r="AH209" s="36" t="str">
        <f>IF(B209="","",INDEX(التقرير!$P$31:$P$260,ROW()-4))</f>
        <v/>
      </c>
    </row>
    <row r="210" spans="1:34" x14ac:dyDescent="0.3">
      <c r="A210" s="29"/>
      <c r="B210" s="30"/>
      <c r="C210" s="31"/>
      <c r="D210" s="32" t="str">
        <f t="shared" si="8"/>
        <v/>
      </c>
      <c r="E210" s="31"/>
      <c r="F210" s="33"/>
      <c r="G210" s="34"/>
      <c r="H210" s="30"/>
      <c r="I210" s="35" t="str">
        <f t="shared" si="9"/>
        <v/>
      </c>
      <c r="J210" s="34"/>
      <c r="K210" s="34"/>
      <c r="L210" s="34"/>
      <c r="M210" s="34"/>
      <c r="N210" s="34"/>
      <c r="O210" s="34"/>
      <c r="P210" s="34"/>
      <c r="Q210" s="34"/>
      <c r="R210" s="34"/>
      <c r="S210" s="34"/>
      <c r="T210" s="34"/>
      <c r="U210" s="34"/>
      <c r="V210" s="34"/>
      <c r="W210" s="34"/>
      <c r="X210" s="34"/>
      <c r="Y210" s="34"/>
      <c r="Z210" s="34"/>
      <c r="AA210" s="34"/>
      <c r="AB210" s="34"/>
      <c r="AC210" s="34"/>
      <c r="AD210" s="34"/>
      <c r="AE210" s="34"/>
      <c r="AF210" s="34"/>
      <c r="AG210" s="34"/>
      <c r="AH210" s="36" t="str">
        <f>IF(B210="","",INDEX(التقرير!$P$31:$P$260,ROW()-4))</f>
        <v/>
      </c>
    </row>
    <row r="211" spans="1:34" x14ac:dyDescent="0.3">
      <c r="A211" s="29"/>
      <c r="B211" s="30"/>
      <c r="C211" s="31"/>
      <c r="D211" s="32" t="str">
        <f t="shared" si="8"/>
        <v/>
      </c>
      <c r="E211" s="31"/>
      <c r="F211" s="33"/>
      <c r="G211" s="34"/>
      <c r="H211" s="30"/>
      <c r="I211" s="35" t="str">
        <f t="shared" si="9"/>
        <v/>
      </c>
      <c r="J211" s="34"/>
      <c r="K211" s="34"/>
      <c r="L211" s="34"/>
      <c r="M211" s="34"/>
      <c r="N211" s="34"/>
      <c r="O211" s="34"/>
      <c r="P211" s="34"/>
      <c r="Q211" s="34"/>
      <c r="R211" s="34"/>
      <c r="S211" s="34"/>
      <c r="T211" s="34"/>
      <c r="U211" s="34"/>
      <c r="V211" s="34"/>
      <c r="W211" s="34"/>
      <c r="X211" s="34"/>
      <c r="Y211" s="34"/>
      <c r="Z211" s="34"/>
      <c r="AA211" s="34"/>
      <c r="AB211" s="34"/>
      <c r="AC211" s="34"/>
      <c r="AD211" s="34"/>
      <c r="AE211" s="34"/>
      <c r="AF211" s="34"/>
      <c r="AG211" s="34"/>
      <c r="AH211" s="36" t="str">
        <f>IF(B211="","",INDEX(التقرير!$P$31:$P$260,ROW()-4))</f>
        <v/>
      </c>
    </row>
    <row r="212" spans="1:34" x14ac:dyDescent="0.3">
      <c r="A212" s="29"/>
      <c r="B212" s="30"/>
      <c r="C212" s="31"/>
      <c r="D212" s="32" t="str">
        <f t="shared" si="8"/>
        <v/>
      </c>
      <c r="E212" s="31"/>
      <c r="F212" s="33"/>
      <c r="G212" s="34"/>
      <c r="H212" s="30"/>
      <c r="I212" s="35" t="str">
        <f t="shared" si="9"/>
        <v/>
      </c>
      <c r="J212" s="34"/>
      <c r="K212" s="34"/>
      <c r="L212" s="34"/>
      <c r="M212" s="34"/>
      <c r="N212" s="34"/>
      <c r="O212" s="34"/>
      <c r="P212" s="34"/>
      <c r="Q212" s="34"/>
      <c r="R212" s="34"/>
      <c r="S212" s="34"/>
      <c r="T212" s="34"/>
      <c r="U212" s="34"/>
      <c r="V212" s="34"/>
      <c r="W212" s="34"/>
      <c r="X212" s="34"/>
      <c r="Y212" s="34"/>
      <c r="Z212" s="34"/>
      <c r="AA212" s="34"/>
      <c r="AB212" s="34"/>
      <c r="AC212" s="34"/>
      <c r="AD212" s="34"/>
      <c r="AE212" s="34"/>
      <c r="AF212" s="34"/>
      <c r="AG212" s="34"/>
      <c r="AH212" s="36" t="str">
        <f>IF(B212="","",INDEX(التقرير!$P$31:$P$260,ROW()-4))</f>
        <v/>
      </c>
    </row>
    <row r="213" spans="1:34" x14ac:dyDescent="0.3">
      <c r="A213" s="29"/>
      <c r="B213" s="30"/>
      <c r="C213" s="31"/>
      <c r="D213" s="32" t="str">
        <f t="shared" si="8"/>
        <v/>
      </c>
      <c r="E213" s="31"/>
      <c r="F213" s="33"/>
      <c r="G213" s="34"/>
      <c r="H213" s="30"/>
      <c r="I213" s="35" t="str">
        <f t="shared" si="9"/>
        <v/>
      </c>
      <c r="J213" s="34"/>
      <c r="K213" s="34"/>
      <c r="L213" s="34"/>
      <c r="M213" s="34"/>
      <c r="N213" s="34"/>
      <c r="O213" s="34"/>
      <c r="P213" s="34"/>
      <c r="Q213" s="34"/>
      <c r="R213" s="34"/>
      <c r="S213" s="34"/>
      <c r="T213" s="34"/>
      <c r="U213" s="34"/>
      <c r="V213" s="34"/>
      <c r="W213" s="34"/>
      <c r="X213" s="34"/>
      <c r="Y213" s="34"/>
      <c r="Z213" s="34"/>
      <c r="AA213" s="34"/>
      <c r="AB213" s="34"/>
      <c r="AC213" s="34"/>
      <c r="AD213" s="34"/>
      <c r="AE213" s="34"/>
      <c r="AF213" s="34"/>
      <c r="AG213" s="34"/>
      <c r="AH213" s="36" t="str">
        <f>IF(B213="","",INDEX(التقرير!$P$31:$P$260,ROW()-4))</f>
        <v/>
      </c>
    </row>
    <row r="214" spans="1:34" x14ac:dyDescent="0.3">
      <c r="A214" s="29"/>
      <c r="B214" s="30"/>
      <c r="C214" s="31"/>
      <c r="D214" s="32" t="str">
        <f t="shared" si="8"/>
        <v/>
      </c>
      <c r="E214" s="31"/>
      <c r="F214" s="33"/>
      <c r="G214" s="34"/>
      <c r="H214" s="30"/>
      <c r="I214" s="35" t="str">
        <f t="shared" si="9"/>
        <v/>
      </c>
      <c r="J214" s="34"/>
      <c r="K214" s="34"/>
      <c r="L214" s="34"/>
      <c r="M214" s="34"/>
      <c r="N214" s="34"/>
      <c r="O214" s="34"/>
      <c r="P214" s="34"/>
      <c r="Q214" s="34"/>
      <c r="R214" s="34"/>
      <c r="S214" s="34"/>
      <c r="T214" s="34"/>
      <c r="U214" s="34"/>
      <c r="V214" s="34"/>
      <c r="W214" s="34"/>
      <c r="X214" s="34"/>
      <c r="Y214" s="34"/>
      <c r="Z214" s="34"/>
      <c r="AA214" s="34"/>
      <c r="AB214" s="34"/>
      <c r="AC214" s="34"/>
      <c r="AD214" s="34"/>
      <c r="AE214" s="34"/>
      <c r="AF214" s="34"/>
      <c r="AG214" s="34"/>
      <c r="AH214" s="36" t="str">
        <f>IF(B214="","",INDEX(التقرير!$P$31:$P$260,ROW()-4))</f>
        <v/>
      </c>
    </row>
    <row r="215" spans="1:34" x14ac:dyDescent="0.3">
      <c r="A215" s="29"/>
      <c r="B215" s="30"/>
      <c r="C215" s="31"/>
      <c r="D215" s="32" t="str">
        <f t="shared" si="8"/>
        <v/>
      </c>
      <c r="E215" s="31"/>
      <c r="F215" s="33"/>
      <c r="G215" s="34"/>
      <c r="H215" s="30"/>
      <c r="I215" s="35" t="str">
        <f t="shared" si="9"/>
        <v/>
      </c>
      <c r="J215" s="34"/>
      <c r="K215" s="34"/>
      <c r="L215" s="34"/>
      <c r="M215" s="34"/>
      <c r="N215" s="34"/>
      <c r="O215" s="34"/>
      <c r="P215" s="34"/>
      <c r="Q215" s="34"/>
      <c r="R215" s="34"/>
      <c r="S215" s="34"/>
      <c r="T215" s="34"/>
      <c r="U215" s="34"/>
      <c r="V215" s="34"/>
      <c r="W215" s="34"/>
      <c r="X215" s="34"/>
      <c r="Y215" s="34"/>
      <c r="Z215" s="34"/>
      <c r="AA215" s="34"/>
      <c r="AB215" s="34"/>
      <c r="AC215" s="34"/>
      <c r="AD215" s="34"/>
      <c r="AE215" s="34"/>
      <c r="AF215" s="34"/>
      <c r="AG215" s="34"/>
      <c r="AH215" s="36" t="str">
        <f>IF(B215="","",INDEX(التقرير!$P$31:$P$260,ROW()-4))</f>
        <v/>
      </c>
    </row>
    <row r="216" spans="1:34" x14ac:dyDescent="0.3">
      <c r="A216" s="29"/>
      <c r="B216" s="30"/>
      <c r="C216" s="31"/>
      <c r="D216" s="32" t="str">
        <f t="shared" si="8"/>
        <v/>
      </c>
      <c r="E216" s="31"/>
      <c r="F216" s="33"/>
      <c r="G216" s="34"/>
      <c r="H216" s="30"/>
      <c r="I216" s="35" t="str">
        <f t="shared" si="9"/>
        <v/>
      </c>
      <c r="J216" s="34"/>
      <c r="K216" s="34"/>
      <c r="L216" s="34"/>
      <c r="M216" s="34"/>
      <c r="N216" s="34"/>
      <c r="O216" s="34"/>
      <c r="P216" s="34"/>
      <c r="Q216" s="34"/>
      <c r="R216" s="34"/>
      <c r="S216" s="34"/>
      <c r="T216" s="34"/>
      <c r="U216" s="34"/>
      <c r="V216" s="34"/>
      <c r="W216" s="34"/>
      <c r="X216" s="34"/>
      <c r="Y216" s="34"/>
      <c r="Z216" s="34"/>
      <c r="AA216" s="34"/>
      <c r="AB216" s="34"/>
      <c r="AC216" s="34"/>
      <c r="AD216" s="34"/>
      <c r="AE216" s="34"/>
      <c r="AF216" s="34"/>
      <c r="AG216" s="34"/>
      <c r="AH216" s="36" t="str">
        <f>IF(B216="","",INDEX(التقرير!$P$31:$P$260,ROW()-4))</f>
        <v/>
      </c>
    </row>
    <row r="217" spans="1:34" x14ac:dyDescent="0.3">
      <c r="A217" s="29"/>
      <c r="B217" s="30"/>
      <c r="C217" s="31"/>
      <c r="D217" s="32" t="str">
        <f t="shared" si="8"/>
        <v/>
      </c>
      <c r="E217" s="31"/>
      <c r="F217" s="33"/>
      <c r="G217" s="34"/>
      <c r="H217" s="30"/>
      <c r="I217" s="35" t="str">
        <f t="shared" si="9"/>
        <v/>
      </c>
      <c r="J217" s="34"/>
      <c r="K217" s="34"/>
      <c r="L217" s="34"/>
      <c r="M217" s="34"/>
      <c r="N217" s="34"/>
      <c r="O217" s="34"/>
      <c r="P217" s="34"/>
      <c r="Q217" s="34"/>
      <c r="R217" s="34"/>
      <c r="S217" s="34"/>
      <c r="T217" s="34"/>
      <c r="U217" s="34"/>
      <c r="V217" s="34"/>
      <c r="W217" s="34"/>
      <c r="X217" s="34"/>
      <c r="Y217" s="34"/>
      <c r="Z217" s="34"/>
      <c r="AA217" s="34"/>
      <c r="AB217" s="34"/>
      <c r="AC217" s="34"/>
      <c r="AD217" s="34"/>
      <c r="AE217" s="34"/>
      <c r="AF217" s="34"/>
      <c r="AG217" s="34"/>
      <c r="AH217" s="36" t="str">
        <f>IF(B217="","",INDEX(التقرير!$P$31:$P$260,ROW()-4))</f>
        <v/>
      </c>
    </row>
    <row r="218" spans="1:34" x14ac:dyDescent="0.3">
      <c r="A218" s="29"/>
      <c r="B218" s="30"/>
      <c r="C218" s="31"/>
      <c r="D218" s="32" t="str">
        <f t="shared" si="8"/>
        <v/>
      </c>
      <c r="E218" s="31"/>
      <c r="F218" s="33"/>
      <c r="G218" s="34"/>
      <c r="H218" s="30"/>
      <c r="I218" s="35" t="str">
        <f t="shared" si="9"/>
        <v/>
      </c>
      <c r="J218" s="34"/>
      <c r="K218" s="34"/>
      <c r="L218" s="34"/>
      <c r="M218" s="34"/>
      <c r="N218" s="34"/>
      <c r="O218" s="34"/>
      <c r="P218" s="34"/>
      <c r="Q218" s="34"/>
      <c r="R218" s="34"/>
      <c r="S218" s="34"/>
      <c r="T218" s="34"/>
      <c r="U218" s="34"/>
      <c r="V218" s="34"/>
      <c r="W218" s="34"/>
      <c r="X218" s="34"/>
      <c r="Y218" s="34"/>
      <c r="Z218" s="34"/>
      <c r="AA218" s="34"/>
      <c r="AB218" s="34"/>
      <c r="AC218" s="34"/>
      <c r="AD218" s="34"/>
      <c r="AE218" s="34"/>
      <c r="AF218" s="34"/>
      <c r="AG218" s="34"/>
      <c r="AH218" s="36" t="str">
        <f>IF(B218="","",INDEX(التقرير!$P$31:$P$260,ROW()-4))</f>
        <v/>
      </c>
    </row>
    <row r="219" spans="1:34" x14ac:dyDescent="0.3">
      <c r="A219" s="29"/>
      <c r="B219" s="30"/>
      <c r="C219" s="31"/>
      <c r="D219" s="32" t="str">
        <f t="shared" si="8"/>
        <v/>
      </c>
      <c r="E219" s="31"/>
      <c r="F219" s="33"/>
      <c r="G219" s="34"/>
      <c r="H219" s="30"/>
      <c r="I219" s="35" t="str">
        <f t="shared" si="9"/>
        <v/>
      </c>
      <c r="J219" s="34"/>
      <c r="K219" s="34"/>
      <c r="L219" s="34"/>
      <c r="M219" s="34"/>
      <c r="N219" s="34"/>
      <c r="O219" s="34"/>
      <c r="P219" s="34"/>
      <c r="Q219" s="34"/>
      <c r="R219" s="34"/>
      <c r="S219" s="34"/>
      <c r="T219" s="34"/>
      <c r="U219" s="34"/>
      <c r="V219" s="34"/>
      <c r="W219" s="34"/>
      <c r="X219" s="34"/>
      <c r="Y219" s="34"/>
      <c r="Z219" s="34"/>
      <c r="AA219" s="34"/>
      <c r="AB219" s="34"/>
      <c r="AC219" s="34"/>
      <c r="AD219" s="34"/>
      <c r="AE219" s="34"/>
      <c r="AF219" s="34"/>
      <c r="AG219" s="34"/>
      <c r="AH219" s="36" t="str">
        <f>IF(B219="","",INDEX(التقرير!$P$31:$P$260,ROW()-4))</f>
        <v/>
      </c>
    </row>
    <row r="220" spans="1:34" x14ac:dyDescent="0.3">
      <c r="A220" s="29"/>
      <c r="B220" s="30"/>
      <c r="C220" s="31"/>
      <c r="D220" s="32" t="str">
        <f t="shared" si="8"/>
        <v/>
      </c>
      <c r="E220" s="31"/>
      <c r="F220" s="33"/>
      <c r="G220" s="34"/>
      <c r="H220" s="30"/>
      <c r="I220" s="35" t="str">
        <f t="shared" si="9"/>
        <v/>
      </c>
      <c r="J220" s="34"/>
      <c r="K220" s="34"/>
      <c r="L220" s="34"/>
      <c r="M220" s="34"/>
      <c r="N220" s="34"/>
      <c r="O220" s="34"/>
      <c r="P220" s="34"/>
      <c r="Q220" s="34"/>
      <c r="R220" s="34"/>
      <c r="S220" s="34"/>
      <c r="T220" s="34"/>
      <c r="U220" s="34"/>
      <c r="V220" s="34"/>
      <c r="W220" s="34"/>
      <c r="X220" s="34"/>
      <c r="Y220" s="34"/>
      <c r="Z220" s="34"/>
      <c r="AA220" s="34"/>
      <c r="AB220" s="34"/>
      <c r="AC220" s="34"/>
      <c r="AD220" s="34"/>
      <c r="AE220" s="34"/>
      <c r="AF220" s="34"/>
      <c r="AG220" s="34"/>
      <c r="AH220" s="36" t="str">
        <f>IF(B220="","",INDEX(التقرير!$P$31:$P$260,ROW()-4))</f>
        <v/>
      </c>
    </row>
    <row r="221" spans="1:34" x14ac:dyDescent="0.3">
      <c r="A221" s="29"/>
      <c r="B221" s="30"/>
      <c r="C221" s="31"/>
      <c r="D221" s="32" t="str">
        <f t="shared" si="8"/>
        <v/>
      </c>
      <c r="E221" s="31"/>
      <c r="F221" s="33"/>
      <c r="G221" s="34"/>
      <c r="H221" s="30"/>
      <c r="I221" s="35" t="str">
        <f t="shared" si="9"/>
        <v/>
      </c>
      <c r="J221" s="34"/>
      <c r="K221" s="34"/>
      <c r="L221" s="34"/>
      <c r="M221" s="34"/>
      <c r="N221" s="34"/>
      <c r="O221" s="34"/>
      <c r="P221" s="34"/>
      <c r="Q221" s="34"/>
      <c r="R221" s="34"/>
      <c r="S221" s="34"/>
      <c r="T221" s="34"/>
      <c r="U221" s="34"/>
      <c r="V221" s="34"/>
      <c r="W221" s="34"/>
      <c r="X221" s="34"/>
      <c r="Y221" s="34"/>
      <c r="Z221" s="34"/>
      <c r="AA221" s="34"/>
      <c r="AB221" s="34"/>
      <c r="AC221" s="34"/>
      <c r="AD221" s="34"/>
      <c r="AE221" s="34"/>
      <c r="AF221" s="34"/>
      <c r="AG221" s="34"/>
      <c r="AH221" s="36" t="str">
        <f>IF(B221="","",INDEX(التقرير!$P$31:$P$260,ROW()-4))</f>
        <v/>
      </c>
    </row>
    <row r="222" spans="1:34" x14ac:dyDescent="0.3">
      <c r="A222" s="29"/>
      <c r="B222" s="30"/>
      <c r="C222" s="31"/>
      <c r="D222" s="32" t="str">
        <f t="shared" si="8"/>
        <v/>
      </c>
      <c r="E222" s="31"/>
      <c r="F222" s="33"/>
      <c r="G222" s="34"/>
      <c r="H222" s="30"/>
      <c r="I222" s="35" t="str">
        <f t="shared" si="9"/>
        <v/>
      </c>
      <c r="J222" s="34"/>
      <c r="K222" s="34"/>
      <c r="L222" s="34"/>
      <c r="M222" s="34"/>
      <c r="N222" s="34"/>
      <c r="O222" s="34"/>
      <c r="P222" s="34"/>
      <c r="Q222" s="34"/>
      <c r="R222" s="34"/>
      <c r="S222" s="34"/>
      <c r="T222" s="34"/>
      <c r="U222" s="34"/>
      <c r="V222" s="34"/>
      <c r="W222" s="34"/>
      <c r="X222" s="34"/>
      <c r="Y222" s="34"/>
      <c r="Z222" s="34"/>
      <c r="AA222" s="34"/>
      <c r="AB222" s="34"/>
      <c r="AC222" s="34"/>
      <c r="AD222" s="34"/>
      <c r="AE222" s="34"/>
      <c r="AF222" s="34"/>
      <c r="AG222" s="34"/>
      <c r="AH222" s="36" t="str">
        <f>IF(B222="","",INDEX(التقرير!$P$31:$P$260,ROW()-4))</f>
        <v/>
      </c>
    </row>
    <row r="223" spans="1:34" x14ac:dyDescent="0.3">
      <c r="A223" s="29"/>
      <c r="B223" s="30"/>
      <c r="C223" s="31"/>
      <c r="D223" s="32" t="str">
        <f t="shared" si="8"/>
        <v/>
      </c>
      <c r="E223" s="31"/>
      <c r="F223" s="33"/>
      <c r="G223" s="34"/>
      <c r="H223" s="30"/>
      <c r="I223" s="35" t="str">
        <f t="shared" si="9"/>
        <v/>
      </c>
      <c r="J223" s="34"/>
      <c r="K223" s="34"/>
      <c r="L223" s="34"/>
      <c r="M223" s="34"/>
      <c r="N223" s="34"/>
      <c r="O223" s="34"/>
      <c r="P223" s="34"/>
      <c r="Q223" s="34"/>
      <c r="R223" s="34"/>
      <c r="S223" s="34"/>
      <c r="T223" s="34"/>
      <c r="U223" s="34"/>
      <c r="V223" s="34"/>
      <c r="W223" s="34"/>
      <c r="X223" s="34"/>
      <c r="Y223" s="34"/>
      <c r="Z223" s="34"/>
      <c r="AA223" s="34"/>
      <c r="AB223" s="34"/>
      <c r="AC223" s="34"/>
      <c r="AD223" s="34"/>
      <c r="AE223" s="34"/>
      <c r="AF223" s="34"/>
      <c r="AG223" s="34"/>
      <c r="AH223" s="36" t="str">
        <f>IF(B223="","",INDEX(التقرير!$P$31:$P$260,ROW()-4))</f>
        <v/>
      </c>
    </row>
    <row r="224" spans="1:34" x14ac:dyDescent="0.3">
      <c r="A224" s="29"/>
      <c r="B224" s="30"/>
      <c r="C224" s="31"/>
      <c r="D224" s="32" t="str">
        <f t="shared" si="8"/>
        <v/>
      </c>
      <c r="E224" s="31"/>
      <c r="F224" s="33"/>
      <c r="G224" s="34"/>
      <c r="H224" s="30"/>
      <c r="I224" s="35" t="str">
        <f t="shared" si="9"/>
        <v/>
      </c>
      <c r="J224" s="34"/>
      <c r="K224" s="34"/>
      <c r="L224" s="34"/>
      <c r="M224" s="34"/>
      <c r="N224" s="34"/>
      <c r="O224" s="34"/>
      <c r="P224" s="34"/>
      <c r="Q224" s="34"/>
      <c r="R224" s="34"/>
      <c r="S224" s="34"/>
      <c r="T224" s="34"/>
      <c r="U224" s="34"/>
      <c r="V224" s="34"/>
      <c r="W224" s="34"/>
      <c r="X224" s="34"/>
      <c r="Y224" s="34"/>
      <c r="Z224" s="34"/>
      <c r="AA224" s="34"/>
      <c r="AB224" s="34"/>
      <c r="AC224" s="34"/>
      <c r="AD224" s="34"/>
      <c r="AE224" s="34"/>
      <c r="AF224" s="34"/>
      <c r="AG224" s="34"/>
      <c r="AH224" s="36" t="str">
        <f>IF(B224="","",INDEX(التقرير!$P$31:$P$260,ROW()-4))</f>
        <v/>
      </c>
    </row>
    <row r="225" spans="1:34" x14ac:dyDescent="0.3">
      <c r="A225" s="29"/>
      <c r="B225" s="30"/>
      <c r="C225" s="31"/>
      <c r="D225" s="32" t="str">
        <f t="shared" si="8"/>
        <v/>
      </c>
      <c r="E225" s="31"/>
      <c r="F225" s="33"/>
      <c r="G225" s="34"/>
      <c r="H225" s="30"/>
      <c r="I225" s="35" t="str">
        <f t="shared" si="9"/>
        <v/>
      </c>
      <c r="J225" s="34"/>
      <c r="K225" s="34"/>
      <c r="L225" s="34"/>
      <c r="M225" s="34"/>
      <c r="N225" s="34"/>
      <c r="O225" s="34"/>
      <c r="P225" s="34"/>
      <c r="Q225" s="34"/>
      <c r="R225" s="34"/>
      <c r="S225" s="34"/>
      <c r="T225" s="34"/>
      <c r="U225" s="34"/>
      <c r="V225" s="34"/>
      <c r="W225" s="34"/>
      <c r="X225" s="34"/>
      <c r="Y225" s="34"/>
      <c r="Z225" s="34"/>
      <c r="AA225" s="34"/>
      <c r="AB225" s="34"/>
      <c r="AC225" s="34"/>
      <c r="AD225" s="34"/>
      <c r="AE225" s="34"/>
      <c r="AF225" s="34"/>
      <c r="AG225" s="34"/>
      <c r="AH225" s="36" t="str">
        <f>IF(B225="","",INDEX(التقرير!$P$31:$P$260,ROW()-4))</f>
        <v/>
      </c>
    </row>
    <row r="226" spans="1:34" x14ac:dyDescent="0.3">
      <c r="A226" s="29"/>
      <c r="B226" s="30"/>
      <c r="C226" s="31"/>
      <c r="D226" s="32" t="str">
        <f t="shared" si="8"/>
        <v/>
      </c>
      <c r="E226" s="31"/>
      <c r="F226" s="33"/>
      <c r="G226" s="34"/>
      <c r="H226" s="30"/>
      <c r="I226" s="35" t="str">
        <f t="shared" si="9"/>
        <v/>
      </c>
      <c r="J226" s="34"/>
      <c r="K226" s="34"/>
      <c r="L226" s="34"/>
      <c r="M226" s="34"/>
      <c r="N226" s="34"/>
      <c r="O226" s="34"/>
      <c r="P226" s="34"/>
      <c r="Q226" s="34"/>
      <c r="R226" s="34"/>
      <c r="S226" s="34"/>
      <c r="T226" s="34"/>
      <c r="U226" s="34"/>
      <c r="V226" s="34"/>
      <c r="W226" s="34"/>
      <c r="X226" s="34"/>
      <c r="Y226" s="34"/>
      <c r="Z226" s="34"/>
      <c r="AA226" s="34"/>
      <c r="AB226" s="34"/>
      <c r="AC226" s="34"/>
      <c r="AD226" s="34"/>
      <c r="AE226" s="34"/>
      <c r="AF226" s="34"/>
      <c r="AG226" s="34"/>
      <c r="AH226" s="36" t="str">
        <f>IF(B226="","",INDEX(التقرير!$P$31:$P$260,ROW()-4))</f>
        <v/>
      </c>
    </row>
    <row r="227" spans="1:34" x14ac:dyDescent="0.3">
      <c r="A227" s="29"/>
      <c r="B227" s="30"/>
      <c r="C227" s="31"/>
      <c r="D227" s="32" t="str">
        <f t="shared" si="8"/>
        <v/>
      </c>
      <c r="E227" s="31"/>
      <c r="F227" s="33"/>
      <c r="G227" s="34"/>
      <c r="H227" s="30"/>
      <c r="I227" s="35" t="str">
        <f t="shared" si="9"/>
        <v/>
      </c>
      <c r="J227" s="34"/>
      <c r="K227" s="34"/>
      <c r="L227" s="34"/>
      <c r="M227" s="34"/>
      <c r="N227" s="34"/>
      <c r="O227" s="34"/>
      <c r="P227" s="34"/>
      <c r="Q227" s="34"/>
      <c r="R227" s="34"/>
      <c r="S227" s="34"/>
      <c r="T227" s="34"/>
      <c r="U227" s="34"/>
      <c r="V227" s="34"/>
      <c r="W227" s="34"/>
      <c r="X227" s="34"/>
      <c r="Y227" s="34"/>
      <c r="Z227" s="34"/>
      <c r="AA227" s="34"/>
      <c r="AB227" s="34"/>
      <c r="AC227" s="34"/>
      <c r="AD227" s="34"/>
      <c r="AE227" s="34"/>
      <c r="AF227" s="34"/>
      <c r="AG227" s="34"/>
      <c r="AH227" s="36" t="str">
        <f>IF(B227="","",INDEX(التقرير!$P$31:$P$260,ROW()-4))</f>
        <v/>
      </c>
    </row>
    <row r="228" spans="1:34" x14ac:dyDescent="0.3">
      <c r="A228" s="29"/>
      <c r="B228" s="30"/>
      <c r="C228" s="31"/>
      <c r="D228" s="32" t="str">
        <f t="shared" si="8"/>
        <v/>
      </c>
      <c r="E228" s="31"/>
      <c r="F228" s="33"/>
      <c r="G228" s="34"/>
      <c r="H228" s="30"/>
      <c r="I228" s="35" t="str">
        <f t="shared" si="9"/>
        <v/>
      </c>
      <c r="J228" s="34"/>
      <c r="K228" s="34"/>
      <c r="L228" s="34"/>
      <c r="M228" s="34"/>
      <c r="N228" s="34"/>
      <c r="O228" s="34"/>
      <c r="P228" s="34"/>
      <c r="Q228" s="34"/>
      <c r="R228" s="34"/>
      <c r="S228" s="34"/>
      <c r="T228" s="34"/>
      <c r="U228" s="34"/>
      <c r="V228" s="34"/>
      <c r="W228" s="34"/>
      <c r="X228" s="34"/>
      <c r="Y228" s="34"/>
      <c r="Z228" s="34"/>
      <c r="AA228" s="34"/>
      <c r="AB228" s="34"/>
      <c r="AC228" s="34"/>
      <c r="AD228" s="34"/>
      <c r="AE228" s="34"/>
      <c r="AF228" s="34"/>
      <c r="AG228" s="34"/>
      <c r="AH228" s="36" t="str">
        <f>IF(B228="","",INDEX(التقرير!$P$31:$P$260,ROW()-4))</f>
        <v/>
      </c>
    </row>
    <row r="229" spans="1:34" x14ac:dyDescent="0.3">
      <c r="A229" s="29"/>
      <c r="B229" s="30"/>
      <c r="C229" s="31"/>
      <c r="D229" s="32" t="str">
        <f t="shared" si="8"/>
        <v/>
      </c>
      <c r="E229" s="31"/>
      <c r="F229" s="33"/>
      <c r="G229" s="34"/>
      <c r="H229" s="30"/>
      <c r="I229" s="35" t="str">
        <f t="shared" si="9"/>
        <v/>
      </c>
      <c r="J229" s="34"/>
      <c r="K229" s="34"/>
      <c r="L229" s="34"/>
      <c r="M229" s="34"/>
      <c r="N229" s="34"/>
      <c r="O229" s="34"/>
      <c r="P229" s="34"/>
      <c r="Q229" s="34"/>
      <c r="R229" s="34"/>
      <c r="S229" s="34"/>
      <c r="T229" s="34"/>
      <c r="U229" s="34"/>
      <c r="V229" s="34"/>
      <c r="W229" s="34"/>
      <c r="X229" s="34"/>
      <c r="Y229" s="34"/>
      <c r="Z229" s="34"/>
      <c r="AA229" s="34"/>
      <c r="AB229" s="34"/>
      <c r="AC229" s="34"/>
      <c r="AD229" s="34"/>
      <c r="AE229" s="34"/>
      <c r="AF229" s="34"/>
      <c r="AG229" s="34"/>
      <c r="AH229" s="36" t="str">
        <f>IF(B229="","",INDEX(التقرير!$P$31:$P$260,ROW()-4))</f>
        <v/>
      </c>
    </row>
    <row r="230" spans="1:34" x14ac:dyDescent="0.3">
      <c r="A230" s="29"/>
      <c r="B230" s="30"/>
      <c r="C230" s="31"/>
      <c r="D230" s="32" t="str">
        <f t="shared" si="8"/>
        <v/>
      </c>
      <c r="E230" s="31"/>
      <c r="F230" s="33"/>
      <c r="G230" s="34"/>
      <c r="H230" s="30"/>
      <c r="I230" s="35" t="str">
        <f t="shared" si="9"/>
        <v/>
      </c>
      <c r="J230" s="34"/>
      <c r="K230" s="34"/>
      <c r="L230" s="34"/>
      <c r="M230" s="34"/>
      <c r="N230" s="34"/>
      <c r="O230" s="34"/>
      <c r="P230" s="34"/>
      <c r="Q230" s="34"/>
      <c r="R230" s="34"/>
      <c r="S230" s="34"/>
      <c r="T230" s="34"/>
      <c r="U230" s="34"/>
      <c r="V230" s="34"/>
      <c r="W230" s="34"/>
      <c r="X230" s="34"/>
      <c r="Y230" s="34"/>
      <c r="Z230" s="34"/>
      <c r="AA230" s="34"/>
      <c r="AB230" s="34"/>
      <c r="AC230" s="34"/>
      <c r="AD230" s="34"/>
      <c r="AE230" s="34"/>
      <c r="AF230" s="34"/>
      <c r="AG230" s="34"/>
      <c r="AH230" s="36" t="str">
        <f>IF(B230="","",INDEX(التقرير!$P$31:$P$260,ROW()-4))</f>
        <v/>
      </c>
    </row>
    <row r="231" spans="1:34" x14ac:dyDescent="0.3">
      <c r="A231" s="29"/>
      <c r="B231" s="30"/>
      <c r="C231" s="31"/>
      <c r="D231" s="32" t="str">
        <f t="shared" si="8"/>
        <v/>
      </c>
      <c r="E231" s="31"/>
      <c r="F231" s="33"/>
      <c r="G231" s="34"/>
      <c r="H231" s="30"/>
      <c r="I231" s="35" t="str">
        <f t="shared" si="9"/>
        <v/>
      </c>
      <c r="J231" s="34"/>
      <c r="K231" s="34"/>
      <c r="L231" s="34"/>
      <c r="M231" s="34"/>
      <c r="N231" s="34"/>
      <c r="O231" s="34"/>
      <c r="P231" s="34"/>
      <c r="Q231" s="34"/>
      <c r="R231" s="34"/>
      <c r="S231" s="34"/>
      <c r="T231" s="34"/>
      <c r="U231" s="34"/>
      <c r="V231" s="34"/>
      <c r="W231" s="34"/>
      <c r="X231" s="34"/>
      <c r="Y231" s="34"/>
      <c r="Z231" s="34"/>
      <c r="AA231" s="34"/>
      <c r="AB231" s="34"/>
      <c r="AC231" s="34"/>
      <c r="AD231" s="34"/>
      <c r="AE231" s="34"/>
      <c r="AF231" s="34"/>
      <c r="AG231" s="34"/>
      <c r="AH231" s="36" t="str">
        <f>IF(B231="","",INDEX(التقرير!$P$31:$P$260,ROW()-4))</f>
        <v/>
      </c>
    </row>
    <row r="232" spans="1:34" x14ac:dyDescent="0.3">
      <c r="A232" s="29"/>
      <c r="B232" s="30"/>
      <c r="C232" s="31"/>
      <c r="D232" s="32" t="str">
        <f t="shared" si="8"/>
        <v/>
      </c>
      <c r="E232" s="31"/>
      <c r="F232" s="33"/>
      <c r="G232" s="34"/>
      <c r="H232" s="30"/>
      <c r="I232" s="35" t="str">
        <f t="shared" si="9"/>
        <v/>
      </c>
      <c r="J232" s="34"/>
      <c r="K232" s="34"/>
      <c r="L232" s="34"/>
      <c r="M232" s="34"/>
      <c r="N232" s="34"/>
      <c r="O232" s="34"/>
      <c r="P232" s="34"/>
      <c r="Q232" s="34"/>
      <c r="R232" s="34"/>
      <c r="S232" s="34"/>
      <c r="T232" s="34"/>
      <c r="U232" s="34"/>
      <c r="V232" s="34"/>
      <c r="W232" s="34"/>
      <c r="X232" s="34"/>
      <c r="Y232" s="34"/>
      <c r="Z232" s="34"/>
      <c r="AA232" s="34"/>
      <c r="AB232" s="34"/>
      <c r="AC232" s="34"/>
      <c r="AD232" s="34"/>
      <c r="AE232" s="34"/>
      <c r="AF232" s="34"/>
      <c r="AG232" s="34"/>
      <c r="AH232" s="36" t="str">
        <f>IF(B232="","",INDEX(التقرير!$P$31:$P$260,ROW()-4))</f>
        <v/>
      </c>
    </row>
    <row r="233" spans="1:34" x14ac:dyDescent="0.3">
      <c r="A233" s="29"/>
      <c r="B233" s="30"/>
      <c r="C233" s="31"/>
      <c r="D233" s="32" t="str">
        <f t="shared" si="8"/>
        <v/>
      </c>
      <c r="E233" s="31"/>
      <c r="F233" s="33"/>
      <c r="G233" s="34"/>
      <c r="H233" s="30"/>
      <c r="I233" s="35" t="str">
        <f t="shared" si="9"/>
        <v/>
      </c>
      <c r="J233" s="34"/>
      <c r="K233" s="34"/>
      <c r="L233" s="34"/>
      <c r="M233" s="34"/>
      <c r="N233" s="34"/>
      <c r="O233" s="34"/>
      <c r="P233" s="34"/>
      <c r="Q233" s="34"/>
      <c r="R233" s="34"/>
      <c r="S233" s="34"/>
      <c r="T233" s="34"/>
      <c r="U233" s="34"/>
      <c r="V233" s="34"/>
      <c r="W233" s="34"/>
      <c r="X233" s="34"/>
      <c r="Y233" s="34"/>
      <c r="Z233" s="34"/>
      <c r="AA233" s="34"/>
      <c r="AB233" s="34"/>
      <c r="AC233" s="34"/>
      <c r="AD233" s="34"/>
      <c r="AE233" s="34"/>
      <c r="AF233" s="34"/>
      <c r="AG233" s="34"/>
      <c r="AH233" s="36" t="str">
        <f>IF(B233="","",INDEX(التقرير!$P$31:$P$260,ROW()-4))</f>
        <v/>
      </c>
    </row>
    <row r="234" spans="1:34" x14ac:dyDescent="0.3">
      <c r="A234" s="29"/>
      <c r="B234" s="30"/>
      <c r="C234" s="31"/>
      <c r="D234" s="32" t="str">
        <f t="shared" si="8"/>
        <v/>
      </c>
      <c r="E234" s="31"/>
      <c r="F234" s="33"/>
      <c r="G234" s="34"/>
      <c r="H234" s="30"/>
      <c r="I234" s="35" t="str">
        <f t="shared" si="9"/>
        <v/>
      </c>
      <c r="J234" s="34"/>
      <c r="K234" s="34"/>
      <c r="L234" s="34"/>
      <c r="M234" s="34"/>
      <c r="N234" s="34"/>
      <c r="O234" s="34"/>
      <c r="P234" s="34"/>
      <c r="Q234" s="34"/>
      <c r="R234" s="34"/>
      <c r="S234" s="34"/>
      <c r="T234" s="34"/>
      <c r="U234" s="34"/>
      <c r="V234" s="34"/>
      <c r="W234" s="34"/>
      <c r="X234" s="34"/>
      <c r="Y234" s="34"/>
      <c r="Z234" s="34"/>
      <c r="AA234" s="34"/>
      <c r="AB234" s="34"/>
      <c r="AC234" s="34"/>
      <c r="AD234" s="34"/>
      <c r="AE234" s="34"/>
      <c r="AF234" s="34"/>
      <c r="AG234" s="34"/>
      <c r="AH234" s="36" t="str">
        <f>IF(B234="","",INDEX(التقرير!$P$31:$P$260,ROW()-4))</f>
        <v/>
      </c>
    </row>
  </sheetData>
  <autoFilter ref="A3:AH234" xr:uid="{00000000-0009-0000-0000-000001000000}">
    <filterColumn colId="4">
      <filters blank="1">
        <filter val="ترك العمل"/>
        <filter val="خالد"/>
        <filter val="خطاب"/>
        <filter val="فري لانسر"/>
        <filter val="هنقر كفالة"/>
      </filters>
    </filterColumn>
  </autoFilter>
  <mergeCells count="3">
    <mergeCell ref="A1:AH1"/>
    <mergeCell ref="A2:AH2"/>
    <mergeCell ref="A4:H4"/>
  </mergeCells>
  <conditionalFormatting sqref="A5:AH234">
    <cfRule type="expression" dxfId="5" priority="8">
      <formula>ROW()=5+COUNTA($B$5:$B$234)</formula>
    </cfRule>
  </conditionalFormatting>
  <conditionalFormatting sqref="H5:H234">
    <cfRule type="expression" dxfId="4" priority="3">
      <formula>AND($H5="",OR($AH5="بعيد",$AH5="قريب"))</formula>
    </cfRule>
  </conditionalFormatting>
  <conditionalFormatting sqref="AH5:AH234">
    <cfRule type="expression" dxfId="2" priority="4">
      <formula>$AH5="حقق"</formula>
    </cfRule>
    <cfRule type="expression" dxfId="1" priority="5">
      <formula>$AH5="بعيد"</formula>
    </cfRule>
    <cfRule type="expression" dxfId="0" priority="6">
      <formula>$AH5="قريب"</formula>
    </cfRule>
  </conditionalFormatting>
  <dataValidations count="7">
    <dataValidation type="whole" operator="greaterThanOrEqual" allowBlank="1" sqref="AC5:AC234" xr:uid="{00000000-0002-0000-0100-000000000000}">
      <formula1>0</formula1>
      <formula2>0</formula2>
    </dataValidation>
    <dataValidation type="list" allowBlank="1" sqref="AD5:AD234" xr:uid="{00000000-0002-0000-0100-000001000000}">
      <formula1>"كفالة,فري لانسر,يوزرات"</formula1>
      <formula2>0</formula2>
    </dataValidation>
    <dataValidation type="list" allowBlank="1" sqref="AF5:AF234" xr:uid="{00000000-0002-0000-0100-000002000000}">
      <formula1>"يعمل,لا يعمل,اجازه"</formula1>
      <formula2>0</formula2>
    </dataValidation>
    <dataValidation type="whole" operator="greaterThanOrEqual" allowBlank="1" showErrorMessage="1" errorTitle="رقم غير صحيح" error="اكتب عدد صحيح (0 أو أكتر)" sqref="J5:AA234" xr:uid="{00000000-0002-0000-0100-000003000000}">
      <formula1>0</formula1>
      <formula2>0</formula2>
    </dataValidation>
    <dataValidation type="list" errorStyle="warning" allowBlank="1" showErrorMessage="1" errorTitle="قيمة جديدة" error="القيمة دي مش في القائمة. تكمّل؟" sqref="C5:C234" xr:uid="{00000000-0002-0000-0100-000004000000}">
      <formula1>"هنجرستيشن,كيتا,نينجا,امازون"</formula1>
      <formula2>0</formula2>
    </dataValidation>
    <dataValidation type="list" errorStyle="warning" allowBlank="1" showErrorMessage="1" errorTitle="قيمة جديدة" error="القيمة دي مش في القائمة. تكمّل؟" sqref="AE5:AE234" xr:uid="{00000000-0002-0000-0100-000005000000}">
      <formula1>"محمود خطاب,خالد عباس,عبدالرحمن رحومة"</formula1>
      <formula2>0</formula2>
    </dataValidation>
    <dataValidation type="date" operator="greaterThan" allowBlank="1" showErrorMessage="1" errorTitle="تاريخ غير صحيح" error="اكتب تاريخ مثل 05/10/2026" sqref="F5:F234" xr:uid="{00000000-0002-0000-0100-000006000000}">
      <formula1>36526</formula1>
      <formula2>0</formula2>
    </dataValidation>
  </dataValidations>
  <pageMargins left="0.75" right="0.75" top="1" bottom="1" header="0.511811023622047" footer="0.511811023622047"/>
  <pageSetup paperSize="9" orientation="portrait" horizontalDpi="300" verticalDpi="300"/>
  <extLst>
    <ext xmlns:x14="http://schemas.microsoft.com/office/spreadsheetml/2009/9/main" uri="{78C0D931-6437-407d-A8EE-F0AAD7539E65}">
      <x14:conditionalFormattings>
        <x14:conditionalFormatting xmlns:xm="http://schemas.microsoft.com/office/excel/2006/main">
          <x14:cfRule type="expression" priority="2" id="{00000000-000E-0000-0100-000002000000}">
            <xm:f>AND($B5&lt;&gt;"",L$3&lt;=الإعدادات!$B$2,L$3&gt;=MAX(N($F5),$K$3+1),N(L5)=0)</xm:f>
            <x14:dxf>
              <fill>
                <patternFill>
                  <bgColor rgb="FFFFC7CE"/>
                </patternFill>
              </fill>
            </x14:dxf>
          </x14:cfRule>
          <xm:sqref>L5:AA234</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24"/>
  <sheetViews>
    <sheetView rightToLeft="1" zoomScaleNormal="100" workbookViewId="0"/>
  </sheetViews>
  <sheetFormatPr defaultColWidth="8.6640625" defaultRowHeight="14.4" x14ac:dyDescent="0.3"/>
  <cols>
    <col min="1" max="1" width="46" customWidth="1"/>
    <col min="2" max="2" width="16" customWidth="1"/>
    <col min="3" max="3" width="22" customWidth="1"/>
  </cols>
  <sheetData>
    <row r="1" spans="1:3" ht="17.399999999999999" x14ac:dyDescent="0.3">
      <c r="A1" s="37" t="s">
        <v>240</v>
      </c>
    </row>
    <row r="2" spans="1:3" x14ac:dyDescent="0.3">
      <c r="A2" s="38" t="s">
        <v>241</v>
      </c>
      <c r="B2" s="39">
        <f>MAX(B10,SUMPRODUCT(MAX(('الإدخال اليومي'!$L$4:$AA$4&gt;0)*'الإدخال اليومي'!$L$3:$AA$3)))</f>
        <v>46312</v>
      </c>
    </row>
    <row r="3" spans="1:3" x14ac:dyDescent="0.3">
      <c r="A3" s="38" t="s">
        <v>242</v>
      </c>
      <c r="B3" s="40">
        <v>450</v>
      </c>
    </row>
    <row r="4" spans="1:3" x14ac:dyDescent="0.3">
      <c r="A4" s="38" t="s">
        <v>243</v>
      </c>
      <c r="B4" s="40">
        <v>30</v>
      </c>
    </row>
    <row r="5" spans="1:3" x14ac:dyDescent="0.3">
      <c r="A5" s="38" t="s">
        <v>244</v>
      </c>
      <c r="B5" s="41">
        <f>B3/B4</f>
        <v>15</v>
      </c>
    </row>
    <row r="6" spans="1:3" x14ac:dyDescent="0.3">
      <c r="A6" s="38" t="s">
        <v>245</v>
      </c>
      <c r="B6" s="42">
        <f>DAY(B2)</f>
        <v>17</v>
      </c>
    </row>
    <row r="7" spans="1:3" x14ac:dyDescent="0.3">
      <c r="A7" s="38" t="s">
        <v>246</v>
      </c>
      <c r="B7" s="42">
        <f>B5*B6</f>
        <v>255</v>
      </c>
    </row>
    <row r="8" spans="1:3" x14ac:dyDescent="0.3">
      <c r="A8" s="38" t="s">
        <v>247</v>
      </c>
      <c r="B8" s="43">
        <v>0.8</v>
      </c>
    </row>
    <row r="9" spans="1:3" x14ac:dyDescent="0.3">
      <c r="A9" s="38" t="s">
        <v>248</v>
      </c>
      <c r="B9" s="39">
        <f>DATE(YEAR(B2),MONTH(B2),1)</f>
        <v>46296</v>
      </c>
    </row>
    <row r="10" spans="1:3" x14ac:dyDescent="0.3">
      <c r="A10" s="38" t="s">
        <v>249</v>
      </c>
      <c r="B10" s="44">
        <v>46310</v>
      </c>
    </row>
    <row r="12" spans="1:3" ht="15" customHeight="1" x14ac:dyDescent="0.3">
      <c r="A12" s="56" t="s">
        <v>250</v>
      </c>
      <c r="B12" s="56"/>
      <c r="C12" s="56"/>
    </row>
    <row r="13" spans="1:3" x14ac:dyDescent="0.3">
      <c r="A13" s="56"/>
      <c r="B13" s="56"/>
      <c r="C13" s="56"/>
    </row>
    <row r="14" spans="1:3" x14ac:dyDescent="0.3">
      <c r="A14" s="56"/>
      <c r="B14" s="56"/>
      <c r="C14" s="56"/>
    </row>
    <row r="15" spans="1:3" x14ac:dyDescent="0.3">
      <c r="A15" s="56"/>
      <c r="B15" s="56"/>
      <c r="C15" s="56"/>
    </row>
    <row r="17" spans="1:3" ht="15.6" x14ac:dyDescent="0.3">
      <c r="A17" s="45" t="s">
        <v>251</v>
      </c>
    </row>
    <row r="18" spans="1:3" x14ac:dyDescent="0.3">
      <c r="A18" s="2" t="s">
        <v>14</v>
      </c>
      <c r="B18" s="2" t="s">
        <v>252</v>
      </c>
    </row>
    <row r="19" spans="1:3" x14ac:dyDescent="0.3">
      <c r="A19" s="46" t="s">
        <v>9</v>
      </c>
      <c r="B19" s="47">
        <v>450</v>
      </c>
    </row>
    <row r="20" spans="1:3" x14ac:dyDescent="0.3">
      <c r="A20" s="46" t="s">
        <v>8</v>
      </c>
      <c r="B20" s="47">
        <v>450</v>
      </c>
    </row>
    <row r="21" spans="1:3" x14ac:dyDescent="0.3">
      <c r="A21" s="46" t="s">
        <v>10</v>
      </c>
      <c r="B21" s="47">
        <v>360</v>
      </c>
    </row>
    <row r="22" spans="1:3" x14ac:dyDescent="0.3">
      <c r="A22" s="46" t="s">
        <v>7</v>
      </c>
      <c r="B22" s="47"/>
    </row>
    <row r="23" spans="1:3" ht="15" customHeight="1" x14ac:dyDescent="0.3">
      <c r="A23" s="56" t="s">
        <v>253</v>
      </c>
      <c r="B23" s="56"/>
      <c r="C23" s="56"/>
    </row>
    <row r="24" spans="1:3" x14ac:dyDescent="0.3">
      <c r="A24" s="56"/>
      <c r="B24" s="56"/>
      <c r="C24" s="56"/>
    </row>
  </sheetData>
  <mergeCells count="2">
    <mergeCell ref="A12:C15"/>
    <mergeCell ref="A23:C24"/>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التقرير</vt:lpstr>
      <vt:lpstr>الإدخال اليومي</vt:lpstr>
      <vt:lpstr>الإعدادات</vt:lpstr>
      <vt:lpstr>التقرير!Print_Titles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Mohamed Zaalouk</cp:lastModifiedBy>
  <cp:revision>0</cp:revision>
  <dcterms:created xsi:type="dcterms:W3CDTF">2026-10-18T13:12:00Z</dcterms:created>
  <dcterms:modified xsi:type="dcterms:W3CDTF">2026-10-19T09:34:40Z</dcterms:modified>
  <dc:language>en-US</dc:language>
</cp:coreProperties>
</file>